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f\Desktop\projects\AC\Aire-Comprimido\docs\"/>
    </mc:Choice>
  </mc:AlternateContent>
  <xr:revisionPtr revIDLastSave="0" documentId="13_ncr:1_{B0B549C2-31EB-4A46-A0A3-84F4A1E36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Worksheet!$A$1:$AL$1</definedName>
  </definedNames>
  <calcPr calcId="191029"/>
</workbook>
</file>

<file path=xl/calcChain.xml><?xml version="1.0" encoding="utf-8"?>
<calcChain xmlns="http://schemas.openxmlformats.org/spreadsheetml/2006/main">
  <c r="AN4" i="1" l="1"/>
  <c r="AP4" i="1" s="1"/>
  <c r="AN5" i="1"/>
  <c r="AN6" i="1"/>
  <c r="AO6" i="1" s="1"/>
  <c r="AN7" i="1"/>
  <c r="AO7" i="1" s="1"/>
  <c r="AN8" i="1"/>
  <c r="AP8" i="1" s="1"/>
  <c r="AN9" i="1"/>
  <c r="AN10" i="1"/>
  <c r="AO10" i="1" s="1"/>
  <c r="AN11" i="1"/>
  <c r="AO11" i="1" s="1"/>
  <c r="AN12" i="1"/>
  <c r="AP12" i="1" s="1"/>
  <c r="AN13" i="1"/>
  <c r="AN14" i="1"/>
  <c r="AO14" i="1" s="1"/>
  <c r="AN15" i="1"/>
  <c r="AO15" i="1" s="1"/>
  <c r="AN16" i="1"/>
  <c r="AP16" i="1" s="1"/>
  <c r="AN17" i="1"/>
  <c r="AN18" i="1"/>
  <c r="AP18" i="1" s="1"/>
  <c r="AN19" i="1"/>
  <c r="AO19" i="1" s="1"/>
  <c r="AN20" i="1"/>
  <c r="AN21" i="1"/>
  <c r="AN22" i="1"/>
  <c r="AO22" i="1" s="1"/>
  <c r="AN23" i="1"/>
  <c r="AO23" i="1" s="1"/>
  <c r="AN24" i="1"/>
  <c r="AN25" i="1"/>
  <c r="AN26" i="1"/>
  <c r="AO26" i="1" s="1"/>
  <c r="AN27" i="1"/>
  <c r="AO27" i="1" s="1"/>
  <c r="AN28" i="1"/>
  <c r="AN29" i="1"/>
  <c r="AN30" i="1"/>
  <c r="AP30" i="1" s="1"/>
  <c r="AN31" i="1"/>
  <c r="AO31" i="1" s="1"/>
  <c r="AN32" i="1"/>
  <c r="AN33" i="1"/>
  <c r="AN34" i="1"/>
  <c r="AP34" i="1" s="1"/>
  <c r="AN35" i="1"/>
  <c r="AO35" i="1" s="1"/>
  <c r="AN36" i="1"/>
  <c r="AN37" i="1"/>
  <c r="AN38" i="1"/>
  <c r="AP38" i="1" s="1"/>
  <c r="AN39" i="1"/>
  <c r="AO39" i="1" s="1"/>
  <c r="AN40" i="1"/>
  <c r="AN41" i="1"/>
  <c r="AN42" i="1"/>
  <c r="AO42" i="1" s="1"/>
  <c r="AN43" i="1"/>
  <c r="AO43" i="1" s="1"/>
  <c r="AN44" i="1"/>
  <c r="AN45" i="1"/>
  <c r="AN46" i="1"/>
  <c r="AP46" i="1" s="1"/>
  <c r="AN47" i="1"/>
  <c r="AO47" i="1" s="1"/>
  <c r="AN48" i="1"/>
  <c r="AN49" i="1"/>
  <c r="AN50" i="1"/>
  <c r="AP50" i="1" s="1"/>
  <c r="AN51" i="1"/>
  <c r="AO51" i="1" s="1"/>
  <c r="AN52" i="1"/>
  <c r="AN53" i="1"/>
  <c r="AN54" i="1"/>
  <c r="AO54" i="1" s="1"/>
  <c r="AN55" i="1"/>
  <c r="AO55" i="1" s="1"/>
  <c r="AN56" i="1"/>
  <c r="AN57" i="1"/>
  <c r="AN58" i="1"/>
  <c r="AO58" i="1" s="1"/>
  <c r="AN59" i="1"/>
  <c r="AO59" i="1" s="1"/>
  <c r="AN60" i="1"/>
  <c r="AN61" i="1"/>
  <c r="AN62" i="1"/>
  <c r="AP62" i="1" s="1"/>
  <c r="AN63" i="1"/>
  <c r="AO63" i="1" s="1"/>
  <c r="AN64" i="1"/>
  <c r="AN65" i="1"/>
  <c r="AN66" i="1"/>
  <c r="AP66" i="1" s="1"/>
  <c r="AN67" i="1"/>
  <c r="AO67" i="1" s="1"/>
  <c r="AN68" i="1"/>
  <c r="AN69" i="1"/>
  <c r="AN70" i="1"/>
  <c r="AP70" i="1" s="1"/>
  <c r="AN71" i="1"/>
  <c r="AO71" i="1" s="1"/>
  <c r="AN72" i="1"/>
  <c r="AN73" i="1"/>
  <c r="AN74" i="1"/>
  <c r="AP74" i="1" s="1"/>
  <c r="AN75" i="1"/>
  <c r="AO75" i="1" s="1"/>
  <c r="AN76" i="1"/>
  <c r="AN77" i="1"/>
  <c r="AN78" i="1"/>
  <c r="AN79" i="1"/>
  <c r="AO79" i="1" s="1"/>
  <c r="AN80" i="1"/>
  <c r="AP80" i="1" s="1"/>
  <c r="AN81" i="1"/>
  <c r="AN82" i="1"/>
  <c r="AP82" i="1" s="1"/>
  <c r="AN83" i="1"/>
  <c r="AO83" i="1" s="1"/>
  <c r="AN84" i="1"/>
  <c r="AN85" i="1"/>
  <c r="AN86" i="1"/>
  <c r="AN87" i="1"/>
  <c r="AN88" i="1"/>
  <c r="AO88" i="1" s="1"/>
  <c r="AN89" i="1"/>
  <c r="AN90" i="1"/>
  <c r="AO90" i="1" s="1"/>
  <c r="AN91" i="1"/>
  <c r="AN92" i="1"/>
  <c r="AP92" i="1" s="1"/>
  <c r="AN93" i="1"/>
  <c r="AN94" i="1"/>
  <c r="AO94" i="1" s="1"/>
  <c r="AN95" i="1"/>
  <c r="AN96" i="1"/>
  <c r="AP96" i="1" s="1"/>
  <c r="AN97" i="1"/>
  <c r="AN98" i="1"/>
  <c r="AP98" i="1" s="1"/>
  <c r="AN99" i="1"/>
  <c r="AO99" i="1" s="1"/>
  <c r="AN100" i="1"/>
  <c r="AP100" i="1" s="1"/>
  <c r="AN101" i="1"/>
  <c r="AN102" i="1"/>
  <c r="AN103" i="1"/>
  <c r="AO103" i="1" s="1"/>
  <c r="AN104" i="1"/>
  <c r="AP104" i="1" s="1"/>
  <c r="AN105" i="1"/>
  <c r="AN106" i="1"/>
  <c r="AN107" i="1"/>
  <c r="AN108" i="1"/>
  <c r="AO108" i="1" s="1"/>
  <c r="AN109" i="1"/>
  <c r="AN110" i="1"/>
  <c r="AO110" i="1" s="1"/>
  <c r="AN111" i="1"/>
  <c r="AN112" i="1"/>
  <c r="AP112" i="1" s="1"/>
  <c r="AN113" i="1"/>
  <c r="AN114" i="1"/>
  <c r="AP114" i="1" s="1"/>
  <c r="AN115" i="1"/>
  <c r="AN116" i="1"/>
  <c r="AP116" i="1" s="1"/>
  <c r="AN117" i="1"/>
  <c r="AN118" i="1"/>
  <c r="AP118" i="1" s="1"/>
  <c r="AN119" i="1"/>
  <c r="AN120" i="1"/>
  <c r="AP120" i="1" s="1"/>
  <c r="AN121" i="1"/>
  <c r="AN122" i="1"/>
  <c r="AP122" i="1" s="1"/>
  <c r="AN123" i="1"/>
  <c r="AO123" i="1" s="1"/>
  <c r="AN124" i="1"/>
  <c r="AN125" i="1"/>
  <c r="AN126" i="1"/>
  <c r="AP126" i="1" s="1"/>
  <c r="AN127" i="1"/>
  <c r="AO127" i="1" s="1"/>
  <c r="AN128" i="1"/>
  <c r="AN129" i="1"/>
  <c r="AN130" i="1"/>
  <c r="AN131" i="1"/>
  <c r="AO131" i="1" s="1"/>
  <c r="AN132" i="1"/>
  <c r="AN133" i="1"/>
  <c r="AN134" i="1"/>
  <c r="AN135" i="1"/>
  <c r="AO135" i="1" s="1"/>
  <c r="AN136" i="1"/>
  <c r="AN137" i="1"/>
  <c r="AN138" i="1"/>
  <c r="AN139" i="1"/>
  <c r="AO139" i="1" s="1"/>
  <c r="AN140" i="1"/>
  <c r="AN141" i="1"/>
  <c r="AN142" i="1"/>
  <c r="AN143" i="1"/>
  <c r="AN144" i="1"/>
  <c r="AP144" i="1" s="1"/>
  <c r="AN145" i="1"/>
  <c r="AN146" i="1"/>
  <c r="AN147" i="1"/>
  <c r="AO147" i="1" s="1"/>
  <c r="AN148" i="1"/>
  <c r="AP148" i="1" s="1"/>
  <c r="AN149" i="1"/>
  <c r="AN150" i="1"/>
  <c r="AN151" i="1"/>
  <c r="AO151" i="1" s="1"/>
  <c r="AN152" i="1"/>
  <c r="AP152" i="1" s="1"/>
  <c r="AN153" i="1"/>
  <c r="AN154" i="1"/>
  <c r="AN155" i="1"/>
  <c r="AN156" i="1"/>
  <c r="AO156" i="1" s="1"/>
  <c r="AN157" i="1"/>
  <c r="AN158" i="1"/>
  <c r="AN159" i="1"/>
  <c r="AO159" i="1" s="1"/>
  <c r="AN160" i="1"/>
  <c r="AO160" i="1" s="1"/>
  <c r="AN161" i="1"/>
  <c r="AN162" i="1"/>
  <c r="AO162" i="1" s="1"/>
  <c r="AN163" i="1"/>
  <c r="AO163" i="1" s="1"/>
  <c r="AN164" i="1"/>
  <c r="AO164" i="1" s="1"/>
  <c r="AN165" i="1"/>
  <c r="AN166" i="1"/>
  <c r="AO166" i="1" s="1"/>
  <c r="AN167" i="1"/>
  <c r="AN168" i="1"/>
  <c r="AO168" i="1" s="1"/>
  <c r="AN169" i="1"/>
  <c r="AN170" i="1"/>
  <c r="AN171" i="1"/>
  <c r="AO171" i="1" s="1"/>
  <c r="AN172" i="1"/>
  <c r="AO172" i="1" s="1"/>
  <c r="AN173" i="1"/>
  <c r="AN174" i="1"/>
  <c r="AP174" i="1" s="1"/>
  <c r="AN175" i="1"/>
  <c r="AO175" i="1" s="1"/>
  <c r="AN176" i="1"/>
  <c r="AO176" i="1" s="1"/>
  <c r="AN177" i="1"/>
  <c r="AN178" i="1"/>
  <c r="AP178" i="1" s="1"/>
  <c r="AN179" i="1"/>
  <c r="AO179" i="1" s="1"/>
  <c r="AN180" i="1"/>
  <c r="AO180" i="1" s="1"/>
  <c r="AN181" i="1"/>
  <c r="AN182" i="1"/>
  <c r="AO182" i="1" s="1"/>
  <c r="AN183" i="1"/>
  <c r="AN184" i="1"/>
  <c r="AO184" i="1" s="1"/>
  <c r="AN185" i="1"/>
  <c r="AN186" i="1"/>
  <c r="AN187" i="1"/>
  <c r="AO187" i="1" s="1"/>
  <c r="AN188" i="1"/>
  <c r="AO188" i="1" s="1"/>
  <c r="AN189" i="1"/>
  <c r="AN190" i="1"/>
  <c r="AP190" i="1" s="1"/>
  <c r="AN191" i="1"/>
  <c r="AN192" i="1"/>
  <c r="AO192" i="1" s="1"/>
  <c r="AN193" i="1"/>
  <c r="AN194" i="1"/>
  <c r="AN195" i="1"/>
  <c r="AO195" i="1" s="1"/>
  <c r="AN196" i="1"/>
  <c r="AO196" i="1" s="1"/>
  <c r="AN197" i="1"/>
  <c r="AN198" i="1"/>
  <c r="AP198" i="1" s="1"/>
  <c r="AN199" i="1"/>
  <c r="AN200" i="1"/>
  <c r="AN201" i="1"/>
  <c r="AN202" i="1"/>
  <c r="AP202" i="1" s="1"/>
  <c r="AN203" i="1"/>
  <c r="AN204" i="1"/>
  <c r="AO204" i="1" s="1"/>
  <c r="AN205" i="1"/>
  <c r="AN206" i="1"/>
  <c r="AP206" i="1" s="1"/>
  <c r="AN207" i="1"/>
  <c r="AN208" i="1"/>
  <c r="AO208" i="1" s="1"/>
  <c r="AN209" i="1"/>
  <c r="AN210" i="1"/>
  <c r="AP210" i="1" s="1"/>
  <c r="AN211" i="1"/>
  <c r="AN212" i="1"/>
  <c r="AO212" i="1" s="1"/>
  <c r="AN213" i="1"/>
  <c r="AN214" i="1"/>
  <c r="AP214" i="1" s="1"/>
  <c r="AN215" i="1"/>
  <c r="AN216" i="1"/>
  <c r="AP216" i="1" s="1"/>
  <c r="AN217" i="1"/>
  <c r="AN218" i="1"/>
  <c r="AP218" i="1" s="1"/>
  <c r="AN219" i="1"/>
  <c r="AN220" i="1"/>
  <c r="AN221" i="1"/>
  <c r="AN222" i="1"/>
  <c r="AN223" i="1"/>
  <c r="AN224" i="1"/>
  <c r="AP224" i="1" s="1"/>
  <c r="AN225" i="1"/>
  <c r="AN226" i="1"/>
  <c r="AP226" i="1" s="1"/>
  <c r="AN227" i="1"/>
  <c r="AN228" i="1"/>
  <c r="AP228" i="1" s="1"/>
  <c r="AN229" i="1"/>
  <c r="AN230" i="1"/>
  <c r="AP230" i="1" s="1"/>
  <c r="AN231" i="1"/>
  <c r="AN232" i="1"/>
  <c r="AP232" i="1" s="1"/>
  <c r="AN233" i="1"/>
  <c r="AN234" i="1"/>
  <c r="AP234" i="1" s="1"/>
  <c r="AN235" i="1"/>
  <c r="AN236" i="1"/>
  <c r="AN237" i="1"/>
  <c r="AN238" i="1"/>
  <c r="AN239" i="1"/>
  <c r="AN240" i="1"/>
  <c r="AO240" i="1" s="1"/>
  <c r="AN241" i="1"/>
  <c r="AN242" i="1"/>
  <c r="AP242" i="1" s="1"/>
  <c r="AN243" i="1"/>
  <c r="AN244" i="1"/>
  <c r="AN245" i="1"/>
  <c r="AN246" i="1"/>
  <c r="AP246" i="1" s="1"/>
  <c r="AN247" i="1"/>
  <c r="AN248" i="1"/>
  <c r="AO248" i="1" s="1"/>
  <c r="AN249" i="1"/>
  <c r="AN250" i="1"/>
  <c r="AP250" i="1" s="1"/>
  <c r="AN251" i="1"/>
  <c r="AN252" i="1"/>
  <c r="AP252" i="1" s="1"/>
  <c r="AN253" i="1"/>
  <c r="AN254" i="1"/>
  <c r="AP254" i="1" s="1"/>
  <c r="AN255" i="1"/>
  <c r="AN256" i="1"/>
  <c r="AP256" i="1" s="1"/>
  <c r="AN257" i="1"/>
  <c r="AN258" i="1"/>
  <c r="AP258" i="1" s="1"/>
  <c r="AN259" i="1"/>
  <c r="AN260" i="1"/>
  <c r="AN261" i="1"/>
  <c r="AN262" i="1"/>
  <c r="AP262" i="1" s="1"/>
  <c r="AN263" i="1"/>
  <c r="AN264" i="1"/>
  <c r="AP264" i="1" s="1"/>
  <c r="AN265" i="1"/>
  <c r="AN266" i="1"/>
  <c r="AP266" i="1" s="1"/>
  <c r="AN267" i="1"/>
  <c r="AN268" i="1"/>
  <c r="AP268" i="1" s="1"/>
  <c r="AN269" i="1"/>
  <c r="AN270" i="1"/>
  <c r="AP270" i="1" s="1"/>
  <c r="AN271" i="1"/>
  <c r="AN272" i="1"/>
  <c r="AP272" i="1" s="1"/>
  <c r="AN273" i="1"/>
  <c r="AN274" i="1"/>
  <c r="AP274" i="1" s="1"/>
  <c r="AN275" i="1"/>
  <c r="AN276" i="1"/>
  <c r="AN277" i="1"/>
  <c r="AN278" i="1"/>
  <c r="AP278" i="1" s="1"/>
  <c r="AN279" i="1"/>
  <c r="AN280" i="1"/>
  <c r="AP280" i="1" s="1"/>
  <c r="AN281" i="1"/>
  <c r="AN282" i="1"/>
  <c r="AP282" i="1" s="1"/>
  <c r="AN283" i="1"/>
  <c r="AN284" i="1"/>
  <c r="AP284" i="1" s="1"/>
  <c r="AN285" i="1"/>
  <c r="AN286" i="1"/>
  <c r="AP286" i="1" s="1"/>
  <c r="AN287" i="1"/>
  <c r="AN288" i="1"/>
  <c r="AO288" i="1" s="1"/>
  <c r="AN289" i="1"/>
  <c r="AN290" i="1"/>
  <c r="AP290" i="1" s="1"/>
  <c r="AN291" i="1"/>
  <c r="AN292" i="1"/>
  <c r="AO292" i="1" s="1"/>
  <c r="AN293" i="1"/>
  <c r="AN294" i="1"/>
  <c r="AP294" i="1" s="1"/>
  <c r="AN295" i="1"/>
  <c r="AN296" i="1"/>
  <c r="AN297" i="1"/>
  <c r="AN298" i="1"/>
  <c r="AN299" i="1"/>
  <c r="AN300" i="1"/>
  <c r="AP300" i="1" s="1"/>
  <c r="AN301" i="1"/>
  <c r="AN302" i="1"/>
  <c r="AP302" i="1" s="1"/>
  <c r="AN303" i="1"/>
  <c r="AN304" i="1"/>
  <c r="AP304" i="1" s="1"/>
  <c r="AN305" i="1"/>
  <c r="AN306" i="1"/>
  <c r="AP306" i="1" s="1"/>
  <c r="AN307" i="1"/>
  <c r="AN308" i="1"/>
  <c r="AO308" i="1" s="1"/>
  <c r="AN309" i="1"/>
  <c r="AN310" i="1"/>
  <c r="AP310" i="1" s="1"/>
  <c r="AN311" i="1"/>
  <c r="AN312" i="1"/>
  <c r="AN313" i="1"/>
  <c r="AN314" i="1"/>
  <c r="AN315" i="1"/>
  <c r="AN316" i="1"/>
  <c r="AP316" i="1" s="1"/>
  <c r="AN317" i="1"/>
  <c r="AN318" i="1"/>
  <c r="AP318" i="1" s="1"/>
  <c r="AN319" i="1"/>
  <c r="AN320" i="1"/>
  <c r="AP320" i="1" s="1"/>
  <c r="AN321" i="1"/>
  <c r="AN322" i="1"/>
  <c r="AP322" i="1" s="1"/>
  <c r="AN323" i="1"/>
  <c r="AN324" i="1"/>
  <c r="AP324" i="1" s="1"/>
  <c r="AN325" i="1"/>
  <c r="AN326" i="1"/>
  <c r="AP326" i="1" s="1"/>
  <c r="AN327" i="1"/>
  <c r="AN328" i="1"/>
  <c r="AN329" i="1"/>
  <c r="AN330" i="1"/>
  <c r="AN331" i="1"/>
  <c r="AN332" i="1"/>
  <c r="AP332" i="1" s="1"/>
  <c r="AN333" i="1"/>
  <c r="AN334" i="1"/>
  <c r="AP334" i="1" s="1"/>
  <c r="AN335" i="1"/>
  <c r="AN336" i="1"/>
  <c r="AP336" i="1" s="1"/>
  <c r="AN337" i="1"/>
  <c r="AN338" i="1"/>
  <c r="AP338" i="1" s="1"/>
  <c r="AN339" i="1"/>
  <c r="AN340" i="1"/>
  <c r="AO340" i="1" s="1"/>
  <c r="AN341" i="1"/>
  <c r="AN342" i="1"/>
  <c r="AP342" i="1" s="1"/>
  <c r="AN343" i="1"/>
  <c r="AN344" i="1"/>
  <c r="AN345" i="1"/>
  <c r="AN346" i="1"/>
  <c r="AN347" i="1"/>
  <c r="AN348" i="1"/>
  <c r="AP348" i="1" s="1"/>
  <c r="AN349" i="1"/>
  <c r="AN350" i="1"/>
  <c r="AP350" i="1" s="1"/>
  <c r="AN351" i="1"/>
  <c r="AN352" i="1"/>
  <c r="AP352" i="1" s="1"/>
  <c r="AN353" i="1"/>
  <c r="AN354" i="1"/>
  <c r="AP354" i="1" s="1"/>
  <c r="AN355" i="1"/>
  <c r="AN356" i="1"/>
  <c r="AO356" i="1" s="1"/>
  <c r="AN357" i="1"/>
  <c r="AN358" i="1"/>
  <c r="AO358" i="1" s="1"/>
  <c r="AN359" i="1"/>
  <c r="AN360" i="1"/>
  <c r="AN361" i="1"/>
  <c r="AN362" i="1"/>
  <c r="AO362" i="1" s="1"/>
  <c r="AN363" i="1"/>
  <c r="AN364" i="1"/>
  <c r="AN365" i="1"/>
  <c r="AO365" i="1" s="1"/>
  <c r="AN366" i="1"/>
  <c r="AO366" i="1" s="1"/>
  <c r="AN367" i="1"/>
  <c r="AN368" i="1"/>
  <c r="AP368" i="1" s="1"/>
  <c r="AN369" i="1"/>
  <c r="AO369" i="1" s="1"/>
  <c r="AN370" i="1"/>
  <c r="AN371" i="1"/>
  <c r="AN372" i="1"/>
  <c r="AP372" i="1" s="1"/>
  <c r="AN373" i="1"/>
  <c r="AO373" i="1" s="1"/>
  <c r="AN374" i="1"/>
  <c r="AP374" i="1" s="1"/>
  <c r="AN375" i="1"/>
  <c r="AN376" i="1"/>
  <c r="AP376" i="1" s="1"/>
  <c r="AN377" i="1"/>
  <c r="AO377" i="1" s="1"/>
  <c r="AN378" i="1"/>
  <c r="AO378" i="1" s="1"/>
  <c r="AN379" i="1"/>
  <c r="AN380" i="1"/>
  <c r="AO380" i="1" s="1"/>
  <c r="AN381" i="1"/>
  <c r="AN382" i="1"/>
  <c r="AO382" i="1" s="1"/>
  <c r="AN383" i="1"/>
  <c r="AN384" i="1"/>
  <c r="AN385" i="1"/>
  <c r="AO385" i="1" s="1"/>
  <c r="AN386" i="1"/>
  <c r="AP386" i="1" s="1"/>
  <c r="AN387" i="1"/>
  <c r="AN388" i="1"/>
  <c r="AN389" i="1"/>
  <c r="AN390" i="1"/>
  <c r="AO390" i="1" s="1"/>
  <c r="AN391" i="1"/>
  <c r="AN392" i="1"/>
  <c r="AN393" i="1"/>
  <c r="AO393" i="1" s="1"/>
  <c r="AN394" i="1"/>
  <c r="AO394" i="1" s="1"/>
  <c r="AN395" i="1"/>
  <c r="AN396" i="1"/>
  <c r="AP396" i="1" s="1"/>
  <c r="AN397" i="1"/>
  <c r="AN398" i="1"/>
  <c r="AO398" i="1" s="1"/>
  <c r="AN399" i="1"/>
  <c r="AN400" i="1"/>
  <c r="AN401" i="1"/>
  <c r="AN402" i="1"/>
  <c r="AO402" i="1" s="1"/>
  <c r="AN403" i="1"/>
  <c r="AN404" i="1"/>
  <c r="AN405" i="1"/>
  <c r="AO405" i="1" s="1"/>
  <c r="AN406" i="1"/>
  <c r="AO406" i="1" s="1"/>
  <c r="AN407" i="1"/>
  <c r="AN408" i="1"/>
  <c r="AP408" i="1" s="1"/>
  <c r="AN409" i="1"/>
  <c r="AO409" i="1" s="1"/>
  <c r="AN410" i="1"/>
  <c r="AO410" i="1" s="1"/>
  <c r="AN411" i="1"/>
  <c r="AN412" i="1"/>
  <c r="AO412" i="1" s="1"/>
  <c r="AN413" i="1"/>
  <c r="AO413" i="1" s="1"/>
  <c r="AN414" i="1"/>
  <c r="AO414" i="1" s="1"/>
  <c r="AN415" i="1"/>
  <c r="AN416" i="1"/>
  <c r="AO416" i="1" s="1"/>
  <c r="AN417" i="1"/>
  <c r="AN418" i="1"/>
  <c r="AO418" i="1" s="1"/>
  <c r="AN419" i="1"/>
  <c r="AN420" i="1"/>
  <c r="AN421" i="1"/>
  <c r="AN422" i="1"/>
  <c r="AO422" i="1" s="1"/>
  <c r="AN423" i="1"/>
  <c r="AN424" i="1"/>
  <c r="AN425" i="1"/>
  <c r="AO425" i="1" s="1"/>
  <c r="AN426" i="1"/>
  <c r="AO426" i="1" s="1"/>
  <c r="AN427" i="1"/>
  <c r="AN428" i="1"/>
  <c r="AO428" i="1" s="1"/>
  <c r="AN429" i="1"/>
  <c r="AN430" i="1"/>
  <c r="AO430" i="1" s="1"/>
  <c r="AN431" i="1"/>
  <c r="AN432" i="1"/>
  <c r="AN433" i="1"/>
  <c r="AN434" i="1"/>
  <c r="AO434" i="1" s="1"/>
  <c r="AN435" i="1"/>
  <c r="AN436" i="1"/>
  <c r="AP436" i="1" s="1"/>
  <c r="AN437" i="1"/>
  <c r="AN438" i="1"/>
  <c r="AO438" i="1" s="1"/>
  <c r="AN439" i="1"/>
  <c r="AN440" i="1"/>
  <c r="AN441" i="1"/>
  <c r="AO441" i="1" s="1"/>
  <c r="AN442" i="1"/>
  <c r="AO442" i="1" s="1"/>
  <c r="AN443" i="1"/>
  <c r="AN444" i="1"/>
  <c r="AP444" i="1" s="1"/>
  <c r="AN445" i="1"/>
  <c r="AO445" i="1" s="1"/>
  <c r="AN446" i="1"/>
  <c r="AO446" i="1" s="1"/>
  <c r="AN447" i="1"/>
  <c r="AO447" i="1" s="1"/>
  <c r="AN448" i="1"/>
  <c r="AP448" i="1" s="1"/>
  <c r="AN449" i="1"/>
  <c r="AO449" i="1" s="1"/>
  <c r="AN450" i="1"/>
  <c r="AP450" i="1" s="1"/>
  <c r="AN451" i="1"/>
  <c r="AO451" i="1" s="1"/>
  <c r="AN452" i="1"/>
  <c r="AN453" i="1"/>
  <c r="AN454" i="1"/>
  <c r="AP454" i="1" s="1"/>
  <c r="AN455" i="1"/>
  <c r="AN456" i="1"/>
  <c r="AO456" i="1" s="1"/>
  <c r="AN457" i="1"/>
  <c r="AN458" i="1"/>
  <c r="AP458" i="1" s="1"/>
  <c r="AN459" i="1"/>
  <c r="AN460" i="1"/>
  <c r="AN461" i="1"/>
  <c r="AO461" i="1" s="1"/>
  <c r="AN462" i="1"/>
  <c r="AN463" i="1"/>
  <c r="AN464" i="1"/>
  <c r="AN465" i="1"/>
  <c r="AN466" i="1"/>
  <c r="AP466" i="1" s="1"/>
  <c r="AN467" i="1"/>
  <c r="AP467" i="1" s="1"/>
  <c r="AN468" i="1"/>
  <c r="AP468" i="1" s="1"/>
  <c r="AN469" i="1"/>
  <c r="AP469" i="1" s="1"/>
  <c r="AN470" i="1"/>
  <c r="AN471" i="1"/>
  <c r="AN472" i="1"/>
  <c r="AO472" i="1" s="1"/>
  <c r="AN473" i="1"/>
  <c r="AP473" i="1" s="1"/>
  <c r="AN474" i="1"/>
  <c r="AN475" i="1"/>
  <c r="AN476" i="1"/>
  <c r="AN477" i="1"/>
  <c r="AP477" i="1" s="1"/>
  <c r="AN478" i="1"/>
  <c r="AN479" i="1"/>
  <c r="AN480" i="1"/>
  <c r="AN481" i="1"/>
  <c r="AP481" i="1" s="1"/>
  <c r="AN482" i="1"/>
  <c r="AN483" i="1"/>
  <c r="AN484" i="1"/>
  <c r="AO484" i="1" s="1"/>
  <c r="AN485" i="1"/>
  <c r="AP485" i="1" s="1"/>
  <c r="AN486" i="1"/>
  <c r="AN487" i="1"/>
  <c r="AN488" i="1"/>
  <c r="AN489" i="1"/>
  <c r="AP489" i="1" s="1"/>
  <c r="AN490" i="1"/>
  <c r="AN491" i="1"/>
  <c r="AN492" i="1"/>
  <c r="AO492" i="1" s="1"/>
  <c r="AN493" i="1"/>
  <c r="AP493" i="1" s="1"/>
  <c r="AN494" i="1"/>
  <c r="AN495" i="1"/>
  <c r="AN496" i="1"/>
  <c r="AN497" i="1"/>
  <c r="AP497" i="1" s="1"/>
  <c r="AN498" i="1"/>
  <c r="AN499" i="1"/>
  <c r="AN500" i="1"/>
  <c r="AO500" i="1" s="1"/>
  <c r="AN501" i="1"/>
  <c r="AP501" i="1" s="1"/>
  <c r="AN502" i="1"/>
  <c r="AN503" i="1"/>
  <c r="AN504" i="1"/>
  <c r="AO504" i="1" s="1"/>
  <c r="AN505" i="1"/>
  <c r="AP505" i="1" s="1"/>
  <c r="AN506" i="1"/>
  <c r="AN507" i="1"/>
  <c r="AN508" i="1"/>
  <c r="AN509" i="1"/>
  <c r="AP509" i="1" s="1"/>
  <c r="AN510" i="1"/>
  <c r="AN511" i="1"/>
  <c r="AN512" i="1"/>
  <c r="AN513" i="1"/>
  <c r="AP513" i="1" s="1"/>
  <c r="AN514" i="1"/>
  <c r="AN515" i="1"/>
  <c r="AN516" i="1"/>
  <c r="AO516" i="1" s="1"/>
  <c r="AN517" i="1"/>
  <c r="AP517" i="1" s="1"/>
  <c r="AN518" i="1"/>
  <c r="AN519" i="1"/>
  <c r="AN520" i="1"/>
  <c r="AO520" i="1" s="1"/>
  <c r="AN521" i="1"/>
  <c r="AP521" i="1" s="1"/>
  <c r="AN522" i="1"/>
  <c r="AN523" i="1"/>
  <c r="AN524" i="1"/>
  <c r="AO524" i="1" s="1"/>
  <c r="AN525" i="1"/>
  <c r="AP525" i="1" s="1"/>
  <c r="AN526" i="1"/>
  <c r="AN527" i="1"/>
  <c r="AN528" i="1"/>
  <c r="AN529" i="1"/>
  <c r="AP529" i="1" s="1"/>
  <c r="AN530" i="1"/>
  <c r="AN531" i="1"/>
  <c r="AN532" i="1"/>
  <c r="AO532" i="1" s="1"/>
  <c r="AN533" i="1"/>
  <c r="AP533" i="1" s="1"/>
  <c r="AN534" i="1"/>
  <c r="AN535" i="1"/>
  <c r="AN536" i="1"/>
  <c r="AO536" i="1" s="1"/>
  <c r="AN537" i="1"/>
  <c r="AP537" i="1" s="1"/>
  <c r="AN538" i="1"/>
  <c r="AN539" i="1"/>
  <c r="AN540" i="1"/>
  <c r="AN541" i="1"/>
  <c r="AP541" i="1" s="1"/>
  <c r="AN542" i="1"/>
  <c r="AN543" i="1"/>
  <c r="AN544" i="1"/>
  <c r="AN545" i="1"/>
  <c r="AP545" i="1" s="1"/>
  <c r="AN546" i="1"/>
  <c r="AN547" i="1"/>
  <c r="AN548" i="1"/>
  <c r="AO548" i="1" s="1"/>
  <c r="AN549" i="1"/>
  <c r="AP549" i="1" s="1"/>
  <c r="AN550" i="1"/>
  <c r="AN551" i="1"/>
  <c r="AN552" i="1"/>
  <c r="AO552" i="1" s="1"/>
  <c r="AN553" i="1"/>
  <c r="AP553" i="1" s="1"/>
  <c r="AN554" i="1"/>
  <c r="AN555" i="1"/>
  <c r="AN556" i="1"/>
  <c r="AO556" i="1" s="1"/>
  <c r="AN557" i="1"/>
  <c r="AP557" i="1" s="1"/>
  <c r="AN558" i="1"/>
  <c r="AN559" i="1"/>
  <c r="AN560" i="1"/>
  <c r="AN561" i="1"/>
  <c r="AP561" i="1" s="1"/>
  <c r="AN562" i="1"/>
  <c r="AN563" i="1"/>
  <c r="AN564" i="1"/>
  <c r="AO564" i="1" s="1"/>
  <c r="AN565" i="1"/>
  <c r="AP565" i="1" s="1"/>
  <c r="AN566" i="1"/>
  <c r="AN567" i="1"/>
  <c r="AN568" i="1"/>
  <c r="AO568" i="1" s="1"/>
  <c r="AN569" i="1"/>
  <c r="AP569" i="1" s="1"/>
  <c r="AN570" i="1"/>
  <c r="AN571" i="1"/>
  <c r="AN572" i="1"/>
  <c r="AN573" i="1"/>
  <c r="AN574" i="1"/>
  <c r="AN575" i="1"/>
  <c r="AN576" i="1"/>
  <c r="AO576" i="1" s="1"/>
  <c r="AN577" i="1"/>
  <c r="AN578" i="1"/>
  <c r="AN579" i="1"/>
  <c r="AP579" i="1" s="1"/>
  <c r="AN580" i="1"/>
  <c r="AO580" i="1" s="1"/>
  <c r="AN581" i="1"/>
  <c r="AN582" i="1"/>
  <c r="AN583" i="1"/>
  <c r="AP583" i="1" s="1"/>
  <c r="AN584" i="1"/>
  <c r="AO584" i="1" s="1"/>
  <c r="AN585" i="1"/>
  <c r="AN586" i="1"/>
  <c r="AN587" i="1"/>
  <c r="AP587" i="1" s="1"/>
  <c r="AN588" i="1"/>
  <c r="AN589" i="1"/>
  <c r="AN590" i="1"/>
  <c r="AN591" i="1"/>
  <c r="AN592" i="1"/>
  <c r="AO592" i="1" s="1"/>
  <c r="AN593" i="1"/>
  <c r="AP593" i="1" s="1"/>
  <c r="AN594" i="1"/>
  <c r="AN595" i="1"/>
  <c r="AN596" i="1"/>
  <c r="AO596" i="1" s="1"/>
  <c r="AN597" i="1"/>
  <c r="AN598" i="1"/>
  <c r="AN599" i="1"/>
  <c r="AP599" i="1" s="1"/>
  <c r="AN600" i="1"/>
  <c r="AO600" i="1" s="1"/>
  <c r="AN601" i="1"/>
  <c r="AP601" i="1" s="1"/>
  <c r="AN602" i="1"/>
  <c r="AN603" i="1"/>
  <c r="AP603" i="1" s="1"/>
  <c r="AN604" i="1"/>
  <c r="AO604" i="1" s="1"/>
  <c r="AN605" i="1"/>
  <c r="AN606" i="1"/>
  <c r="AN607" i="1"/>
  <c r="AO607" i="1" s="1"/>
  <c r="AN608" i="1"/>
  <c r="AO608" i="1" s="1"/>
  <c r="AN609" i="1"/>
  <c r="AP609" i="1" s="1"/>
  <c r="AN610" i="1"/>
  <c r="AN611" i="1"/>
  <c r="AN612" i="1"/>
  <c r="AO612" i="1" s="1"/>
  <c r="AN613" i="1"/>
  <c r="AP613" i="1" s="1"/>
  <c r="AN614" i="1"/>
  <c r="AN615" i="1"/>
  <c r="AO615" i="1" s="1"/>
  <c r="AN616" i="1"/>
  <c r="AO616" i="1" s="1"/>
  <c r="AN617" i="1"/>
  <c r="AP617" i="1" s="1"/>
  <c r="AN618" i="1"/>
  <c r="AN619" i="1"/>
  <c r="AO619" i="1" s="1"/>
  <c r="AN620" i="1"/>
  <c r="AO620" i="1" s="1"/>
  <c r="AN621" i="1"/>
  <c r="AN622" i="1"/>
  <c r="AN623" i="1"/>
  <c r="AN624" i="1"/>
  <c r="AO624" i="1" s="1"/>
  <c r="AN625" i="1"/>
  <c r="AP625" i="1" s="1"/>
  <c r="AN626" i="1"/>
  <c r="AN627" i="1"/>
  <c r="AO627" i="1" s="1"/>
  <c r="AN628" i="1"/>
  <c r="AO628" i="1" s="1"/>
  <c r="AN629" i="1"/>
  <c r="AP629" i="1" s="1"/>
  <c r="AN630" i="1"/>
  <c r="AN631" i="1"/>
  <c r="AP631" i="1" s="1"/>
  <c r="AN632" i="1"/>
  <c r="AO632" i="1" s="1"/>
  <c r="AN633" i="1"/>
  <c r="AP633" i="1" s="1"/>
  <c r="AN634" i="1"/>
  <c r="AN635" i="1"/>
  <c r="AN636" i="1"/>
  <c r="AO636" i="1" s="1"/>
  <c r="AN637" i="1"/>
  <c r="AN638" i="1"/>
  <c r="AN639" i="1"/>
  <c r="AP639" i="1" s="1"/>
  <c r="AN640" i="1"/>
  <c r="AO640" i="1" s="1"/>
  <c r="AN641" i="1"/>
  <c r="AP641" i="1" s="1"/>
  <c r="AN642" i="1"/>
  <c r="AN643" i="1"/>
  <c r="AO643" i="1" s="1"/>
  <c r="AN644" i="1"/>
  <c r="AO644" i="1" s="1"/>
  <c r="AN645" i="1"/>
  <c r="AP645" i="1" s="1"/>
  <c r="AN646" i="1"/>
  <c r="AN647" i="1"/>
  <c r="AO647" i="1" s="1"/>
  <c r="AN648" i="1"/>
  <c r="AO648" i="1" s="1"/>
  <c r="AN649" i="1"/>
  <c r="AP649" i="1" s="1"/>
  <c r="AN650" i="1"/>
  <c r="AN651" i="1"/>
  <c r="AN652" i="1"/>
  <c r="AO652" i="1" s="1"/>
  <c r="AN653" i="1"/>
  <c r="AN654" i="1"/>
  <c r="AN655" i="1"/>
  <c r="AO655" i="1" s="1"/>
  <c r="AN656" i="1"/>
  <c r="AO656" i="1" s="1"/>
  <c r="AN657" i="1"/>
  <c r="AP657" i="1" s="1"/>
  <c r="AN658" i="1"/>
  <c r="AN659" i="1"/>
  <c r="AN660" i="1"/>
  <c r="AO660" i="1" s="1"/>
  <c r="AN661" i="1"/>
  <c r="AP661" i="1" s="1"/>
  <c r="AN662" i="1"/>
  <c r="AN663" i="1"/>
  <c r="AP663" i="1" s="1"/>
  <c r="AN664" i="1"/>
  <c r="AO664" i="1" s="1"/>
  <c r="AN665" i="1"/>
  <c r="AP665" i="1" s="1"/>
  <c r="AN666" i="1"/>
  <c r="AN667" i="1"/>
  <c r="AO667" i="1" s="1"/>
  <c r="AN668" i="1"/>
  <c r="AO668" i="1" s="1"/>
  <c r="AN669" i="1"/>
  <c r="AN670" i="1"/>
  <c r="AN671" i="1"/>
  <c r="AN672" i="1"/>
  <c r="AO672" i="1" s="1"/>
  <c r="AN673" i="1"/>
  <c r="AP673" i="1" s="1"/>
  <c r="AN674" i="1"/>
  <c r="AN675" i="1"/>
  <c r="AP675" i="1" s="1"/>
  <c r="AN676" i="1"/>
  <c r="AO676" i="1" s="1"/>
  <c r="AN677" i="1"/>
  <c r="AP677" i="1" s="1"/>
  <c r="AN678" i="1"/>
  <c r="AN679" i="1"/>
  <c r="AN680" i="1"/>
  <c r="AO680" i="1" s="1"/>
  <c r="AN681" i="1"/>
  <c r="AP681" i="1" s="1"/>
  <c r="AN682" i="1"/>
  <c r="AN683" i="1"/>
  <c r="AN684" i="1"/>
  <c r="AO684" i="1" s="1"/>
  <c r="AN685" i="1"/>
  <c r="AN686" i="1"/>
  <c r="AN687" i="1"/>
  <c r="AO687" i="1" s="1"/>
  <c r="AN688" i="1"/>
  <c r="AO688" i="1" s="1"/>
  <c r="AN689" i="1"/>
  <c r="AN690" i="1"/>
  <c r="AN691" i="1"/>
  <c r="AP691" i="1" s="1"/>
  <c r="AN692" i="1"/>
  <c r="AO692" i="1" s="1"/>
  <c r="AN693" i="1"/>
  <c r="AP693" i="1" s="1"/>
  <c r="AN694" i="1"/>
  <c r="AN695" i="1"/>
  <c r="AO695" i="1" s="1"/>
  <c r="AN696" i="1"/>
  <c r="AO696" i="1" s="1"/>
  <c r="AN697" i="1"/>
  <c r="AP697" i="1" s="1"/>
  <c r="AN698" i="1"/>
  <c r="AN699" i="1"/>
  <c r="AN700" i="1"/>
  <c r="AO700" i="1" s="1"/>
  <c r="AN701" i="1"/>
  <c r="AN702" i="1"/>
  <c r="AN703" i="1"/>
  <c r="AO703" i="1" s="1"/>
  <c r="AN704" i="1"/>
  <c r="AO704" i="1" s="1"/>
  <c r="AN705" i="1"/>
  <c r="AP705" i="1" s="1"/>
  <c r="AN706" i="1"/>
  <c r="AN707" i="1"/>
  <c r="AO707" i="1" s="1"/>
  <c r="AN708" i="1"/>
  <c r="AO708" i="1" s="1"/>
  <c r="AN709" i="1"/>
  <c r="AN710" i="1"/>
  <c r="AN711" i="1"/>
  <c r="AP711" i="1" s="1"/>
  <c r="AN712" i="1"/>
  <c r="AN713" i="1"/>
  <c r="AP713" i="1" s="1"/>
  <c r="AN714" i="1"/>
  <c r="AN715" i="1"/>
  <c r="AN716" i="1"/>
  <c r="AN717" i="1"/>
  <c r="AP717" i="1" s="1"/>
  <c r="AN718" i="1"/>
  <c r="AN719" i="1"/>
  <c r="AO719" i="1" s="1"/>
  <c r="AN720" i="1"/>
  <c r="AO720" i="1" s="1"/>
  <c r="AN721" i="1"/>
  <c r="AN722" i="1"/>
  <c r="AO722" i="1" s="1"/>
  <c r="AN723" i="1"/>
  <c r="AO723" i="1" s="1"/>
  <c r="AN724" i="1"/>
  <c r="AN725" i="1"/>
  <c r="AP725" i="1" s="1"/>
  <c r="AN726" i="1"/>
  <c r="AN727" i="1"/>
  <c r="AP727" i="1" s="1"/>
  <c r="AN728" i="1"/>
  <c r="AN729" i="1"/>
  <c r="AP729" i="1" s="1"/>
  <c r="AN730" i="1"/>
  <c r="AN731" i="1"/>
  <c r="AN732" i="1"/>
  <c r="AN733" i="1"/>
  <c r="AP733" i="1" s="1"/>
  <c r="AN734" i="1"/>
  <c r="AN735" i="1"/>
  <c r="AP735" i="1" s="1"/>
  <c r="AN736" i="1"/>
  <c r="AO736" i="1" s="1"/>
  <c r="AN737" i="1"/>
  <c r="AP737" i="1" s="1"/>
  <c r="AN738" i="1"/>
  <c r="AO738" i="1" s="1"/>
  <c r="AN739" i="1"/>
  <c r="AO739" i="1" s="1"/>
  <c r="AN740" i="1"/>
  <c r="AN741" i="1"/>
  <c r="AN742" i="1"/>
  <c r="AN743" i="1"/>
  <c r="AP743" i="1" s="1"/>
  <c r="AN744" i="1"/>
  <c r="AN745" i="1"/>
  <c r="AN746" i="1"/>
  <c r="AN747" i="1"/>
  <c r="AO747" i="1" s="1"/>
  <c r="AN748" i="1"/>
  <c r="AN749" i="1"/>
  <c r="AP749" i="1" s="1"/>
  <c r="AN750" i="1"/>
  <c r="AN751" i="1"/>
  <c r="AO751" i="1" s="1"/>
  <c r="AN752" i="1"/>
  <c r="AO752" i="1" s="1"/>
  <c r="AN753" i="1"/>
  <c r="AN754" i="1"/>
  <c r="AO754" i="1" s="1"/>
  <c r="AN755" i="1"/>
  <c r="AO755" i="1" s="1"/>
  <c r="AN756" i="1"/>
  <c r="AN757" i="1"/>
  <c r="AP757" i="1" s="1"/>
  <c r="AN758" i="1"/>
  <c r="AN759" i="1"/>
  <c r="AO759" i="1" s="1"/>
  <c r="AN760" i="1"/>
  <c r="AN761" i="1"/>
  <c r="AP761" i="1" s="1"/>
  <c r="AN762" i="1"/>
  <c r="AN763" i="1"/>
  <c r="AN764" i="1"/>
  <c r="AN765" i="1"/>
  <c r="AP765" i="1" s="1"/>
  <c r="AN766" i="1"/>
  <c r="AN767" i="1"/>
  <c r="AP767" i="1" s="1"/>
  <c r="AN768" i="1"/>
  <c r="AO768" i="1" s="1"/>
  <c r="AN769" i="1"/>
  <c r="AN770" i="1"/>
  <c r="AO770" i="1" s="1"/>
  <c r="AN771" i="1"/>
  <c r="AN772" i="1"/>
  <c r="AO772" i="1" s="1"/>
  <c r="AN773" i="1"/>
  <c r="AP773" i="1" s="1"/>
  <c r="AN774" i="1"/>
  <c r="AN775" i="1"/>
  <c r="AO775" i="1" s="1"/>
  <c r="AN776" i="1"/>
  <c r="AN777" i="1"/>
  <c r="AN778" i="1"/>
  <c r="AN779" i="1"/>
  <c r="AN780" i="1"/>
  <c r="AN781" i="1"/>
  <c r="AN782" i="1"/>
  <c r="AP782" i="1" s="1"/>
  <c r="AN783" i="1"/>
  <c r="AN784" i="1"/>
  <c r="AN785" i="1"/>
  <c r="AP785" i="1" s="1"/>
  <c r="AN786" i="1"/>
  <c r="AP786" i="1" s="1"/>
  <c r="AN787" i="1"/>
  <c r="AN788" i="1"/>
  <c r="AO788" i="1" s="1"/>
  <c r="AN789" i="1"/>
  <c r="AP789" i="1" s="1"/>
  <c r="AN790" i="1"/>
  <c r="AP790" i="1" s="1"/>
  <c r="AN791" i="1"/>
  <c r="AN792" i="1"/>
  <c r="AN793" i="1"/>
  <c r="AN794" i="1"/>
  <c r="AP794" i="1" s="1"/>
  <c r="AN795" i="1"/>
  <c r="AO795" i="1" s="1"/>
  <c r="AN796" i="1"/>
  <c r="AN797" i="1"/>
  <c r="AP797" i="1" s="1"/>
  <c r="AN798" i="1"/>
  <c r="AN799" i="1"/>
  <c r="AN800" i="1"/>
  <c r="AP800" i="1" s="1"/>
  <c r="AN801" i="1"/>
  <c r="AO801" i="1" s="1"/>
  <c r="AN802" i="1"/>
  <c r="AN803" i="1"/>
  <c r="AN804" i="1"/>
  <c r="AP804" i="1" s="1"/>
  <c r="AN805" i="1"/>
  <c r="AN806" i="1"/>
  <c r="AN807" i="1"/>
  <c r="AN808" i="1"/>
  <c r="AP808" i="1" s="1"/>
  <c r="AN809" i="1"/>
  <c r="AN810" i="1"/>
  <c r="AN811" i="1"/>
  <c r="AN812" i="1"/>
  <c r="AP812" i="1" s="1"/>
  <c r="AN813" i="1"/>
  <c r="AO813" i="1" s="1"/>
  <c r="AN814" i="1"/>
  <c r="AN815" i="1"/>
  <c r="AN816" i="1"/>
  <c r="AP816" i="1" s="1"/>
  <c r="AN817" i="1"/>
  <c r="AO817" i="1" s="1"/>
  <c r="AN818" i="1"/>
  <c r="AN819" i="1"/>
  <c r="AN820" i="1"/>
  <c r="AP820" i="1" s="1"/>
  <c r="AN821" i="1"/>
  <c r="AN822" i="1"/>
  <c r="AN823" i="1"/>
  <c r="AN824" i="1"/>
  <c r="AN825" i="1"/>
  <c r="AO825" i="1" s="1"/>
  <c r="AN826" i="1"/>
  <c r="AN827" i="1"/>
  <c r="AN828" i="1"/>
  <c r="AP828" i="1" s="1"/>
  <c r="AN829" i="1"/>
  <c r="AO829" i="1" s="1"/>
  <c r="AN830" i="1"/>
  <c r="AN831" i="1"/>
  <c r="AN832" i="1"/>
  <c r="AP832" i="1" s="1"/>
  <c r="AN833" i="1"/>
  <c r="AO833" i="1" s="1"/>
  <c r="AN834" i="1"/>
  <c r="AN835" i="1"/>
  <c r="AN836" i="1"/>
  <c r="AP836" i="1" s="1"/>
  <c r="AN837" i="1"/>
  <c r="AO837" i="1" s="1"/>
  <c r="AN838" i="1"/>
  <c r="AN839" i="1"/>
  <c r="AN840" i="1"/>
  <c r="AP840" i="1" s="1"/>
  <c r="AN841" i="1"/>
  <c r="AO841" i="1" s="1"/>
  <c r="AN842" i="1"/>
  <c r="AN843" i="1"/>
  <c r="AN844" i="1"/>
  <c r="AP844" i="1" s="1"/>
  <c r="AN845" i="1"/>
  <c r="AN846" i="1"/>
  <c r="AN847" i="1"/>
  <c r="AN848" i="1"/>
  <c r="AP848" i="1" s="1"/>
  <c r="AN849" i="1"/>
  <c r="AO849" i="1" s="1"/>
  <c r="AN850" i="1"/>
  <c r="AN851" i="1"/>
  <c r="AN852" i="1"/>
  <c r="AP852" i="1" s="1"/>
  <c r="AN853" i="1"/>
  <c r="AN854" i="1"/>
  <c r="AN855" i="1"/>
  <c r="AN856" i="1"/>
  <c r="AN857" i="1"/>
  <c r="AN858" i="1"/>
  <c r="AN859" i="1"/>
  <c r="AN860" i="1"/>
  <c r="AP860" i="1" s="1"/>
  <c r="AN861" i="1"/>
  <c r="AO861" i="1" s="1"/>
  <c r="AN862" i="1"/>
  <c r="AN863" i="1"/>
  <c r="AN864" i="1"/>
  <c r="AP864" i="1" s="1"/>
  <c r="AN865" i="1"/>
  <c r="AN866" i="1"/>
  <c r="AN867" i="1"/>
  <c r="AN868" i="1"/>
  <c r="AP868" i="1" s="1"/>
  <c r="AN869" i="1"/>
  <c r="AN870" i="1"/>
  <c r="AN871" i="1"/>
  <c r="AN872" i="1"/>
  <c r="AP872" i="1" s="1"/>
  <c r="AN873" i="1"/>
  <c r="AO873" i="1" s="1"/>
  <c r="AN874" i="1"/>
  <c r="AN875" i="1"/>
  <c r="AN876" i="1"/>
  <c r="AP876" i="1" s="1"/>
  <c r="AN877" i="1"/>
  <c r="AO877" i="1" s="1"/>
  <c r="AN878" i="1"/>
  <c r="AN879" i="1"/>
  <c r="AN880" i="1"/>
  <c r="AP880" i="1" s="1"/>
  <c r="AN881" i="1"/>
  <c r="AO881" i="1" s="1"/>
  <c r="AN882" i="1"/>
  <c r="AN883" i="1"/>
  <c r="AN884" i="1"/>
  <c r="AP884" i="1" s="1"/>
  <c r="AN885" i="1"/>
  <c r="AN886" i="1"/>
  <c r="AN887" i="1"/>
  <c r="AN888" i="1"/>
  <c r="AN889" i="1"/>
  <c r="AN890" i="1"/>
  <c r="AN891" i="1"/>
  <c r="AN892" i="1"/>
  <c r="AN893" i="1"/>
  <c r="AO893" i="1" s="1"/>
  <c r="AN894" i="1"/>
  <c r="AN895" i="1"/>
  <c r="AN896" i="1"/>
  <c r="AP896" i="1" s="1"/>
  <c r="AN897" i="1"/>
  <c r="AN898" i="1"/>
  <c r="AN899" i="1"/>
  <c r="AN900" i="1"/>
  <c r="AN901" i="1"/>
  <c r="AO901" i="1" s="1"/>
  <c r="AN902" i="1"/>
  <c r="AP902" i="1" s="1"/>
  <c r="AN903" i="1"/>
  <c r="AN904" i="1"/>
  <c r="AP904" i="1" s="1"/>
  <c r="AN905" i="1"/>
  <c r="AN906" i="1"/>
  <c r="AP906" i="1" s="1"/>
  <c r="AN907" i="1"/>
  <c r="AN908" i="1"/>
  <c r="AN909" i="1"/>
  <c r="AO909" i="1" s="1"/>
  <c r="AN910" i="1"/>
  <c r="AP910" i="1" s="1"/>
  <c r="AN911" i="1"/>
  <c r="AN912" i="1"/>
  <c r="AP912" i="1" s="1"/>
  <c r="AN913" i="1"/>
  <c r="AN914" i="1"/>
  <c r="AP914" i="1" s="1"/>
  <c r="AN915" i="1"/>
  <c r="AN916" i="1"/>
  <c r="AN917" i="1"/>
  <c r="AO917" i="1" s="1"/>
  <c r="AN918" i="1"/>
  <c r="AP918" i="1" s="1"/>
  <c r="AN919" i="1"/>
  <c r="AN920" i="1"/>
  <c r="AP920" i="1" s="1"/>
  <c r="AN921" i="1"/>
  <c r="AN922" i="1"/>
  <c r="AP922" i="1" s="1"/>
  <c r="AN923" i="1"/>
  <c r="AN924" i="1"/>
  <c r="AN925" i="1"/>
  <c r="AO925" i="1" s="1"/>
  <c r="AN926" i="1"/>
  <c r="AP926" i="1" s="1"/>
  <c r="AN927" i="1"/>
  <c r="AN928" i="1"/>
  <c r="AP928" i="1" s="1"/>
  <c r="AN929" i="1"/>
  <c r="AN930" i="1"/>
  <c r="AP930" i="1" s="1"/>
  <c r="AN931" i="1"/>
  <c r="AN932" i="1"/>
  <c r="AN933" i="1"/>
  <c r="AO933" i="1" s="1"/>
  <c r="AN934" i="1"/>
  <c r="AP934" i="1" s="1"/>
  <c r="AN935" i="1"/>
  <c r="AN936" i="1"/>
  <c r="AP936" i="1" s="1"/>
  <c r="AN937" i="1"/>
  <c r="AN938" i="1"/>
  <c r="AP938" i="1" s="1"/>
  <c r="AN939" i="1"/>
  <c r="AN940" i="1"/>
  <c r="AN941" i="1"/>
  <c r="AO941" i="1" s="1"/>
  <c r="AN942" i="1"/>
  <c r="AP942" i="1" s="1"/>
  <c r="AN943" i="1"/>
  <c r="AN944" i="1"/>
  <c r="AP944" i="1" s="1"/>
  <c r="AN945" i="1"/>
  <c r="AN946" i="1"/>
  <c r="AP946" i="1" s="1"/>
  <c r="AN947" i="1"/>
  <c r="AN948" i="1"/>
  <c r="AN949" i="1"/>
  <c r="AO949" i="1" s="1"/>
  <c r="AN950" i="1"/>
  <c r="AP950" i="1" s="1"/>
  <c r="AN951" i="1"/>
  <c r="AN952" i="1"/>
  <c r="AP952" i="1" s="1"/>
  <c r="AN953" i="1"/>
  <c r="AN954" i="1"/>
  <c r="AP954" i="1" s="1"/>
  <c r="AN955" i="1"/>
  <c r="AN956" i="1"/>
  <c r="AN957" i="1"/>
  <c r="AO957" i="1" s="1"/>
  <c r="AN958" i="1"/>
  <c r="AP958" i="1" s="1"/>
  <c r="AN959" i="1"/>
  <c r="AN960" i="1"/>
  <c r="AP960" i="1" s="1"/>
  <c r="AN961" i="1"/>
  <c r="AN962" i="1"/>
  <c r="AP962" i="1" s="1"/>
  <c r="AN963" i="1"/>
  <c r="AN964" i="1"/>
  <c r="AN965" i="1"/>
  <c r="AO965" i="1" s="1"/>
  <c r="AN966" i="1"/>
  <c r="AP966" i="1" s="1"/>
  <c r="AN967" i="1"/>
  <c r="AN968" i="1"/>
  <c r="AP968" i="1" s="1"/>
  <c r="AN969" i="1"/>
  <c r="AN970" i="1"/>
  <c r="AP970" i="1" s="1"/>
  <c r="AN971" i="1"/>
  <c r="AN972" i="1"/>
  <c r="AN973" i="1"/>
  <c r="AO973" i="1" s="1"/>
  <c r="AN974" i="1"/>
  <c r="AP974" i="1" s="1"/>
  <c r="AN975" i="1"/>
  <c r="AN976" i="1"/>
  <c r="AP976" i="1" s="1"/>
  <c r="AN977" i="1"/>
  <c r="AN978" i="1"/>
  <c r="AP978" i="1" s="1"/>
  <c r="AN979" i="1"/>
  <c r="AN980" i="1"/>
  <c r="AN981" i="1"/>
  <c r="AN982" i="1"/>
  <c r="AP982" i="1" s="1"/>
  <c r="AN983" i="1"/>
  <c r="AN984" i="1"/>
  <c r="AN985" i="1"/>
  <c r="AN986" i="1"/>
  <c r="AP986" i="1" s="1"/>
  <c r="AN987" i="1"/>
  <c r="AN988" i="1"/>
  <c r="AN989" i="1"/>
  <c r="AN990" i="1"/>
  <c r="AP990" i="1" s="1"/>
  <c r="AN991" i="1"/>
  <c r="AN992" i="1"/>
  <c r="AN993" i="1"/>
  <c r="AN994" i="1"/>
  <c r="AP994" i="1" s="1"/>
  <c r="AN995" i="1"/>
  <c r="AN996" i="1"/>
  <c r="AN997" i="1"/>
  <c r="AO997" i="1" s="1"/>
  <c r="AN998" i="1"/>
  <c r="AP998" i="1" s="1"/>
  <c r="AN999" i="1"/>
  <c r="AN1000" i="1"/>
  <c r="AP1000" i="1" s="1"/>
  <c r="AN1001" i="1"/>
  <c r="AN1002" i="1"/>
  <c r="AP1002" i="1" s="1"/>
  <c r="AN1003" i="1"/>
  <c r="AN1004" i="1"/>
  <c r="AN1005" i="1"/>
  <c r="AO1005" i="1" s="1"/>
  <c r="AN1006" i="1"/>
  <c r="AP1006" i="1" s="1"/>
  <c r="AN1007" i="1"/>
  <c r="AN1008" i="1"/>
  <c r="AO1008" i="1" s="1"/>
  <c r="AN1009" i="1"/>
  <c r="AO1009" i="1" s="1"/>
  <c r="AN1010" i="1"/>
  <c r="AP1010" i="1" s="1"/>
  <c r="AN1011" i="1"/>
  <c r="AN1012" i="1"/>
  <c r="AP1012" i="1" s="1"/>
  <c r="AN1013" i="1"/>
  <c r="AO1013" i="1" s="1"/>
  <c r="AN1014" i="1"/>
  <c r="AP1014" i="1" s="1"/>
  <c r="AN1015" i="1"/>
  <c r="AN1016" i="1"/>
  <c r="AO1016" i="1" s="1"/>
  <c r="AN1017" i="1"/>
  <c r="AO1017" i="1" s="1"/>
  <c r="AN1018" i="1"/>
  <c r="AN1019" i="1"/>
  <c r="AN1020" i="1"/>
  <c r="AP1020" i="1" s="1"/>
  <c r="AN1021" i="1"/>
  <c r="AO1021" i="1" s="1"/>
  <c r="AN1022" i="1"/>
  <c r="AP1022" i="1" s="1"/>
  <c r="AN1023" i="1"/>
  <c r="AN1024" i="1"/>
  <c r="AP1024" i="1" s="1"/>
  <c r="AN1025" i="1"/>
  <c r="AO1025" i="1" s="1"/>
  <c r="AN1026" i="1"/>
  <c r="AP1026" i="1" s="1"/>
  <c r="AN1027" i="1"/>
  <c r="AN1028" i="1"/>
  <c r="AO1028" i="1" s="1"/>
  <c r="AN1029" i="1"/>
  <c r="AO1029" i="1" s="1"/>
  <c r="AN1030" i="1"/>
  <c r="AP1030" i="1" s="1"/>
  <c r="AN1031" i="1"/>
  <c r="AN1032" i="1"/>
  <c r="AP1032" i="1" s="1"/>
  <c r="AN1033" i="1"/>
  <c r="AO1033" i="1" s="1"/>
  <c r="AN1034" i="1"/>
  <c r="AP1034" i="1" s="1"/>
  <c r="AN1035" i="1"/>
  <c r="AN1036" i="1"/>
  <c r="AN1037" i="1"/>
  <c r="AO1037" i="1" s="1"/>
  <c r="AN1038" i="1"/>
  <c r="AP1038" i="1" s="1"/>
  <c r="AN1039" i="1"/>
  <c r="AN1040" i="1"/>
  <c r="AO1040" i="1" s="1"/>
  <c r="AN1041" i="1"/>
  <c r="AO1041" i="1" s="1"/>
  <c r="AN1042" i="1"/>
  <c r="AP1042" i="1" s="1"/>
  <c r="AN1043" i="1"/>
  <c r="AO1043" i="1" s="1"/>
  <c r="AN1044" i="1"/>
  <c r="AP1044" i="1" s="1"/>
  <c r="AN1045" i="1"/>
  <c r="AO1045" i="1" s="1"/>
  <c r="AN1046" i="1"/>
  <c r="AN1047" i="1"/>
  <c r="AO1047" i="1" s="1"/>
  <c r="AN1048" i="1"/>
  <c r="AN1049" i="1"/>
  <c r="AO1049" i="1" s="1"/>
  <c r="AN1050" i="1"/>
  <c r="AN1051" i="1"/>
  <c r="AO1051" i="1" s="1"/>
  <c r="AN1052" i="1"/>
  <c r="AP1052" i="1" s="1"/>
  <c r="AN1053" i="1"/>
  <c r="AO1053" i="1" s="1"/>
  <c r="AN1054" i="1"/>
  <c r="AP1054" i="1" s="1"/>
  <c r="AN1055" i="1"/>
  <c r="AO1055" i="1" s="1"/>
  <c r="AN1056" i="1"/>
  <c r="AO1056" i="1" s="1"/>
  <c r="AN1057" i="1"/>
  <c r="AO1057" i="1" s="1"/>
  <c r="AN1058" i="1"/>
  <c r="AP1058" i="1" s="1"/>
  <c r="AN1059" i="1"/>
  <c r="AO1059" i="1" s="1"/>
  <c r="AN1060" i="1"/>
  <c r="AP1060" i="1" s="1"/>
  <c r="AN1061" i="1"/>
  <c r="AO1061" i="1" s="1"/>
  <c r="AN1062" i="1"/>
  <c r="AN1063" i="1"/>
  <c r="AO1063" i="1" s="1"/>
  <c r="AN1064" i="1"/>
  <c r="AN1065" i="1"/>
  <c r="AO1065" i="1" s="1"/>
  <c r="AN1066" i="1"/>
  <c r="AN1067" i="1"/>
  <c r="AO1067" i="1" s="1"/>
  <c r="AN1068" i="1"/>
  <c r="AP1068" i="1" s="1"/>
  <c r="AN1069" i="1"/>
  <c r="AO1069" i="1" s="1"/>
  <c r="AN1070" i="1"/>
  <c r="AN1071" i="1"/>
  <c r="AO1071" i="1" s="1"/>
  <c r="AN1072" i="1"/>
  <c r="AP1072" i="1" s="1"/>
  <c r="AN1073" i="1"/>
  <c r="AO1073" i="1" s="1"/>
  <c r="AN1074" i="1"/>
  <c r="AP1074" i="1" s="1"/>
  <c r="AN1075" i="1"/>
  <c r="AO1075" i="1" s="1"/>
  <c r="AN1076" i="1"/>
  <c r="AP1076" i="1" s="1"/>
  <c r="AN1077" i="1"/>
  <c r="AO1077" i="1" s="1"/>
  <c r="AN1078" i="1"/>
  <c r="AN1079" i="1"/>
  <c r="AO1079" i="1" s="1"/>
  <c r="AN1080" i="1"/>
  <c r="AN1081" i="1"/>
  <c r="AO1081" i="1" s="1"/>
  <c r="AN1082" i="1"/>
  <c r="AN1083" i="1"/>
  <c r="AO1083" i="1" s="1"/>
  <c r="AN1084" i="1"/>
  <c r="AN1085" i="1"/>
  <c r="AO1085" i="1" s="1"/>
  <c r="AN1086" i="1"/>
  <c r="AP1086" i="1" s="1"/>
  <c r="AN1087" i="1"/>
  <c r="AO1087" i="1" s="1"/>
  <c r="AN1088" i="1"/>
  <c r="AP1088" i="1" s="1"/>
  <c r="AN1089" i="1"/>
  <c r="AO1089" i="1" s="1"/>
  <c r="AN1090" i="1"/>
  <c r="AN1091" i="1"/>
  <c r="AO1091" i="1" s="1"/>
  <c r="AN1092" i="1"/>
  <c r="AP1092" i="1" s="1"/>
  <c r="AN1093" i="1"/>
  <c r="AN1094" i="1"/>
  <c r="AN1095" i="1"/>
  <c r="AO1095" i="1" s="1"/>
  <c r="AN1096" i="1"/>
  <c r="AN1097" i="1"/>
  <c r="AO1097" i="1" s="1"/>
  <c r="AN1098" i="1"/>
  <c r="AN1099" i="1"/>
  <c r="AO1099" i="1" s="1"/>
  <c r="AN1100" i="1"/>
  <c r="AP1100" i="1" s="1"/>
  <c r="AN1101" i="1"/>
  <c r="AO1101" i="1" s="1"/>
  <c r="AN1102" i="1"/>
  <c r="AP1102" i="1" s="1"/>
  <c r="AN1103" i="1"/>
  <c r="AO1103" i="1" s="1"/>
  <c r="AN1104" i="1"/>
  <c r="AO1104" i="1" s="1"/>
  <c r="AP1104" i="1"/>
  <c r="AN1105" i="1"/>
  <c r="AO1105" i="1" s="1"/>
  <c r="AN1106" i="1"/>
  <c r="AP1106" i="1" s="1"/>
  <c r="AN1107" i="1"/>
  <c r="AN1108" i="1"/>
  <c r="AP1108" i="1" s="1"/>
  <c r="AN1109" i="1"/>
  <c r="AO1109" i="1" s="1"/>
  <c r="AN1110" i="1"/>
  <c r="AP1110" i="1" s="1"/>
  <c r="AN1111" i="1"/>
  <c r="AP1111" i="1" s="1"/>
  <c r="AN1112" i="1"/>
  <c r="AO1112" i="1" s="1"/>
  <c r="AN1113" i="1"/>
  <c r="AO1113" i="1" s="1"/>
  <c r="AN1114" i="1"/>
  <c r="AP1114" i="1" s="1"/>
  <c r="AN1115" i="1"/>
  <c r="AN1116" i="1"/>
  <c r="AP1116" i="1" s="1"/>
  <c r="AN1117" i="1"/>
  <c r="AO1117" i="1" s="1"/>
  <c r="AN1118" i="1"/>
  <c r="AP1118" i="1" s="1"/>
  <c r="AN1119" i="1"/>
  <c r="AP1119" i="1" s="1"/>
  <c r="AN1120" i="1"/>
  <c r="AP1120" i="1" s="1"/>
  <c r="AN1121" i="1"/>
  <c r="AO1121" i="1" s="1"/>
  <c r="AN1122" i="1"/>
  <c r="AP1122" i="1" s="1"/>
  <c r="AN1123" i="1"/>
  <c r="AN1124" i="1"/>
  <c r="AP1124" i="1" s="1"/>
  <c r="AN1125" i="1"/>
  <c r="AO1125" i="1" s="1"/>
  <c r="AN1126" i="1"/>
  <c r="AP1126" i="1" s="1"/>
  <c r="AN1127" i="1"/>
  <c r="AP1127" i="1" s="1"/>
  <c r="AN1128" i="1"/>
  <c r="AO1128" i="1" s="1"/>
  <c r="AN1129" i="1"/>
  <c r="AO1129" i="1" s="1"/>
  <c r="AN1130" i="1"/>
  <c r="AP1130" i="1" s="1"/>
  <c r="AN1131" i="1"/>
  <c r="AN1132" i="1"/>
  <c r="AP1132" i="1" s="1"/>
  <c r="AN1133" i="1"/>
  <c r="AO1133" i="1" s="1"/>
  <c r="AN1134" i="1"/>
  <c r="AP1134" i="1" s="1"/>
  <c r="AN1135" i="1"/>
  <c r="AP1135" i="1" s="1"/>
  <c r="AN1136" i="1"/>
  <c r="AO1136" i="1" s="1"/>
  <c r="AN1137" i="1"/>
  <c r="AO1137" i="1" s="1"/>
  <c r="AN1138" i="1"/>
  <c r="AP1138" i="1" s="1"/>
  <c r="AN1139" i="1"/>
  <c r="AP1139" i="1" s="1"/>
  <c r="AN1140" i="1"/>
  <c r="AO1140" i="1" s="1"/>
  <c r="AN1141" i="1"/>
  <c r="AO1141" i="1" s="1"/>
  <c r="AN1142" i="1"/>
  <c r="AP1142" i="1" s="1"/>
  <c r="AN1143" i="1"/>
  <c r="AP1143" i="1" s="1"/>
  <c r="AN1144" i="1"/>
  <c r="AO1144" i="1" s="1"/>
  <c r="AN1145" i="1"/>
  <c r="AO1145" i="1" s="1"/>
  <c r="AN1146" i="1"/>
  <c r="AP1146" i="1" s="1"/>
  <c r="AN1147" i="1"/>
  <c r="AO1147" i="1" s="1"/>
  <c r="AN1148" i="1"/>
  <c r="AN1149" i="1"/>
  <c r="AO1149" i="1" s="1"/>
  <c r="AN1150" i="1"/>
  <c r="AP1150" i="1" s="1"/>
  <c r="AN1151" i="1"/>
  <c r="AP1151" i="1" s="1"/>
  <c r="AN1152" i="1"/>
  <c r="AP1152" i="1" s="1"/>
  <c r="AN1153" i="1"/>
  <c r="AO1153" i="1" s="1"/>
  <c r="AN1154" i="1"/>
  <c r="AP1154" i="1" s="1"/>
  <c r="AN1155" i="1"/>
  <c r="AO1155" i="1" s="1"/>
  <c r="AN1156" i="1"/>
  <c r="AO1156" i="1" s="1"/>
  <c r="AN1157" i="1"/>
  <c r="AO1157" i="1" s="1"/>
  <c r="AN1158" i="1"/>
  <c r="AP1158" i="1" s="1"/>
  <c r="AN1159" i="1"/>
  <c r="AP1159" i="1" s="1"/>
  <c r="AN1160" i="1"/>
  <c r="AP1160" i="1" s="1"/>
  <c r="AN1161" i="1"/>
  <c r="AO1161" i="1" s="1"/>
  <c r="AN1162" i="1"/>
  <c r="AP1162" i="1" s="1"/>
  <c r="AN1163" i="1"/>
  <c r="AN1164" i="1"/>
  <c r="AP1164" i="1" s="1"/>
  <c r="AN1165" i="1"/>
  <c r="AO1165" i="1" s="1"/>
  <c r="AN1166" i="1"/>
  <c r="AP1166" i="1" s="1"/>
  <c r="AN1167" i="1"/>
  <c r="AP1167" i="1" s="1"/>
  <c r="AN1168" i="1"/>
  <c r="AN1169" i="1"/>
  <c r="AO1169" i="1" s="1"/>
  <c r="AN1170" i="1"/>
  <c r="AP1170" i="1" s="1"/>
  <c r="AN1171" i="1"/>
  <c r="AO1171" i="1" s="1"/>
  <c r="AN1172" i="1"/>
  <c r="AP1172" i="1" s="1"/>
  <c r="AN1173" i="1"/>
  <c r="AO1173" i="1" s="1"/>
  <c r="AN1174" i="1"/>
  <c r="AP1174" i="1" s="1"/>
  <c r="AN1175" i="1"/>
  <c r="AP1175" i="1" s="1"/>
  <c r="AN1176" i="1"/>
  <c r="AO1176" i="1" s="1"/>
  <c r="AN1177" i="1"/>
  <c r="AO1177" i="1" s="1"/>
  <c r="AN1178" i="1"/>
  <c r="AP1178" i="1" s="1"/>
  <c r="AN1179" i="1"/>
  <c r="AO1179" i="1" s="1"/>
  <c r="AN1180" i="1"/>
  <c r="AN1181" i="1"/>
  <c r="AO1181" i="1" s="1"/>
  <c r="AN1182" i="1"/>
  <c r="AP1182" i="1" s="1"/>
  <c r="AN1183" i="1"/>
  <c r="AP1183" i="1" s="1"/>
  <c r="AN1184" i="1"/>
  <c r="AP1184" i="1" s="1"/>
  <c r="AN1185" i="1"/>
  <c r="AO1185" i="1" s="1"/>
  <c r="AN1186" i="1"/>
  <c r="AP1186" i="1" s="1"/>
  <c r="AN1187" i="1"/>
  <c r="AO1187" i="1" s="1"/>
  <c r="AN1188" i="1"/>
  <c r="AO1188" i="1" s="1"/>
  <c r="AN1189" i="1"/>
  <c r="AO1189" i="1" s="1"/>
  <c r="AN1190" i="1"/>
  <c r="AP1190" i="1" s="1"/>
  <c r="AN1191" i="1"/>
  <c r="AN1192" i="1"/>
  <c r="AP1192" i="1" s="1"/>
  <c r="AN1193" i="1"/>
  <c r="AO1193" i="1" s="1"/>
  <c r="AN1194" i="1"/>
  <c r="AN1195" i="1"/>
  <c r="AN1196" i="1"/>
  <c r="AP1196" i="1" s="1"/>
  <c r="AN1197" i="1"/>
  <c r="AN1198" i="1"/>
  <c r="AP1198" i="1" s="1"/>
  <c r="AN1199" i="1"/>
  <c r="AN1200" i="1"/>
  <c r="AN1201" i="1"/>
  <c r="AO1201" i="1" s="1"/>
  <c r="AN1202" i="1"/>
  <c r="AN1203" i="1"/>
  <c r="AO1203" i="1" s="1"/>
  <c r="AN1204" i="1"/>
  <c r="AP1204" i="1" s="1"/>
  <c r="AN1205" i="1"/>
  <c r="AN1206" i="1"/>
  <c r="AP1206" i="1" s="1"/>
  <c r="AN1207" i="1"/>
  <c r="AN1208" i="1"/>
  <c r="AO1208" i="1" s="1"/>
  <c r="AN1209" i="1"/>
  <c r="AO1209" i="1" s="1"/>
  <c r="AN1210" i="1"/>
  <c r="AN1211" i="1"/>
  <c r="AO1211" i="1" s="1"/>
  <c r="AN1212" i="1"/>
  <c r="AN1213" i="1"/>
  <c r="AN1214" i="1"/>
  <c r="AP1214" i="1" s="1"/>
  <c r="AN1215" i="1"/>
  <c r="AN1216" i="1"/>
  <c r="AP1216" i="1" s="1"/>
  <c r="AN1217" i="1"/>
  <c r="AO1217" i="1" s="1"/>
  <c r="AN1218" i="1"/>
  <c r="AN1219" i="1"/>
  <c r="AP1219" i="1" s="1"/>
  <c r="AN1220" i="1"/>
  <c r="AO1220" i="1" s="1"/>
  <c r="AN1221" i="1"/>
  <c r="AP1221" i="1" s="1"/>
  <c r="AN1222" i="1"/>
  <c r="AN1223" i="1"/>
  <c r="AP1223" i="1" s="1"/>
  <c r="AN1224" i="1"/>
  <c r="AO1224" i="1" s="1"/>
  <c r="AN1225" i="1"/>
  <c r="AP1225" i="1" s="1"/>
  <c r="AN1226" i="1"/>
  <c r="AN1227" i="1"/>
  <c r="AP1227" i="1" s="1"/>
  <c r="AN1228" i="1"/>
  <c r="AO1228" i="1" s="1"/>
  <c r="AN1229" i="1"/>
  <c r="AN1230" i="1"/>
  <c r="AO1230" i="1" s="1"/>
  <c r="AN1231" i="1"/>
  <c r="AN1232" i="1"/>
  <c r="AO1232" i="1" s="1"/>
  <c r="AN1233" i="1"/>
  <c r="AP1233" i="1" s="1"/>
  <c r="AN1234" i="1"/>
  <c r="AO1234" i="1" s="1"/>
  <c r="AN1235" i="1"/>
  <c r="AN1236" i="1"/>
  <c r="AO1236" i="1" s="1"/>
  <c r="AN1237" i="1"/>
  <c r="AO1237" i="1" s="1"/>
  <c r="AN1238" i="1"/>
  <c r="AO1238" i="1" s="1"/>
  <c r="AN1239" i="1"/>
  <c r="AP1239" i="1" s="1"/>
  <c r="AN1240" i="1"/>
  <c r="AO1240" i="1" s="1"/>
  <c r="AN1241" i="1"/>
  <c r="AO1241" i="1" s="1"/>
  <c r="AN1242" i="1"/>
  <c r="AP1242" i="1" s="1"/>
  <c r="AN1243" i="1"/>
  <c r="AP1243" i="1" s="1"/>
  <c r="AN1244" i="1"/>
  <c r="AP1244" i="1" s="1"/>
  <c r="AN1245" i="1"/>
  <c r="AP1245" i="1" s="1"/>
  <c r="AN1246" i="1"/>
  <c r="AP1246" i="1" s="1"/>
  <c r="AN1247" i="1"/>
  <c r="AP1247" i="1" s="1"/>
  <c r="AN1248" i="1"/>
  <c r="AN1249" i="1"/>
  <c r="AP1249" i="1" s="1"/>
  <c r="AN1250" i="1"/>
  <c r="AP1250" i="1" s="1"/>
  <c r="AN1251" i="1"/>
  <c r="AO1251" i="1" s="1"/>
  <c r="AN1252" i="1"/>
  <c r="AN1253" i="1"/>
  <c r="AP1253" i="1" s="1"/>
  <c r="AN1254" i="1"/>
  <c r="AP1254" i="1" s="1"/>
  <c r="AN1255" i="1"/>
  <c r="AP1255" i="1" s="1"/>
  <c r="AN1256" i="1"/>
  <c r="AO1256" i="1" s="1"/>
  <c r="AN1257" i="1"/>
  <c r="AN1258" i="1"/>
  <c r="AP1258" i="1" s="1"/>
  <c r="AN1259" i="1"/>
  <c r="AN1260" i="1"/>
  <c r="AP1260" i="1" s="1"/>
  <c r="AN1261" i="1"/>
  <c r="AO1261" i="1" s="1"/>
  <c r="AN1262" i="1"/>
  <c r="AP1262" i="1" s="1"/>
  <c r="AN1263" i="1"/>
  <c r="AP1263" i="1" s="1"/>
  <c r="AN1264" i="1"/>
  <c r="AP1264" i="1" s="1"/>
  <c r="AN1265" i="1"/>
  <c r="AP1265" i="1" s="1"/>
  <c r="AN1266" i="1"/>
  <c r="AP1266" i="1" s="1"/>
  <c r="AN1267" i="1"/>
  <c r="AP1267" i="1" s="1"/>
  <c r="AN1268" i="1"/>
  <c r="AN1269" i="1"/>
  <c r="AP1269" i="1" s="1"/>
  <c r="AN1270" i="1"/>
  <c r="AP1270" i="1" s="1"/>
  <c r="AN1271" i="1"/>
  <c r="AP1271" i="1" s="1"/>
  <c r="AN1272" i="1"/>
  <c r="AO1272" i="1" s="1"/>
  <c r="AN1273" i="1"/>
  <c r="AN1274" i="1"/>
  <c r="AP1274" i="1" s="1"/>
  <c r="AN1275" i="1"/>
  <c r="AN1276" i="1"/>
  <c r="AO1276" i="1" s="1"/>
  <c r="AN1277" i="1"/>
  <c r="AO1277" i="1" s="1"/>
  <c r="AN1278" i="1"/>
  <c r="AP1278" i="1" s="1"/>
  <c r="AN1279" i="1"/>
  <c r="AP1279" i="1" s="1"/>
  <c r="AN1280" i="1"/>
  <c r="AP1280" i="1" s="1"/>
  <c r="AN1281" i="1"/>
  <c r="AP1281" i="1" s="1"/>
  <c r="AN1282" i="1"/>
  <c r="AP1282" i="1" s="1"/>
  <c r="AN1283" i="1"/>
  <c r="AP1283" i="1" s="1"/>
  <c r="AN1284" i="1"/>
  <c r="AN1285" i="1"/>
  <c r="AP1285" i="1" s="1"/>
  <c r="AN1286" i="1"/>
  <c r="AP1286" i="1" s="1"/>
  <c r="AN1287" i="1"/>
  <c r="AP1287" i="1" s="1"/>
  <c r="AN1288" i="1"/>
  <c r="AO1288" i="1" s="1"/>
  <c r="AN1289" i="1"/>
  <c r="AN1290" i="1"/>
  <c r="AP1290" i="1" s="1"/>
  <c r="AN1291" i="1"/>
  <c r="AN1292" i="1"/>
  <c r="AO1292" i="1" s="1"/>
  <c r="AN1293" i="1"/>
  <c r="AO1293" i="1" s="1"/>
  <c r="AN1294" i="1"/>
  <c r="AP1294" i="1" s="1"/>
  <c r="AN1295" i="1"/>
  <c r="AP1295" i="1" s="1"/>
  <c r="AN1296" i="1"/>
  <c r="AP1296" i="1" s="1"/>
  <c r="AN1297" i="1"/>
  <c r="AO1297" i="1" s="1"/>
  <c r="AN1298" i="1"/>
  <c r="AP1298" i="1" s="1"/>
  <c r="AN1299" i="1"/>
  <c r="AP1299" i="1" s="1"/>
  <c r="AN1300" i="1"/>
  <c r="AN1301" i="1"/>
  <c r="AP1301" i="1" s="1"/>
  <c r="AN1302" i="1"/>
  <c r="AP1302" i="1" s="1"/>
  <c r="AN1303" i="1"/>
  <c r="AP1303" i="1" s="1"/>
  <c r="AN1304" i="1"/>
  <c r="AO1304" i="1" s="1"/>
  <c r="AN1305" i="1"/>
  <c r="AN1306" i="1"/>
  <c r="AP1306" i="1" s="1"/>
  <c r="AN1307" i="1"/>
  <c r="AN1308" i="1"/>
  <c r="AP1308" i="1" s="1"/>
  <c r="AN1309" i="1"/>
  <c r="AO1309" i="1" s="1"/>
  <c r="AN1310" i="1"/>
  <c r="AP1310" i="1" s="1"/>
  <c r="AN1311" i="1"/>
  <c r="AP1311" i="1" s="1"/>
  <c r="AN1312" i="1"/>
  <c r="AP1312" i="1" s="1"/>
  <c r="AN1313" i="1"/>
  <c r="AP1313" i="1" s="1"/>
  <c r="AN1314" i="1"/>
  <c r="AP1314" i="1" s="1"/>
  <c r="AN1315" i="1"/>
  <c r="AO1315" i="1" s="1"/>
  <c r="AN1316" i="1"/>
  <c r="AP1316" i="1" s="1"/>
  <c r="AN1317" i="1"/>
  <c r="AO1317" i="1" s="1"/>
  <c r="AN1318" i="1"/>
  <c r="AP1318" i="1" s="1"/>
  <c r="AN1319" i="1"/>
  <c r="AP1319" i="1" s="1"/>
  <c r="AN1320" i="1"/>
  <c r="AN1321" i="1"/>
  <c r="AP1321" i="1" s="1"/>
  <c r="AN1322" i="1"/>
  <c r="AP1322" i="1" s="1"/>
  <c r="AN1323" i="1"/>
  <c r="AP1323" i="1" s="1"/>
  <c r="AN1324" i="1"/>
  <c r="AO1324" i="1" s="1"/>
  <c r="AN1325" i="1"/>
  <c r="AN1326" i="1"/>
  <c r="AP1326" i="1" s="1"/>
  <c r="AN1327" i="1"/>
  <c r="AN1328" i="1"/>
  <c r="AO1328" i="1" s="1"/>
  <c r="AN1329" i="1"/>
  <c r="AO1329" i="1" s="1"/>
  <c r="AN1330" i="1"/>
  <c r="AP1330" i="1" s="1"/>
  <c r="AN1331" i="1"/>
  <c r="AP1331" i="1" s="1"/>
  <c r="AN1332" i="1"/>
  <c r="AP1332" i="1" s="1"/>
  <c r="AN1333" i="1"/>
  <c r="AP1333" i="1" s="1"/>
  <c r="AN1334" i="1"/>
  <c r="AP1334" i="1" s="1"/>
  <c r="AN1335" i="1"/>
  <c r="AO1335" i="1" s="1"/>
  <c r="AN1336" i="1"/>
  <c r="AP1336" i="1" s="1"/>
  <c r="AN1337" i="1"/>
  <c r="AO1337" i="1" s="1"/>
  <c r="AN1338" i="1"/>
  <c r="AP1338" i="1" s="1"/>
  <c r="AN1339" i="1"/>
  <c r="AO1339" i="1" s="1"/>
  <c r="AN1340" i="1"/>
  <c r="AP1340" i="1" s="1"/>
  <c r="AN1341" i="1"/>
  <c r="AP1341" i="1" s="1"/>
  <c r="AN1342" i="1"/>
  <c r="AP1342" i="1" s="1"/>
  <c r="AN1343" i="1"/>
  <c r="AO1343" i="1" s="1"/>
  <c r="AN1344" i="1"/>
  <c r="AP1344" i="1" s="1"/>
  <c r="AN1345" i="1"/>
  <c r="AP1345" i="1" s="1"/>
  <c r="AN1346" i="1"/>
  <c r="AP1346" i="1" s="1"/>
  <c r="AN1347" i="1"/>
  <c r="AO1347" i="1" s="1"/>
  <c r="AN1348" i="1"/>
  <c r="AP1348" i="1" s="1"/>
  <c r="AN1349" i="1"/>
  <c r="AP1349" i="1" s="1"/>
  <c r="AN1350" i="1"/>
  <c r="AP1350" i="1" s="1"/>
  <c r="AN1351" i="1"/>
  <c r="AO1351" i="1" s="1"/>
  <c r="AN1352" i="1"/>
  <c r="AP1352" i="1" s="1"/>
  <c r="AN1353" i="1"/>
  <c r="AP1353" i="1" s="1"/>
  <c r="AN1354" i="1"/>
  <c r="AP1354" i="1" s="1"/>
  <c r="AN1355" i="1"/>
  <c r="AP1355" i="1" s="1"/>
  <c r="AN1356" i="1"/>
  <c r="AN1357" i="1"/>
  <c r="AP1357" i="1" s="1"/>
  <c r="AN1358" i="1"/>
  <c r="AP1358" i="1" s="1"/>
  <c r="AN1359" i="1"/>
  <c r="AP1359" i="1" s="1"/>
  <c r="AN1360" i="1"/>
  <c r="AO1360" i="1" s="1"/>
  <c r="AN1361" i="1"/>
  <c r="AN1362" i="1"/>
  <c r="AP1362" i="1" s="1"/>
  <c r="AN1363" i="1"/>
  <c r="AN1364" i="1"/>
  <c r="AP1364" i="1" s="1"/>
  <c r="AN1365" i="1"/>
  <c r="AO1365" i="1" s="1"/>
  <c r="AN1366" i="1"/>
  <c r="AP1366" i="1" s="1"/>
  <c r="AN1367" i="1"/>
  <c r="AP1367" i="1" s="1"/>
  <c r="AN1368" i="1"/>
  <c r="AP1368" i="1" s="1"/>
  <c r="AN1369" i="1"/>
  <c r="AO1369" i="1" s="1"/>
  <c r="AN1370" i="1"/>
  <c r="AP1370" i="1" s="1"/>
  <c r="AN1371" i="1"/>
  <c r="AP1371" i="1" s="1"/>
  <c r="AN1372" i="1"/>
  <c r="AN1373" i="1"/>
  <c r="AP1373" i="1" s="1"/>
  <c r="AN1374" i="1"/>
  <c r="AP1374" i="1" s="1"/>
  <c r="AN1375" i="1"/>
  <c r="AP1375" i="1" s="1"/>
  <c r="AN1376" i="1"/>
  <c r="AO1376" i="1" s="1"/>
  <c r="AN1377" i="1"/>
  <c r="AN1378" i="1"/>
  <c r="AP1378" i="1" s="1"/>
  <c r="AN1379" i="1"/>
  <c r="AN1380" i="1"/>
  <c r="AO1380" i="1" s="1"/>
  <c r="AN1381" i="1"/>
  <c r="AO1381" i="1" s="1"/>
  <c r="AN1382" i="1"/>
  <c r="AP1382" i="1" s="1"/>
  <c r="AN1383" i="1"/>
  <c r="AP1383" i="1" s="1"/>
  <c r="AN1384" i="1"/>
  <c r="AP1384" i="1" s="1"/>
  <c r="AN1385" i="1"/>
  <c r="AO1385" i="1" s="1"/>
  <c r="AN1386" i="1"/>
  <c r="AP1386" i="1" s="1"/>
  <c r="AN1387" i="1"/>
  <c r="AO1387" i="1" s="1"/>
  <c r="AN1388" i="1"/>
  <c r="AP1388" i="1" s="1"/>
  <c r="AN1389" i="1"/>
  <c r="AO1389" i="1" s="1"/>
  <c r="AN1390" i="1"/>
  <c r="AP1390" i="1" s="1"/>
  <c r="AN1391" i="1"/>
  <c r="AP1391" i="1" s="1"/>
  <c r="AN1392" i="1"/>
  <c r="AN1393" i="1"/>
  <c r="AP1393" i="1" s="1"/>
  <c r="AN1394" i="1"/>
  <c r="AP1394" i="1" s="1"/>
  <c r="AN1395" i="1"/>
  <c r="AP1395" i="1" s="1"/>
  <c r="AN1396" i="1"/>
  <c r="AO1396" i="1" s="1"/>
  <c r="AN1397" i="1"/>
  <c r="AN1398" i="1"/>
  <c r="AP1398" i="1" s="1"/>
  <c r="AN1399" i="1"/>
  <c r="AN1400" i="1"/>
  <c r="AP1400" i="1" s="1"/>
  <c r="AN1401" i="1"/>
  <c r="AO1401" i="1" s="1"/>
  <c r="AN1402" i="1"/>
  <c r="AP1402" i="1" s="1"/>
  <c r="AN1403" i="1"/>
  <c r="AP1403" i="1" s="1"/>
  <c r="AN1404" i="1"/>
  <c r="AP1404" i="1" s="1"/>
  <c r="AN1405" i="1"/>
  <c r="AO1405" i="1" s="1"/>
  <c r="AN1406" i="1"/>
  <c r="AP1406" i="1" s="1"/>
  <c r="AN1407" i="1"/>
  <c r="AO1407" i="1" s="1"/>
  <c r="AN1408" i="1"/>
  <c r="AP1408" i="1" s="1"/>
  <c r="AN1409" i="1"/>
  <c r="AP1409" i="1" s="1"/>
  <c r="AN1410" i="1"/>
  <c r="AP1410" i="1" s="1"/>
  <c r="AN1411" i="1"/>
  <c r="AO1411" i="1" s="1"/>
  <c r="AN1412" i="1"/>
  <c r="AP1412" i="1" s="1"/>
  <c r="AN1413" i="1"/>
  <c r="AP1413" i="1" s="1"/>
  <c r="AN1414" i="1"/>
  <c r="AP1414" i="1" s="1"/>
  <c r="AN1415" i="1"/>
  <c r="AO1415" i="1" s="1"/>
  <c r="AN1416" i="1"/>
  <c r="AP1416" i="1" s="1"/>
  <c r="AN1417" i="1"/>
  <c r="AO1417" i="1" s="1"/>
  <c r="AN1418" i="1"/>
  <c r="AP1418" i="1" s="1"/>
  <c r="AN1419" i="1"/>
  <c r="AP1419" i="1" s="1"/>
  <c r="AN1420" i="1"/>
  <c r="AN1421" i="1"/>
  <c r="AP1421" i="1" s="1"/>
  <c r="AN1422" i="1"/>
  <c r="AP1422" i="1" s="1"/>
  <c r="AN1423" i="1"/>
  <c r="AP1423" i="1" s="1"/>
  <c r="AN1424" i="1"/>
  <c r="AO1424" i="1" s="1"/>
  <c r="AN1425" i="1"/>
  <c r="AN1426" i="1"/>
  <c r="AP1426" i="1" s="1"/>
  <c r="AN1427" i="1"/>
  <c r="AN1428" i="1"/>
  <c r="AP1428" i="1" s="1"/>
  <c r="AN1429" i="1"/>
  <c r="AO1429" i="1" s="1"/>
  <c r="AN1430" i="1"/>
  <c r="AP1430" i="1" s="1"/>
  <c r="AN1431" i="1"/>
  <c r="AP1431" i="1" s="1"/>
  <c r="AN1432" i="1"/>
  <c r="AP1432" i="1" s="1"/>
  <c r="AN1433" i="1"/>
  <c r="AP1433" i="1" s="1"/>
  <c r="AN1434" i="1"/>
  <c r="AP1434" i="1" s="1"/>
  <c r="AN1435" i="1"/>
  <c r="AP1435" i="1" s="1"/>
  <c r="AN1436" i="1"/>
  <c r="AN1437" i="1"/>
  <c r="AP1437" i="1" s="1"/>
  <c r="AN1438" i="1"/>
  <c r="AP1438" i="1" s="1"/>
  <c r="AN1439" i="1"/>
  <c r="AP1439" i="1" s="1"/>
  <c r="AN1440" i="1"/>
  <c r="AO1440" i="1" s="1"/>
  <c r="AN1441" i="1"/>
  <c r="AN1442" i="1"/>
  <c r="AP1442" i="1" s="1"/>
  <c r="AN1443" i="1"/>
  <c r="AN1444" i="1"/>
  <c r="AP1444" i="1" s="1"/>
  <c r="AN1445" i="1"/>
  <c r="AO1445" i="1" s="1"/>
  <c r="AN1446" i="1"/>
  <c r="AP1446" i="1" s="1"/>
  <c r="AN1447" i="1"/>
  <c r="AP1447" i="1" s="1"/>
  <c r="AN1448" i="1"/>
  <c r="AP1448" i="1" s="1"/>
  <c r="AN1449" i="1"/>
  <c r="AP1449" i="1" s="1"/>
  <c r="AN1450" i="1"/>
  <c r="AP1450" i="1" s="1"/>
  <c r="AN1451" i="1"/>
  <c r="AP1451" i="1" s="1"/>
  <c r="AN1452" i="1"/>
  <c r="AN1453" i="1"/>
  <c r="AP1453" i="1" s="1"/>
  <c r="AN1454" i="1"/>
  <c r="AP1454" i="1" s="1"/>
  <c r="AN1455" i="1"/>
  <c r="AP1455" i="1" s="1"/>
  <c r="AN1456" i="1"/>
  <c r="AO1456" i="1" s="1"/>
  <c r="AN1457" i="1"/>
  <c r="AN1458" i="1"/>
  <c r="AP1458" i="1" s="1"/>
  <c r="AN1459" i="1"/>
  <c r="AN1460" i="1"/>
  <c r="AO1460" i="1" s="1"/>
  <c r="AN1461" i="1"/>
  <c r="AO1461" i="1" s="1"/>
  <c r="AN1462" i="1"/>
  <c r="AP1462" i="1" s="1"/>
  <c r="AN1463" i="1"/>
  <c r="AP1463" i="1" s="1"/>
  <c r="AN1464" i="1"/>
  <c r="AP1464" i="1" s="1"/>
  <c r="AN1465" i="1"/>
  <c r="AO1465" i="1" s="1"/>
  <c r="AN1466" i="1"/>
  <c r="AP1466" i="1" s="1"/>
  <c r="AN1467" i="1"/>
  <c r="AP1467" i="1" s="1"/>
  <c r="AN1468" i="1"/>
  <c r="AN1469" i="1"/>
  <c r="AP1469" i="1" s="1"/>
  <c r="AN1470" i="1"/>
  <c r="AP1470" i="1" s="1"/>
  <c r="AN1471" i="1"/>
  <c r="AP1471" i="1" s="1"/>
  <c r="AN1472" i="1"/>
  <c r="AO1472" i="1" s="1"/>
  <c r="AN1473" i="1"/>
  <c r="AN1474" i="1"/>
  <c r="AP1474" i="1" s="1"/>
  <c r="AN1475" i="1"/>
  <c r="AN1476" i="1"/>
  <c r="AO1476" i="1" s="1"/>
  <c r="AN1477" i="1"/>
  <c r="AO1477" i="1" s="1"/>
  <c r="AN1478" i="1"/>
  <c r="AP1478" i="1" s="1"/>
  <c r="AN1479" i="1"/>
  <c r="AP1479" i="1" s="1"/>
  <c r="AN1480" i="1"/>
  <c r="AP1480" i="1" s="1"/>
  <c r="AN1481" i="1"/>
  <c r="AO1481" i="1" s="1"/>
  <c r="AN1482" i="1"/>
  <c r="AP1482" i="1" s="1"/>
  <c r="AN1483" i="1"/>
  <c r="AP1483" i="1" s="1"/>
  <c r="AN1484" i="1"/>
  <c r="AN1485" i="1"/>
  <c r="AP1485" i="1" s="1"/>
  <c r="AN1486" i="1"/>
  <c r="AP1486" i="1" s="1"/>
  <c r="AN1487" i="1"/>
  <c r="AO1487" i="1" s="1"/>
  <c r="AN1488" i="1"/>
  <c r="AN1489" i="1"/>
  <c r="AP1489" i="1" s="1"/>
  <c r="AN1490" i="1"/>
  <c r="AP1490" i="1" s="1"/>
  <c r="AN1491" i="1"/>
  <c r="AP1491" i="1" s="1"/>
  <c r="AN1492" i="1"/>
  <c r="AO1492" i="1" s="1"/>
  <c r="AN1493" i="1"/>
  <c r="AN1494" i="1"/>
  <c r="AP1494" i="1" s="1"/>
  <c r="AN1495" i="1"/>
  <c r="AO1495" i="1" s="1"/>
  <c r="AN1496" i="1"/>
  <c r="AN1497" i="1"/>
  <c r="AO1497" i="1" s="1"/>
  <c r="AN1498" i="1"/>
  <c r="AP1498" i="1" s="1"/>
  <c r="AN1499" i="1"/>
  <c r="AO1499" i="1" s="1"/>
  <c r="AN1500" i="1"/>
  <c r="AP1500" i="1" s="1"/>
  <c r="AN1501" i="1"/>
  <c r="AO1501" i="1" s="1"/>
  <c r="AN1502" i="1"/>
  <c r="AP1502" i="1" s="1"/>
  <c r="AN1503" i="1"/>
  <c r="AP1503" i="1" s="1"/>
  <c r="AN1504" i="1"/>
  <c r="AP1504" i="1" s="1"/>
  <c r="AN1505" i="1"/>
  <c r="AO1505" i="1" s="1"/>
  <c r="AN1506" i="1"/>
  <c r="AP1506" i="1" s="1"/>
  <c r="AN1507" i="1"/>
  <c r="AP1507" i="1" s="1"/>
  <c r="AN1508" i="1"/>
  <c r="AP1508" i="1" s="1"/>
  <c r="AN1509" i="1"/>
  <c r="AO1509" i="1" s="1"/>
  <c r="AN1510" i="1"/>
  <c r="AP1510" i="1" s="1"/>
  <c r="AN1511" i="1"/>
  <c r="AP1511" i="1" s="1"/>
  <c r="AN1512" i="1"/>
  <c r="AP1512" i="1" s="1"/>
  <c r="AN1513" i="1"/>
  <c r="AP1513" i="1" s="1"/>
  <c r="AN1514" i="1"/>
  <c r="AP1514" i="1" s="1"/>
  <c r="AN1515" i="1"/>
  <c r="AP1515" i="1" s="1"/>
  <c r="AN1516" i="1"/>
  <c r="AN1517" i="1"/>
  <c r="AO1517" i="1" s="1"/>
  <c r="AN1518" i="1"/>
  <c r="AP1518" i="1" s="1"/>
  <c r="AN1519" i="1"/>
  <c r="AO1519" i="1" s="1"/>
  <c r="AN1520" i="1"/>
  <c r="AP1520" i="1" s="1"/>
  <c r="AN1521" i="1"/>
  <c r="AO1521" i="1" s="1"/>
  <c r="AN1522" i="1"/>
  <c r="AP1522" i="1" s="1"/>
  <c r="AN1523" i="1"/>
  <c r="AO1523" i="1" s="1"/>
  <c r="AN1524" i="1"/>
  <c r="AO1524" i="1" s="1"/>
  <c r="AN1525" i="1"/>
  <c r="AO1525" i="1" s="1"/>
  <c r="AN1526" i="1"/>
  <c r="AP1526" i="1" s="1"/>
  <c r="AN1527" i="1"/>
  <c r="AO1527" i="1" s="1"/>
  <c r="AN1528" i="1"/>
  <c r="AO1528" i="1" s="1"/>
  <c r="AN1529" i="1"/>
  <c r="AN1530" i="1"/>
  <c r="AP1530" i="1" s="1"/>
  <c r="AN1531" i="1"/>
  <c r="AO1531" i="1" s="1"/>
  <c r="AN1532" i="1"/>
  <c r="AN1533" i="1"/>
  <c r="AO1533" i="1" s="1"/>
  <c r="AN1534" i="1"/>
  <c r="AP1534" i="1" s="1"/>
  <c r="AN1535" i="1"/>
  <c r="AO1535" i="1" s="1"/>
  <c r="AN1536" i="1"/>
  <c r="AP1536" i="1" s="1"/>
  <c r="AN1537" i="1"/>
  <c r="AO1537" i="1" s="1"/>
  <c r="AN1538" i="1"/>
  <c r="AP1538" i="1" s="1"/>
  <c r="AN1539" i="1"/>
  <c r="AO1539" i="1" s="1"/>
  <c r="AN1540" i="1"/>
  <c r="AO1540" i="1" s="1"/>
  <c r="AN1541" i="1"/>
  <c r="AO1541" i="1" s="1"/>
  <c r="AN1542" i="1"/>
  <c r="AP1542" i="1" s="1"/>
  <c r="AN1543" i="1"/>
  <c r="AO1543" i="1" s="1"/>
  <c r="AN1544" i="1"/>
  <c r="AO1544" i="1" s="1"/>
  <c r="AN1545" i="1"/>
  <c r="AN1546" i="1"/>
  <c r="AP1546" i="1" s="1"/>
  <c r="AN1547" i="1"/>
  <c r="AO1547" i="1" s="1"/>
  <c r="AN1548" i="1"/>
  <c r="AN1549" i="1"/>
  <c r="AO1549" i="1" s="1"/>
  <c r="AN1550" i="1"/>
  <c r="AP1550" i="1" s="1"/>
  <c r="AN1551" i="1"/>
  <c r="AO1551" i="1" s="1"/>
  <c r="AN1552" i="1"/>
  <c r="AP1552" i="1" s="1"/>
  <c r="AN1553" i="1"/>
  <c r="AO1553" i="1" s="1"/>
  <c r="AN1554" i="1"/>
  <c r="AP1554" i="1" s="1"/>
  <c r="AN1555" i="1"/>
  <c r="AO1555" i="1" s="1"/>
  <c r="AN1556" i="1"/>
  <c r="AP1556" i="1" s="1"/>
  <c r="AN1557" i="1"/>
  <c r="AO1557" i="1" s="1"/>
  <c r="AN1558" i="1"/>
  <c r="AP1558" i="1" s="1"/>
  <c r="AN1559" i="1"/>
  <c r="AO1559" i="1" s="1"/>
  <c r="AN1560" i="1"/>
  <c r="AO1560" i="1" s="1"/>
  <c r="AN1561" i="1"/>
  <c r="AN1562" i="1"/>
  <c r="AP1562" i="1" s="1"/>
  <c r="AN1563" i="1"/>
  <c r="AO1563" i="1" s="1"/>
  <c r="AN1564" i="1"/>
  <c r="AN1565" i="1"/>
  <c r="AO1565" i="1" s="1"/>
  <c r="AN1566" i="1"/>
  <c r="AP1566" i="1" s="1"/>
  <c r="AN1567" i="1"/>
  <c r="AO1567" i="1" s="1"/>
  <c r="AN1568" i="1"/>
  <c r="AP1568" i="1" s="1"/>
  <c r="AN1569" i="1"/>
  <c r="AO1569" i="1" s="1"/>
  <c r="AN3" i="1"/>
  <c r="AO3" i="1" s="1"/>
  <c r="AB4" i="1"/>
  <c r="AM4" i="1" s="1"/>
  <c r="AQ4" i="1" s="1"/>
  <c r="AB5" i="1"/>
  <c r="AM5" i="1" s="1"/>
  <c r="AQ5" i="1" s="1"/>
  <c r="AB6" i="1"/>
  <c r="AM6" i="1" s="1"/>
  <c r="AQ6" i="1" s="1"/>
  <c r="AB7" i="1"/>
  <c r="AM7" i="1" s="1"/>
  <c r="AQ7" i="1" s="1"/>
  <c r="AB8" i="1"/>
  <c r="AM8" i="1" s="1"/>
  <c r="AQ8" i="1" s="1"/>
  <c r="AB9" i="1"/>
  <c r="AM9" i="1" s="1"/>
  <c r="AQ9" i="1" s="1"/>
  <c r="AB10" i="1"/>
  <c r="AM10" i="1" s="1"/>
  <c r="AQ10" i="1" s="1"/>
  <c r="AB11" i="1"/>
  <c r="AM11" i="1" s="1"/>
  <c r="AQ11" i="1" s="1"/>
  <c r="AB12" i="1"/>
  <c r="AM12" i="1" s="1"/>
  <c r="AQ12" i="1" s="1"/>
  <c r="AB13" i="1"/>
  <c r="AM13" i="1" s="1"/>
  <c r="AQ13" i="1" s="1"/>
  <c r="AB14" i="1"/>
  <c r="AM14" i="1" s="1"/>
  <c r="AQ14" i="1" s="1"/>
  <c r="AB15" i="1"/>
  <c r="AM15" i="1" s="1"/>
  <c r="AQ15" i="1" s="1"/>
  <c r="AB16" i="1"/>
  <c r="AM16" i="1" s="1"/>
  <c r="AQ16" i="1" s="1"/>
  <c r="AB17" i="1"/>
  <c r="AM17" i="1" s="1"/>
  <c r="AQ17" i="1" s="1"/>
  <c r="AB18" i="1"/>
  <c r="AM18" i="1" s="1"/>
  <c r="AQ18" i="1" s="1"/>
  <c r="AB19" i="1"/>
  <c r="AM19" i="1" s="1"/>
  <c r="AQ19" i="1" s="1"/>
  <c r="AB20" i="1"/>
  <c r="AM20" i="1" s="1"/>
  <c r="AQ20" i="1" s="1"/>
  <c r="AB21" i="1"/>
  <c r="AM21" i="1" s="1"/>
  <c r="AQ21" i="1" s="1"/>
  <c r="AB22" i="1"/>
  <c r="AM22" i="1" s="1"/>
  <c r="AQ22" i="1" s="1"/>
  <c r="AB23" i="1"/>
  <c r="AM23" i="1" s="1"/>
  <c r="AQ23" i="1" s="1"/>
  <c r="AB24" i="1"/>
  <c r="AM24" i="1" s="1"/>
  <c r="AQ24" i="1" s="1"/>
  <c r="AB25" i="1"/>
  <c r="AM25" i="1" s="1"/>
  <c r="AQ25" i="1" s="1"/>
  <c r="AB26" i="1"/>
  <c r="AM26" i="1" s="1"/>
  <c r="AQ26" i="1" s="1"/>
  <c r="AB27" i="1"/>
  <c r="AM27" i="1" s="1"/>
  <c r="AQ27" i="1" s="1"/>
  <c r="AB28" i="1"/>
  <c r="AM28" i="1" s="1"/>
  <c r="AQ28" i="1" s="1"/>
  <c r="AB29" i="1"/>
  <c r="AM29" i="1" s="1"/>
  <c r="AQ29" i="1" s="1"/>
  <c r="AB30" i="1"/>
  <c r="AM30" i="1" s="1"/>
  <c r="AQ30" i="1" s="1"/>
  <c r="AB31" i="1"/>
  <c r="AM31" i="1" s="1"/>
  <c r="AQ31" i="1" s="1"/>
  <c r="AB32" i="1"/>
  <c r="AM32" i="1" s="1"/>
  <c r="AQ32" i="1" s="1"/>
  <c r="AB33" i="1"/>
  <c r="AM33" i="1" s="1"/>
  <c r="AQ33" i="1" s="1"/>
  <c r="AB34" i="1"/>
  <c r="AM34" i="1" s="1"/>
  <c r="AQ34" i="1" s="1"/>
  <c r="AB35" i="1"/>
  <c r="AM35" i="1" s="1"/>
  <c r="AQ35" i="1" s="1"/>
  <c r="AB36" i="1"/>
  <c r="AM36" i="1" s="1"/>
  <c r="AQ36" i="1" s="1"/>
  <c r="AB37" i="1"/>
  <c r="AM37" i="1" s="1"/>
  <c r="AQ37" i="1" s="1"/>
  <c r="AB38" i="1"/>
  <c r="AM38" i="1" s="1"/>
  <c r="AQ38" i="1" s="1"/>
  <c r="AB39" i="1"/>
  <c r="AM39" i="1" s="1"/>
  <c r="AQ39" i="1" s="1"/>
  <c r="AB40" i="1"/>
  <c r="AM40" i="1" s="1"/>
  <c r="AQ40" i="1" s="1"/>
  <c r="AB41" i="1"/>
  <c r="AM41" i="1" s="1"/>
  <c r="AQ41" i="1" s="1"/>
  <c r="AB42" i="1"/>
  <c r="AM42" i="1" s="1"/>
  <c r="AQ42" i="1" s="1"/>
  <c r="AB43" i="1"/>
  <c r="AM43" i="1" s="1"/>
  <c r="AQ43" i="1" s="1"/>
  <c r="AB44" i="1"/>
  <c r="AM44" i="1" s="1"/>
  <c r="AQ44" i="1" s="1"/>
  <c r="AB45" i="1"/>
  <c r="AM45" i="1" s="1"/>
  <c r="AQ45" i="1" s="1"/>
  <c r="AB46" i="1"/>
  <c r="AM46" i="1" s="1"/>
  <c r="AQ46" i="1" s="1"/>
  <c r="AB47" i="1"/>
  <c r="AM47" i="1" s="1"/>
  <c r="AQ47" i="1" s="1"/>
  <c r="AB48" i="1"/>
  <c r="AM48" i="1" s="1"/>
  <c r="AQ48" i="1" s="1"/>
  <c r="AB49" i="1"/>
  <c r="AM49" i="1" s="1"/>
  <c r="AQ49" i="1" s="1"/>
  <c r="AB50" i="1"/>
  <c r="AM50" i="1" s="1"/>
  <c r="AQ50" i="1" s="1"/>
  <c r="AB51" i="1"/>
  <c r="AM51" i="1" s="1"/>
  <c r="AQ51" i="1" s="1"/>
  <c r="AB52" i="1"/>
  <c r="AM52" i="1" s="1"/>
  <c r="AQ52" i="1" s="1"/>
  <c r="AB53" i="1"/>
  <c r="AM53" i="1" s="1"/>
  <c r="AQ53" i="1" s="1"/>
  <c r="AB54" i="1"/>
  <c r="AM54" i="1" s="1"/>
  <c r="AQ54" i="1" s="1"/>
  <c r="AB55" i="1"/>
  <c r="AM55" i="1" s="1"/>
  <c r="AQ55" i="1" s="1"/>
  <c r="AB56" i="1"/>
  <c r="AM56" i="1" s="1"/>
  <c r="AQ56" i="1" s="1"/>
  <c r="AB57" i="1"/>
  <c r="AM57" i="1" s="1"/>
  <c r="AQ57" i="1" s="1"/>
  <c r="AB58" i="1"/>
  <c r="AM58" i="1" s="1"/>
  <c r="AQ58" i="1" s="1"/>
  <c r="AB59" i="1"/>
  <c r="AM59" i="1" s="1"/>
  <c r="AQ59" i="1" s="1"/>
  <c r="AB60" i="1"/>
  <c r="AM60" i="1" s="1"/>
  <c r="AQ60" i="1" s="1"/>
  <c r="AB61" i="1"/>
  <c r="AM61" i="1" s="1"/>
  <c r="AQ61" i="1" s="1"/>
  <c r="AB62" i="1"/>
  <c r="AM62" i="1" s="1"/>
  <c r="AQ62" i="1" s="1"/>
  <c r="AB63" i="1"/>
  <c r="AM63" i="1" s="1"/>
  <c r="AQ63" i="1" s="1"/>
  <c r="AB64" i="1"/>
  <c r="AM64" i="1" s="1"/>
  <c r="AQ64" i="1" s="1"/>
  <c r="AB65" i="1"/>
  <c r="AM65" i="1" s="1"/>
  <c r="AQ65" i="1" s="1"/>
  <c r="AB66" i="1"/>
  <c r="AM66" i="1" s="1"/>
  <c r="AQ66" i="1" s="1"/>
  <c r="AB67" i="1"/>
  <c r="AM67" i="1" s="1"/>
  <c r="AQ67" i="1" s="1"/>
  <c r="AB68" i="1"/>
  <c r="AM68" i="1" s="1"/>
  <c r="AQ68" i="1" s="1"/>
  <c r="AB69" i="1"/>
  <c r="AM69" i="1" s="1"/>
  <c r="AQ69" i="1" s="1"/>
  <c r="AB70" i="1"/>
  <c r="AM70" i="1" s="1"/>
  <c r="AQ70" i="1" s="1"/>
  <c r="AB71" i="1"/>
  <c r="AM71" i="1" s="1"/>
  <c r="AQ71" i="1" s="1"/>
  <c r="AB72" i="1"/>
  <c r="AM72" i="1" s="1"/>
  <c r="AQ72" i="1" s="1"/>
  <c r="AB73" i="1"/>
  <c r="AM73" i="1" s="1"/>
  <c r="AQ73" i="1" s="1"/>
  <c r="AB74" i="1"/>
  <c r="AM74" i="1" s="1"/>
  <c r="AQ74" i="1" s="1"/>
  <c r="AB75" i="1"/>
  <c r="AM75" i="1" s="1"/>
  <c r="AQ75" i="1" s="1"/>
  <c r="AB76" i="1"/>
  <c r="AM76" i="1" s="1"/>
  <c r="AQ76" i="1" s="1"/>
  <c r="AB77" i="1"/>
  <c r="AM77" i="1" s="1"/>
  <c r="AQ77" i="1" s="1"/>
  <c r="AB78" i="1"/>
  <c r="AM78" i="1" s="1"/>
  <c r="AQ78" i="1" s="1"/>
  <c r="AB79" i="1"/>
  <c r="AM79" i="1" s="1"/>
  <c r="AQ79" i="1" s="1"/>
  <c r="AB80" i="1"/>
  <c r="AM80" i="1" s="1"/>
  <c r="AQ80" i="1" s="1"/>
  <c r="AB81" i="1"/>
  <c r="AM81" i="1" s="1"/>
  <c r="AQ81" i="1" s="1"/>
  <c r="AB82" i="1"/>
  <c r="AM82" i="1" s="1"/>
  <c r="AQ82" i="1" s="1"/>
  <c r="AB83" i="1"/>
  <c r="AM83" i="1" s="1"/>
  <c r="AQ83" i="1" s="1"/>
  <c r="AB84" i="1"/>
  <c r="AM84" i="1" s="1"/>
  <c r="AQ84" i="1" s="1"/>
  <c r="AB85" i="1"/>
  <c r="AM85" i="1" s="1"/>
  <c r="AQ85" i="1" s="1"/>
  <c r="AB86" i="1"/>
  <c r="AM86" i="1" s="1"/>
  <c r="AQ86" i="1" s="1"/>
  <c r="AB87" i="1"/>
  <c r="AM87" i="1" s="1"/>
  <c r="AQ87" i="1" s="1"/>
  <c r="AB88" i="1"/>
  <c r="AM88" i="1" s="1"/>
  <c r="AQ88" i="1" s="1"/>
  <c r="AB89" i="1"/>
  <c r="AM89" i="1" s="1"/>
  <c r="AQ89" i="1" s="1"/>
  <c r="AB90" i="1"/>
  <c r="AM90" i="1" s="1"/>
  <c r="AQ90" i="1" s="1"/>
  <c r="AB91" i="1"/>
  <c r="AM91" i="1" s="1"/>
  <c r="AQ91" i="1" s="1"/>
  <c r="AB92" i="1"/>
  <c r="AM92" i="1" s="1"/>
  <c r="AQ92" i="1" s="1"/>
  <c r="AB93" i="1"/>
  <c r="AM93" i="1" s="1"/>
  <c r="AQ93" i="1" s="1"/>
  <c r="AB94" i="1"/>
  <c r="AM94" i="1" s="1"/>
  <c r="AQ94" i="1" s="1"/>
  <c r="AB95" i="1"/>
  <c r="AM95" i="1" s="1"/>
  <c r="AQ95" i="1" s="1"/>
  <c r="AB96" i="1"/>
  <c r="AM96" i="1" s="1"/>
  <c r="AQ96" i="1" s="1"/>
  <c r="AB97" i="1"/>
  <c r="AM97" i="1" s="1"/>
  <c r="AQ97" i="1" s="1"/>
  <c r="AB98" i="1"/>
  <c r="AM98" i="1" s="1"/>
  <c r="AQ98" i="1" s="1"/>
  <c r="AB99" i="1"/>
  <c r="AM99" i="1" s="1"/>
  <c r="AQ99" i="1" s="1"/>
  <c r="AB100" i="1"/>
  <c r="AM100" i="1" s="1"/>
  <c r="AQ100" i="1" s="1"/>
  <c r="AB101" i="1"/>
  <c r="AM101" i="1" s="1"/>
  <c r="AQ101" i="1" s="1"/>
  <c r="AB102" i="1"/>
  <c r="AM102" i="1" s="1"/>
  <c r="AQ102" i="1" s="1"/>
  <c r="AB103" i="1"/>
  <c r="AM103" i="1" s="1"/>
  <c r="AQ103" i="1" s="1"/>
  <c r="AB104" i="1"/>
  <c r="AM104" i="1" s="1"/>
  <c r="AQ104" i="1" s="1"/>
  <c r="AB105" i="1"/>
  <c r="AM105" i="1" s="1"/>
  <c r="AQ105" i="1" s="1"/>
  <c r="AB106" i="1"/>
  <c r="AM106" i="1" s="1"/>
  <c r="AQ106" i="1" s="1"/>
  <c r="AB107" i="1"/>
  <c r="AM107" i="1" s="1"/>
  <c r="AQ107" i="1" s="1"/>
  <c r="AB108" i="1"/>
  <c r="AM108" i="1" s="1"/>
  <c r="AQ108" i="1" s="1"/>
  <c r="AB109" i="1"/>
  <c r="AM109" i="1" s="1"/>
  <c r="AQ109" i="1" s="1"/>
  <c r="AB110" i="1"/>
  <c r="AM110" i="1" s="1"/>
  <c r="AQ110" i="1" s="1"/>
  <c r="AB111" i="1"/>
  <c r="AM111" i="1" s="1"/>
  <c r="AQ111" i="1" s="1"/>
  <c r="AB112" i="1"/>
  <c r="AM112" i="1" s="1"/>
  <c r="AQ112" i="1" s="1"/>
  <c r="AB113" i="1"/>
  <c r="AM113" i="1" s="1"/>
  <c r="AQ113" i="1" s="1"/>
  <c r="AB114" i="1"/>
  <c r="AM114" i="1" s="1"/>
  <c r="AQ114" i="1" s="1"/>
  <c r="AB115" i="1"/>
  <c r="AM115" i="1" s="1"/>
  <c r="AQ115" i="1" s="1"/>
  <c r="AB116" i="1"/>
  <c r="AM116" i="1" s="1"/>
  <c r="AQ116" i="1" s="1"/>
  <c r="AB117" i="1"/>
  <c r="AM117" i="1" s="1"/>
  <c r="AQ117" i="1" s="1"/>
  <c r="AB118" i="1"/>
  <c r="AM118" i="1" s="1"/>
  <c r="AQ118" i="1" s="1"/>
  <c r="AB119" i="1"/>
  <c r="AM119" i="1" s="1"/>
  <c r="AQ119" i="1" s="1"/>
  <c r="AB120" i="1"/>
  <c r="AM120" i="1" s="1"/>
  <c r="AQ120" i="1" s="1"/>
  <c r="AB121" i="1"/>
  <c r="AM121" i="1" s="1"/>
  <c r="AQ121" i="1" s="1"/>
  <c r="AB122" i="1"/>
  <c r="AM122" i="1" s="1"/>
  <c r="AQ122" i="1" s="1"/>
  <c r="AB123" i="1"/>
  <c r="AM123" i="1" s="1"/>
  <c r="AQ123" i="1" s="1"/>
  <c r="AB124" i="1"/>
  <c r="AM124" i="1" s="1"/>
  <c r="AQ124" i="1" s="1"/>
  <c r="AB125" i="1"/>
  <c r="AM125" i="1" s="1"/>
  <c r="AQ125" i="1" s="1"/>
  <c r="AB126" i="1"/>
  <c r="AM126" i="1" s="1"/>
  <c r="AQ126" i="1" s="1"/>
  <c r="AB127" i="1"/>
  <c r="AM127" i="1" s="1"/>
  <c r="AQ127" i="1" s="1"/>
  <c r="AB128" i="1"/>
  <c r="AM128" i="1" s="1"/>
  <c r="AQ128" i="1" s="1"/>
  <c r="AB129" i="1"/>
  <c r="AM129" i="1" s="1"/>
  <c r="AQ129" i="1" s="1"/>
  <c r="AB130" i="1"/>
  <c r="AM130" i="1" s="1"/>
  <c r="AQ130" i="1" s="1"/>
  <c r="AB131" i="1"/>
  <c r="AM131" i="1" s="1"/>
  <c r="AQ131" i="1" s="1"/>
  <c r="AB132" i="1"/>
  <c r="AM132" i="1" s="1"/>
  <c r="AQ132" i="1" s="1"/>
  <c r="AB133" i="1"/>
  <c r="AM133" i="1" s="1"/>
  <c r="AQ133" i="1" s="1"/>
  <c r="AB134" i="1"/>
  <c r="AM134" i="1" s="1"/>
  <c r="AQ134" i="1" s="1"/>
  <c r="AB135" i="1"/>
  <c r="AM135" i="1" s="1"/>
  <c r="AQ135" i="1" s="1"/>
  <c r="AB136" i="1"/>
  <c r="AM136" i="1" s="1"/>
  <c r="AQ136" i="1" s="1"/>
  <c r="AB137" i="1"/>
  <c r="AM137" i="1" s="1"/>
  <c r="AQ137" i="1" s="1"/>
  <c r="AB138" i="1"/>
  <c r="AM138" i="1" s="1"/>
  <c r="AQ138" i="1" s="1"/>
  <c r="AB139" i="1"/>
  <c r="AM139" i="1" s="1"/>
  <c r="AQ139" i="1" s="1"/>
  <c r="AB140" i="1"/>
  <c r="AM140" i="1" s="1"/>
  <c r="AQ140" i="1" s="1"/>
  <c r="AB141" i="1"/>
  <c r="AM141" i="1" s="1"/>
  <c r="AQ141" i="1" s="1"/>
  <c r="AB142" i="1"/>
  <c r="AM142" i="1" s="1"/>
  <c r="AQ142" i="1" s="1"/>
  <c r="AB143" i="1"/>
  <c r="AM143" i="1" s="1"/>
  <c r="AQ143" i="1" s="1"/>
  <c r="AB144" i="1"/>
  <c r="AM144" i="1" s="1"/>
  <c r="AQ144" i="1" s="1"/>
  <c r="AB145" i="1"/>
  <c r="AM145" i="1" s="1"/>
  <c r="AQ145" i="1" s="1"/>
  <c r="AB146" i="1"/>
  <c r="AM146" i="1" s="1"/>
  <c r="AQ146" i="1" s="1"/>
  <c r="AB147" i="1"/>
  <c r="AM147" i="1" s="1"/>
  <c r="AQ147" i="1" s="1"/>
  <c r="AB148" i="1"/>
  <c r="AM148" i="1" s="1"/>
  <c r="AQ148" i="1" s="1"/>
  <c r="AB149" i="1"/>
  <c r="AM149" i="1" s="1"/>
  <c r="AQ149" i="1" s="1"/>
  <c r="AB150" i="1"/>
  <c r="AM150" i="1" s="1"/>
  <c r="AQ150" i="1" s="1"/>
  <c r="AB151" i="1"/>
  <c r="AM151" i="1" s="1"/>
  <c r="AQ151" i="1" s="1"/>
  <c r="AB152" i="1"/>
  <c r="AM152" i="1" s="1"/>
  <c r="AQ152" i="1" s="1"/>
  <c r="AB153" i="1"/>
  <c r="AM153" i="1" s="1"/>
  <c r="AQ153" i="1" s="1"/>
  <c r="AB154" i="1"/>
  <c r="AM154" i="1" s="1"/>
  <c r="AQ154" i="1" s="1"/>
  <c r="AB155" i="1"/>
  <c r="AM155" i="1" s="1"/>
  <c r="AQ155" i="1" s="1"/>
  <c r="AB156" i="1"/>
  <c r="AM156" i="1" s="1"/>
  <c r="AQ156" i="1" s="1"/>
  <c r="AB157" i="1"/>
  <c r="AM157" i="1" s="1"/>
  <c r="AQ157" i="1" s="1"/>
  <c r="AB158" i="1"/>
  <c r="AM158" i="1" s="1"/>
  <c r="AQ158" i="1" s="1"/>
  <c r="AB159" i="1"/>
  <c r="AM159" i="1" s="1"/>
  <c r="AQ159" i="1" s="1"/>
  <c r="AB160" i="1"/>
  <c r="AM160" i="1" s="1"/>
  <c r="AQ160" i="1" s="1"/>
  <c r="AB161" i="1"/>
  <c r="AM161" i="1" s="1"/>
  <c r="AQ161" i="1" s="1"/>
  <c r="AB162" i="1"/>
  <c r="AM162" i="1" s="1"/>
  <c r="AQ162" i="1" s="1"/>
  <c r="AB163" i="1"/>
  <c r="AM163" i="1" s="1"/>
  <c r="AQ163" i="1" s="1"/>
  <c r="AB164" i="1"/>
  <c r="AM164" i="1" s="1"/>
  <c r="AQ164" i="1" s="1"/>
  <c r="AB165" i="1"/>
  <c r="AM165" i="1" s="1"/>
  <c r="AQ165" i="1" s="1"/>
  <c r="AB166" i="1"/>
  <c r="AM166" i="1" s="1"/>
  <c r="AQ166" i="1" s="1"/>
  <c r="AB167" i="1"/>
  <c r="AM167" i="1" s="1"/>
  <c r="AQ167" i="1" s="1"/>
  <c r="AB168" i="1"/>
  <c r="AM168" i="1" s="1"/>
  <c r="AQ168" i="1" s="1"/>
  <c r="AR168" i="1" s="1"/>
  <c r="AB169" i="1"/>
  <c r="AM169" i="1" s="1"/>
  <c r="AQ169" i="1" s="1"/>
  <c r="AB170" i="1"/>
  <c r="AM170" i="1" s="1"/>
  <c r="AQ170" i="1" s="1"/>
  <c r="AB171" i="1"/>
  <c r="AM171" i="1" s="1"/>
  <c r="AQ171" i="1" s="1"/>
  <c r="AB172" i="1"/>
  <c r="AM172" i="1" s="1"/>
  <c r="AQ172" i="1" s="1"/>
  <c r="AB173" i="1"/>
  <c r="AM173" i="1" s="1"/>
  <c r="AQ173" i="1" s="1"/>
  <c r="AB174" i="1"/>
  <c r="AM174" i="1" s="1"/>
  <c r="AQ174" i="1" s="1"/>
  <c r="AB175" i="1"/>
  <c r="AM175" i="1" s="1"/>
  <c r="AQ175" i="1" s="1"/>
  <c r="AB176" i="1"/>
  <c r="AM176" i="1" s="1"/>
  <c r="AQ176" i="1" s="1"/>
  <c r="AB177" i="1"/>
  <c r="AM177" i="1" s="1"/>
  <c r="AQ177" i="1" s="1"/>
  <c r="AB178" i="1"/>
  <c r="AM178" i="1" s="1"/>
  <c r="AQ178" i="1" s="1"/>
  <c r="AB179" i="1"/>
  <c r="AM179" i="1" s="1"/>
  <c r="AQ179" i="1" s="1"/>
  <c r="AB180" i="1"/>
  <c r="AM180" i="1" s="1"/>
  <c r="AQ180" i="1" s="1"/>
  <c r="AB181" i="1"/>
  <c r="AM181" i="1" s="1"/>
  <c r="AQ181" i="1" s="1"/>
  <c r="AB182" i="1"/>
  <c r="AM182" i="1" s="1"/>
  <c r="AQ182" i="1" s="1"/>
  <c r="AB183" i="1"/>
  <c r="AM183" i="1" s="1"/>
  <c r="AQ183" i="1" s="1"/>
  <c r="AB184" i="1"/>
  <c r="AM184" i="1" s="1"/>
  <c r="AQ184" i="1" s="1"/>
  <c r="AB185" i="1"/>
  <c r="AM185" i="1" s="1"/>
  <c r="AQ185" i="1" s="1"/>
  <c r="AB186" i="1"/>
  <c r="AM186" i="1" s="1"/>
  <c r="AQ186" i="1" s="1"/>
  <c r="AB187" i="1"/>
  <c r="AM187" i="1" s="1"/>
  <c r="AQ187" i="1" s="1"/>
  <c r="AB188" i="1"/>
  <c r="AM188" i="1" s="1"/>
  <c r="AQ188" i="1" s="1"/>
  <c r="AB189" i="1"/>
  <c r="AM189" i="1" s="1"/>
  <c r="AQ189" i="1" s="1"/>
  <c r="AB190" i="1"/>
  <c r="AM190" i="1" s="1"/>
  <c r="AQ190" i="1" s="1"/>
  <c r="AB191" i="1"/>
  <c r="AM191" i="1" s="1"/>
  <c r="AQ191" i="1" s="1"/>
  <c r="AB192" i="1"/>
  <c r="AM192" i="1" s="1"/>
  <c r="AQ192" i="1" s="1"/>
  <c r="AR192" i="1" s="1"/>
  <c r="AB193" i="1"/>
  <c r="AM193" i="1" s="1"/>
  <c r="AQ193" i="1" s="1"/>
  <c r="AB194" i="1"/>
  <c r="AM194" i="1" s="1"/>
  <c r="AQ194" i="1" s="1"/>
  <c r="AB195" i="1"/>
  <c r="AM195" i="1" s="1"/>
  <c r="AQ195" i="1" s="1"/>
  <c r="AB196" i="1"/>
  <c r="AM196" i="1" s="1"/>
  <c r="AQ196" i="1" s="1"/>
  <c r="AR196" i="1" s="1"/>
  <c r="AB197" i="1"/>
  <c r="AM197" i="1" s="1"/>
  <c r="AQ197" i="1" s="1"/>
  <c r="AB198" i="1"/>
  <c r="AM198" i="1" s="1"/>
  <c r="AQ198" i="1" s="1"/>
  <c r="AB199" i="1"/>
  <c r="AM199" i="1" s="1"/>
  <c r="AQ199" i="1" s="1"/>
  <c r="AB200" i="1"/>
  <c r="AM200" i="1" s="1"/>
  <c r="AQ200" i="1" s="1"/>
  <c r="AR200" i="1" s="1"/>
  <c r="AB201" i="1"/>
  <c r="AM201" i="1" s="1"/>
  <c r="AQ201" i="1" s="1"/>
  <c r="AB202" i="1"/>
  <c r="AM202" i="1" s="1"/>
  <c r="AQ202" i="1" s="1"/>
  <c r="AB203" i="1"/>
  <c r="AM203" i="1" s="1"/>
  <c r="AQ203" i="1" s="1"/>
  <c r="AB204" i="1"/>
  <c r="AM204" i="1" s="1"/>
  <c r="AQ204" i="1" s="1"/>
  <c r="AR204" i="1" s="1"/>
  <c r="AB205" i="1"/>
  <c r="AM205" i="1" s="1"/>
  <c r="AQ205" i="1" s="1"/>
  <c r="AB206" i="1"/>
  <c r="AM206" i="1" s="1"/>
  <c r="AQ206" i="1" s="1"/>
  <c r="AB207" i="1"/>
  <c r="AM207" i="1" s="1"/>
  <c r="AQ207" i="1" s="1"/>
  <c r="AB208" i="1"/>
  <c r="AM208" i="1" s="1"/>
  <c r="AQ208" i="1" s="1"/>
  <c r="AR208" i="1" s="1"/>
  <c r="AB209" i="1"/>
  <c r="AM209" i="1" s="1"/>
  <c r="AQ209" i="1" s="1"/>
  <c r="AB210" i="1"/>
  <c r="AM210" i="1" s="1"/>
  <c r="AQ210" i="1" s="1"/>
  <c r="AB211" i="1"/>
  <c r="AM211" i="1" s="1"/>
  <c r="AQ211" i="1" s="1"/>
  <c r="AB212" i="1"/>
  <c r="AM212" i="1" s="1"/>
  <c r="AQ212" i="1" s="1"/>
  <c r="AB213" i="1"/>
  <c r="AM213" i="1" s="1"/>
  <c r="AQ213" i="1" s="1"/>
  <c r="AB214" i="1"/>
  <c r="AM214" i="1" s="1"/>
  <c r="AQ214" i="1" s="1"/>
  <c r="AB215" i="1"/>
  <c r="AM215" i="1" s="1"/>
  <c r="AQ215" i="1" s="1"/>
  <c r="AB216" i="1"/>
  <c r="AM216" i="1" s="1"/>
  <c r="AQ216" i="1" s="1"/>
  <c r="AB217" i="1"/>
  <c r="AM217" i="1" s="1"/>
  <c r="AQ217" i="1" s="1"/>
  <c r="AB218" i="1"/>
  <c r="AM218" i="1" s="1"/>
  <c r="AQ218" i="1" s="1"/>
  <c r="AB219" i="1"/>
  <c r="AM219" i="1" s="1"/>
  <c r="AQ219" i="1" s="1"/>
  <c r="AB220" i="1"/>
  <c r="AM220" i="1" s="1"/>
  <c r="AQ220" i="1" s="1"/>
  <c r="AB221" i="1"/>
  <c r="AM221" i="1" s="1"/>
  <c r="AQ221" i="1" s="1"/>
  <c r="AB222" i="1"/>
  <c r="AM222" i="1" s="1"/>
  <c r="AQ222" i="1" s="1"/>
  <c r="AB223" i="1"/>
  <c r="AM223" i="1" s="1"/>
  <c r="AQ223" i="1" s="1"/>
  <c r="AB224" i="1"/>
  <c r="AM224" i="1" s="1"/>
  <c r="AQ224" i="1" s="1"/>
  <c r="AB225" i="1"/>
  <c r="AM225" i="1" s="1"/>
  <c r="AQ225" i="1" s="1"/>
  <c r="AB226" i="1"/>
  <c r="AM226" i="1" s="1"/>
  <c r="AQ226" i="1" s="1"/>
  <c r="AB227" i="1"/>
  <c r="AM227" i="1" s="1"/>
  <c r="AQ227" i="1" s="1"/>
  <c r="AB228" i="1"/>
  <c r="AM228" i="1" s="1"/>
  <c r="AQ228" i="1" s="1"/>
  <c r="AB229" i="1"/>
  <c r="AM229" i="1" s="1"/>
  <c r="AQ229" i="1" s="1"/>
  <c r="AB230" i="1"/>
  <c r="AM230" i="1" s="1"/>
  <c r="AQ230" i="1" s="1"/>
  <c r="AB231" i="1"/>
  <c r="AM231" i="1" s="1"/>
  <c r="AQ231" i="1" s="1"/>
  <c r="AB232" i="1"/>
  <c r="AM232" i="1" s="1"/>
  <c r="AQ232" i="1" s="1"/>
  <c r="AR232" i="1" s="1"/>
  <c r="AB233" i="1"/>
  <c r="AM233" i="1" s="1"/>
  <c r="AQ233" i="1" s="1"/>
  <c r="AB234" i="1"/>
  <c r="AM234" i="1" s="1"/>
  <c r="AQ234" i="1" s="1"/>
  <c r="AB235" i="1"/>
  <c r="AM235" i="1" s="1"/>
  <c r="AQ235" i="1" s="1"/>
  <c r="AB236" i="1"/>
  <c r="AM236" i="1" s="1"/>
  <c r="AQ236" i="1" s="1"/>
  <c r="AB237" i="1"/>
  <c r="AM237" i="1" s="1"/>
  <c r="AQ237" i="1" s="1"/>
  <c r="AB238" i="1"/>
  <c r="AM238" i="1" s="1"/>
  <c r="AQ238" i="1" s="1"/>
  <c r="AB239" i="1"/>
  <c r="AM239" i="1" s="1"/>
  <c r="AQ239" i="1" s="1"/>
  <c r="AR239" i="1" s="1"/>
  <c r="AB240" i="1"/>
  <c r="AM240" i="1" s="1"/>
  <c r="AQ240" i="1" s="1"/>
  <c r="AB241" i="1"/>
  <c r="AM241" i="1" s="1"/>
  <c r="AQ241" i="1" s="1"/>
  <c r="AB242" i="1"/>
  <c r="AM242" i="1" s="1"/>
  <c r="AQ242" i="1" s="1"/>
  <c r="AB243" i="1"/>
  <c r="AM243" i="1" s="1"/>
  <c r="AQ243" i="1" s="1"/>
  <c r="AR243" i="1" s="1"/>
  <c r="AB244" i="1"/>
  <c r="AM244" i="1" s="1"/>
  <c r="AQ244" i="1" s="1"/>
  <c r="AB245" i="1"/>
  <c r="AM245" i="1" s="1"/>
  <c r="AQ245" i="1" s="1"/>
  <c r="AB246" i="1"/>
  <c r="AM246" i="1" s="1"/>
  <c r="AQ246" i="1" s="1"/>
  <c r="AB247" i="1"/>
  <c r="AM247" i="1" s="1"/>
  <c r="AQ247" i="1" s="1"/>
  <c r="AR247" i="1" s="1"/>
  <c r="AB248" i="1"/>
  <c r="AM248" i="1" s="1"/>
  <c r="AQ248" i="1" s="1"/>
  <c r="AB249" i="1"/>
  <c r="AM249" i="1" s="1"/>
  <c r="AQ249" i="1" s="1"/>
  <c r="AB250" i="1"/>
  <c r="AM250" i="1" s="1"/>
  <c r="AQ250" i="1" s="1"/>
  <c r="AB251" i="1"/>
  <c r="AM251" i="1" s="1"/>
  <c r="AQ251" i="1" s="1"/>
  <c r="AR251" i="1" s="1"/>
  <c r="AB252" i="1"/>
  <c r="AM252" i="1" s="1"/>
  <c r="AQ252" i="1" s="1"/>
  <c r="AB253" i="1"/>
  <c r="AM253" i="1" s="1"/>
  <c r="AQ253" i="1" s="1"/>
  <c r="AB254" i="1"/>
  <c r="AM254" i="1" s="1"/>
  <c r="AQ254" i="1" s="1"/>
  <c r="AB255" i="1"/>
  <c r="AM255" i="1" s="1"/>
  <c r="AQ255" i="1" s="1"/>
  <c r="AR255" i="1" s="1"/>
  <c r="AB256" i="1"/>
  <c r="AM256" i="1" s="1"/>
  <c r="AQ256" i="1" s="1"/>
  <c r="AB257" i="1"/>
  <c r="AM257" i="1" s="1"/>
  <c r="AQ257" i="1" s="1"/>
  <c r="AB258" i="1"/>
  <c r="AM258" i="1" s="1"/>
  <c r="AQ258" i="1" s="1"/>
  <c r="AB259" i="1"/>
  <c r="AM259" i="1" s="1"/>
  <c r="AQ259" i="1" s="1"/>
  <c r="AR259" i="1" s="1"/>
  <c r="AB260" i="1"/>
  <c r="AM260" i="1" s="1"/>
  <c r="AQ260" i="1" s="1"/>
  <c r="AB261" i="1"/>
  <c r="AM261" i="1" s="1"/>
  <c r="AQ261" i="1" s="1"/>
  <c r="AB262" i="1"/>
  <c r="AM262" i="1" s="1"/>
  <c r="AQ262" i="1" s="1"/>
  <c r="AB263" i="1"/>
  <c r="AM263" i="1" s="1"/>
  <c r="AQ263" i="1" s="1"/>
  <c r="AR263" i="1" s="1"/>
  <c r="AB264" i="1"/>
  <c r="AM264" i="1" s="1"/>
  <c r="AQ264" i="1" s="1"/>
  <c r="AB265" i="1"/>
  <c r="AM265" i="1" s="1"/>
  <c r="AQ265" i="1" s="1"/>
  <c r="AB266" i="1"/>
  <c r="AM266" i="1" s="1"/>
  <c r="AQ266" i="1" s="1"/>
  <c r="AB267" i="1"/>
  <c r="AM267" i="1" s="1"/>
  <c r="AQ267" i="1" s="1"/>
  <c r="AR267" i="1" s="1"/>
  <c r="AB268" i="1"/>
  <c r="AM268" i="1" s="1"/>
  <c r="AQ268" i="1" s="1"/>
  <c r="AB269" i="1"/>
  <c r="AM269" i="1" s="1"/>
  <c r="AQ269" i="1" s="1"/>
  <c r="AB270" i="1"/>
  <c r="AM270" i="1" s="1"/>
  <c r="AQ270" i="1" s="1"/>
  <c r="AB271" i="1"/>
  <c r="AM271" i="1" s="1"/>
  <c r="AQ271" i="1" s="1"/>
  <c r="AR271" i="1" s="1"/>
  <c r="AB272" i="1"/>
  <c r="AM272" i="1" s="1"/>
  <c r="AQ272" i="1" s="1"/>
  <c r="AB273" i="1"/>
  <c r="AM273" i="1" s="1"/>
  <c r="AQ273" i="1" s="1"/>
  <c r="AB274" i="1"/>
  <c r="AM274" i="1" s="1"/>
  <c r="AQ274" i="1" s="1"/>
  <c r="AB275" i="1"/>
  <c r="AM275" i="1" s="1"/>
  <c r="AQ275" i="1" s="1"/>
  <c r="AR275" i="1" s="1"/>
  <c r="AB276" i="1"/>
  <c r="AM276" i="1" s="1"/>
  <c r="AQ276" i="1" s="1"/>
  <c r="AB277" i="1"/>
  <c r="AM277" i="1" s="1"/>
  <c r="AQ277" i="1" s="1"/>
  <c r="AB278" i="1"/>
  <c r="AM278" i="1" s="1"/>
  <c r="AQ278" i="1" s="1"/>
  <c r="AB279" i="1"/>
  <c r="AM279" i="1" s="1"/>
  <c r="AQ279" i="1" s="1"/>
  <c r="AR279" i="1" s="1"/>
  <c r="AB280" i="1"/>
  <c r="AM280" i="1" s="1"/>
  <c r="AQ280" i="1" s="1"/>
  <c r="AB281" i="1"/>
  <c r="AM281" i="1" s="1"/>
  <c r="AQ281" i="1" s="1"/>
  <c r="AB282" i="1"/>
  <c r="AM282" i="1" s="1"/>
  <c r="AQ282" i="1" s="1"/>
  <c r="AB283" i="1"/>
  <c r="AM283" i="1" s="1"/>
  <c r="AQ283" i="1" s="1"/>
  <c r="AR283" i="1" s="1"/>
  <c r="AB284" i="1"/>
  <c r="AM284" i="1" s="1"/>
  <c r="AQ284" i="1" s="1"/>
  <c r="AB285" i="1"/>
  <c r="AM285" i="1" s="1"/>
  <c r="AQ285" i="1" s="1"/>
  <c r="AB286" i="1"/>
  <c r="AM286" i="1" s="1"/>
  <c r="AQ286" i="1" s="1"/>
  <c r="AB287" i="1"/>
  <c r="AM287" i="1" s="1"/>
  <c r="AQ287" i="1" s="1"/>
  <c r="AR287" i="1" s="1"/>
  <c r="AB288" i="1"/>
  <c r="AM288" i="1" s="1"/>
  <c r="AQ288" i="1" s="1"/>
  <c r="AB289" i="1"/>
  <c r="AM289" i="1" s="1"/>
  <c r="AQ289" i="1" s="1"/>
  <c r="AB290" i="1"/>
  <c r="AM290" i="1" s="1"/>
  <c r="AQ290" i="1" s="1"/>
  <c r="AB291" i="1"/>
  <c r="AM291" i="1" s="1"/>
  <c r="AQ291" i="1" s="1"/>
  <c r="AR291" i="1" s="1"/>
  <c r="AB292" i="1"/>
  <c r="AM292" i="1" s="1"/>
  <c r="AQ292" i="1" s="1"/>
  <c r="AB293" i="1"/>
  <c r="AM293" i="1" s="1"/>
  <c r="AQ293" i="1" s="1"/>
  <c r="AB294" i="1"/>
  <c r="AM294" i="1" s="1"/>
  <c r="AQ294" i="1" s="1"/>
  <c r="AB295" i="1"/>
  <c r="AM295" i="1" s="1"/>
  <c r="AQ295" i="1" s="1"/>
  <c r="AB296" i="1"/>
  <c r="AM296" i="1" s="1"/>
  <c r="AQ296" i="1" s="1"/>
  <c r="AB297" i="1"/>
  <c r="AM297" i="1" s="1"/>
  <c r="AQ297" i="1" s="1"/>
  <c r="AB298" i="1"/>
  <c r="AM298" i="1" s="1"/>
  <c r="AQ298" i="1" s="1"/>
  <c r="AB299" i="1"/>
  <c r="AM299" i="1" s="1"/>
  <c r="AQ299" i="1" s="1"/>
  <c r="AB300" i="1"/>
  <c r="AM300" i="1" s="1"/>
  <c r="AQ300" i="1" s="1"/>
  <c r="AB301" i="1"/>
  <c r="AM301" i="1" s="1"/>
  <c r="AQ301" i="1" s="1"/>
  <c r="AB302" i="1"/>
  <c r="AM302" i="1" s="1"/>
  <c r="AQ302" i="1" s="1"/>
  <c r="AB303" i="1"/>
  <c r="AM303" i="1" s="1"/>
  <c r="AQ303" i="1" s="1"/>
  <c r="AB304" i="1"/>
  <c r="AM304" i="1" s="1"/>
  <c r="AQ304" i="1" s="1"/>
  <c r="AB305" i="1"/>
  <c r="AM305" i="1" s="1"/>
  <c r="AQ305" i="1" s="1"/>
  <c r="AB306" i="1"/>
  <c r="AM306" i="1" s="1"/>
  <c r="AQ306" i="1" s="1"/>
  <c r="AB307" i="1"/>
  <c r="AM307" i="1" s="1"/>
  <c r="AQ307" i="1" s="1"/>
  <c r="AR307" i="1" s="1"/>
  <c r="AB308" i="1"/>
  <c r="AM308" i="1" s="1"/>
  <c r="AQ308" i="1" s="1"/>
  <c r="AB309" i="1"/>
  <c r="AM309" i="1" s="1"/>
  <c r="AQ309" i="1" s="1"/>
  <c r="AB310" i="1"/>
  <c r="AM310" i="1" s="1"/>
  <c r="AQ310" i="1" s="1"/>
  <c r="AB311" i="1"/>
  <c r="AM311" i="1" s="1"/>
  <c r="AQ311" i="1" s="1"/>
  <c r="AB312" i="1"/>
  <c r="AM312" i="1" s="1"/>
  <c r="AQ312" i="1" s="1"/>
  <c r="AB313" i="1"/>
  <c r="AM313" i="1" s="1"/>
  <c r="AQ313" i="1" s="1"/>
  <c r="AB314" i="1"/>
  <c r="AM314" i="1" s="1"/>
  <c r="AQ314" i="1" s="1"/>
  <c r="AB315" i="1"/>
  <c r="AM315" i="1" s="1"/>
  <c r="AQ315" i="1" s="1"/>
  <c r="AR315" i="1" s="1"/>
  <c r="AB316" i="1"/>
  <c r="AM316" i="1" s="1"/>
  <c r="AQ316" i="1" s="1"/>
  <c r="AB317" i="1"/>
  <c r="AM317" i="1" s="1"/>
  <c r="AQ317" i="1" s="1"/>
  <c r="AB318" i="1"/>
  <c r="AM318" i="1" s="1"/>
  <c r="AQ318" i="1" s="1"/>
  <c r="AB319" i="1"/>
  <c r="AM319" i="1" s="1"/>
  <c r="AQ319" i="1" s="1"/>
  <c r="AR319" i="1" s="1"/>
  <c r="AB320" i="1"/>
  <c r="AM320" i="1" s="1"/>
  <c r="AQ320" i="1" s="1"/>
  <c r="AB321" i="1"/>
  <c r="AM321" i="1" s="1"/>
  <c r="AQ321" i="1" s="1"/>
  <c r="AB322" i="1"/>
  <c r="AM322" i="1" s="1"/>
  <c r="AQ322" i="1" s="1"/>
  <c r="AB323" i="1"/>
  <c r="AM323" i="1" s="1"/>
  <c r="AQ323" i="1" s="1"/>
  <c r="AB324" i="1"/>
  <c r="AM324" i="1" s="1"/>
  <c r="AQ324" i="1" s="1"/>
  <c r="AB325" i="1"/>
  <c r="AM325" i="1" s="1"/>
  <c r="AQ325" i="1" s="1"/>
  <c r="AB326" i="1"/>
  <c r="AM326" i="1" s="1"/>
  <c r="AQ326" i="1" s="1"/>
  <c r="AB327" i="1"/>
  <c r="AM327" i="1" s="1"/>
  <c r="AQ327" i="1" s="1"/>
  <c r="AR327" i="1" s="1"/>
  <c r="AB328" i="1"/>
  <c r="AM328" i="1" s="1"/>
  <c r="AQ328" i="1" s="1"/>
  <c r="AB329" i="1"/>
  <c r="AM329" i="1" s="1"/>
  <c r="AQ329" i="1" s="1"/>
  <c r="AB330" i="1"/>
  <c r="AM330" i="1" s="1"/>
  <c r="AQ330" i="1" s="1"/>
  <c r="AB331" i="1"/>
  <c r="AM331" i="1" s="1"/>
  <c r="AQ331" i="1" s="1"/>
  <c r="AR331" i="1" s="1"/>
  <c r="AB332" i="1"/>
  <c r="AM332" i="1" s="1"/>
  <c r="AQ332" i="1" s="1"/>
  <c r="AB333" i="1"/>
  <c r="AM333" i="1" s="1"/>
  <c r="AQ333" i="1" s="1"/>
  <c r="AB334" i="1"/>
  <c r="AM334" i="1" s="1"/>
  <c r="AQ334" i="1" s="1"/>
  <c r="AB335" i="1"/>
  <c r="AM335" i="1" s="1"/>
  <c r="AQ335" i="1" s="1"/>
  <c r="AR335" i="1" s="1"/>
  <c r="AB336" i="1"/>
  <c r="AM336" i="1" s="1"/>
  <c r="AQ336" i="1" s="1"/>
  <c r="AB337" i="1"/>
  <c r="AM337" i="1" s="1"/>
  <c r="AQ337" i="1" s="1"/>
  <c r="AB338" i="1"/>
  <c r="AM338" i="1" s="1"/>
  <c r="AQ338" i="1" s="1"/>
  <c r="AB339" i="1"/>
  <c r="AM339" i="1" s="1"/>
  <c r="AQ339" i="1" s="1"/>
  <c r="AR339" i="1" s="1"/>
  <c r="AB340" i="1"/>
  <c r="AM340" i="1" s="1"/>
  <c r="AQ340" i="1" s="1"/>
  <c r="AB341" i="1"/>
  <c r="AM341" i="1" s="1"/>
  <c r="AQ341" i="1" s="1"/>
  <c r="AB342" i="1"/>
  <c r="AM342" i="1" s="1"/>
  <c r="AQ342" i="1" s="1"/>
  <c r="AB343" i="1"/>
  <c r="AM343" i="1" s="1"/>
  <c r="AQ343" i="1" s="1"/>
  <c r="AR343" i="1" s="1"/>
  <c r="AB344" i="1"/>
  <c r="AM344" i="1" s="1"/>
  <c r="AQ344" i="1" s="1"/>
  <c r="AB345" i="1"/>
  <c r="AM345" i="1" s="1"/>
  <c r="AQ345" i="1" s="1"/>
  <c r="AB346" i="1"/>
  <c r="AM346" i="1" s="1"/>
  <c r="AQ346" i="1" s="1"/>
  <c r="AB347" i="1"/>
  <c r="AM347" i="1" s="1"/>
  <c r="AQ347" i="1" s="1"/>
  <c r="AR347" i="1" s="1"/>
  <c r="AB348" i="1"/>
  <c r="AM348" i="1" s="1"/>
  <c r="AQ348" i="1" s="1"/>
  <c r="AB349" i="1"/>
  <c r="AM349" i="1" s="1"/>
  <c r="AQ349" i="1" s="1"/>
  <c r="AB350" i="1"/>
  <c r="AM350" i="1" s="1"/>
  <c r="AQ350" i="1" s="1"/>
  <c r="AB351" i="1"/>
  <c r="AM351" i="1" s="1"/>
  <c r="AQ351" i="1" s="1"/>
  <c r="AR351" i="1" s="1"/>
  <c r="AB352" i="1"/>
  <c r="AM352" i="1" s="1"/>
  <c r="AQ352" i="1" s="1"/>
  <c r="AB353" i="1"/>
  <c r="AM353" i="1" s="1"/>
  <c r="AQ353" i="1" s="1"/>
  <c r="AB354" i="1"/>
  <c r="AM354" i="1" s="1"/>
  <c r="AQ354" i="1" s="1"/>
  <c r="AB355" i="1"/>
  <c r="AM355" i="1" s="1"/>
  <c r="AQ355" i="1" s="1"/>
  <c r="AR355" i="1" s="1"/>
  <c r="AB356" i="1"/>
  <c r="AM356" i="1" s="1"/>
  <c r="AQ356" i="1" s="1"/>
  <c r="AB357" i="1"/>
  <c r="AM357" i="1" s="1"/>
  <c r="AQ357" i="1" s="1"/>
  <c r="AB358" i="1"/>
  <c r="AM358" i="1" s="1"/>
  <c r="AQ358" i="1" s="1"/>
  <c r="AB359" i="1"/>
  <c r="AM359" i="1" s="1"/>
  <c r="AQ359" i="1" s="1"/>
  <c r="AR359" i="1" s="1"/>
  <c r="AB360" i="1"/>
  <c r="AM360" i="1" s="1"/>
  <c r="AQ360" i="1" s="1"/>
  <c r="AB361" i="1"/>
  <c r="AM361" i="1" s="1"/>
  <c r="AQ361" i="1" s="1"/>
  <c r="AB362" i="1"/>
  <c r="AM362" i="1" s="1"/>
  <c r="AQ362" i="1" s="1"/>
  <c r="AB363" i="1"/>
  <c r="AM363" i="1" s="1"/>
  <c r="AQ363" i="1" s="1"/>
  <c r="AR363" i="1" s="1"/>
  <c r="AB364" i="1"/>
  <c r="AM364" i="1" s="1"/>
  <c r="AQ364" i="1" s="1"/>
  <c r="AB365" i="1"/>
  <c r="AM365" i="1" s="1"/>
  <c r="AQ365" i="1" s="1"/>
  <c r="AB366" i="1"/>
  <c r="AM366" i="1" s="1"/>
  <c r="AQ366" i="1" s="1"/>
  <c r="AB367" i="1"/>
  <c r="AM367" i="1" s="1"/>
  <c r="AQ367" i="1" s="1"/>
  <c r="AR367" i="1" s="1"/>
  <c r="AB368" i="1"/>
  <c r="AM368" i="1" s="1"/>
  <c r="AQ368" i="1" s="1"/>
  <c r="AB369" i="1"/>
  <c r="AM369" i="1" s="1"/>
  <c r="AQ369" i="1" s="1"/>
  <c r="AB370" i="1"/>
  <c r="AM370" i="1" s="1"/>
  <c r="AQ370" i="1" s="1"/>
  <c r="AB371" i="1"/>
  <c r="AM371" i="1" s="1"/>
  <c r="AQ371" i="1" s="1"/>
  <c r="AR371" i="1" s="1"/>
  <c r="AB372" i="1"/>
  <c r="AM372" i="1" s="1"/>
  <c r="AQ372" i="1" s="1"/>
  <c r="AB373" i="1"/>
  <c r="AM373" i="1" s="1"/>
  <c r="AQ373" i="1" s="1"/>
  <c r="AB374" i="1"/>
  <c r="AM374" i="1" s="1"/>
  <c r="AQ374" i="1" s="1"/>
  <c r="AB375" i="1"/>
  <c r="AM375" i="1" s="1"/>
  <c r="AQ375" i="1" s="1"/>
  <c r="AR375" i="1" s="1"/>
  <c r="AB376" i="1"/>
  <c r="AM376" i="1" s="1"/>
  <c r="AQ376" i="1" s="1"/>
  <c r="AB377" i="1"/>
  <c r="AM377" i="1" s="1"/>
  <c r="AQ377" i="1" s="1"/>
  <c r="AB378" i="1"/>
  <c r="AM378" i="1" s="1"/>
  <c r="AQ378" i="1" s="1"/>
  <c r="AB379" i="1"/>
  <c r="AM379" i="1" s="1"/>
  <c r="AQ379" i="1" s="1"/>
  <c r="AR379" i="1" s="1"/>
  <c r="AB380" i="1"/>
  <c r="AM380" i="1" s="1"/>
  <c r="AQ380" i="1" s="1"/>
  <c r="AB381" i="1"/>
  <c r="AM381" i="1" s="1"/>
  <c r="AQ381" i="1" s="1"/>
  <c r="AB382" i="1"/>
  <c r="AM382" i="1" s="1"/>
  <c r="AQ382" i="1" s="1"/>
  <c r="AB383" i="1"/>
  <c r="AM383" i="1" s="1"/>
  <c r="AQ383" i="1" s="1"/>
  <c r="AR383" i="1" s="1"/>
  <c r="AB384" i="1"/>
  <c r="AM384" i="1" s="1"/>
  <c r="AQ384" i="1" s="1"/>
  <c r="AB385" i="1"/>
  <c r="AM385" i="1" s="1"/>
  <c r="AQ385" i="1" s="1"/>
  <c r="AB386" i="1"/>
  <c r="AM386" i="1" s="1"/>
  <c r="AQ386" i="1" s="1"/>
  <c r="AB387" i="1"/>
  <c r="AM387" i="1" s="1"/>
  <c r="AQ387" i="1" s="1"/>
  <c r="AB388" i="1"/>
  <c r="AM388" i="1" s="1"/>
  <c r="AQ388" i="1" s="1"/>
  <c r="AB389" i="1"/>
  <c r="AM389" i="1" s="1"/>
  <c r="AQ389" i="1" s="1"/>
  <c r="AB390" i="1"/>
  <c r="AM390" i="1" s="1"/>
  <c r="AQ390" i="1" s="1"/>
  <c r="AB391" i="1"/>
  <c r="AM391" i="1" s="1"/>
  <c r="AQ391" i="1" s="1"/>
  <c r="AR391" i="1" s="1"/>
  <c r="AB392" i="1"/>
  <c r="AM392" i="1" s="1"/>
  <c r="AQ392" i="1" s="1"/>
  <c r="AB393" i="1"/>
  <c r="AM393" i="1" s="1"/>
  <c r="AQ393" i="1" s="1"/>
  <c r="AB394" i="1"/>
  <c r="AM394" i="1" s="1"/>
  <c r="AQ394" i="1" s="1"/>
  <c r="AB395" i="1"/>
  <c r="AM395" i="1" s="1"/>
  <c r="AQ395" i="1" s="1"/>
  <c r="AB396" i="1"/>
  <c r="AM396" i="1" s="1"/>
  <c r="AQ396" i="1" s="1"/>
  <c r="AB397" i="1"/>
  <c r="AM397" i="1" s="1"/>
  <c r="AQ397" i="1" s="1"/>
  <c r="AB398" i="1"/>
  <c r="AM398" i="1" s="1"/>
  <c r="AQ398" i="1" s="1"/>
  <c r="AB399" i="1"/>
  <c r="AM399" i="1" s="1"/>
  <c r="AQ399" i="1" s="1"/>
  <c r="AB400" i="1"/>
  <c r="AM400" i="1" s="1"/>
  <c r="AQ400" i="1" s="1"/>
  <c r="AB401" i="1"/>
  <c r="AM401" i="1" s="1"/>
  <c r="AQ401" i="1" s="1"/>
  <c r="AB402" i="1"/>
  <c r="AM402" i="1" s="1"/>
  <c r="AQ402" i="1" s="1"/>
  <c r="AB403" i="1"/>
  <c r="AM403" i="1" s="1"/>
  <c r="AQ403" i="1" s="1"/>
  <c r="AB404" i="1"/>
  <c r="AM404" i="1" s="1"/>
  <c r="AQ404" i="1" s="1"/>
  <c r="AB405" i="1"/>
  <c r="AM405" i="1" s="1"/>
  <c r="AQ405" i="1" s="1"/>
  <c r="AB406" i="1"/>
  <c r="AM406" i="1" s="1"/>
  <c r="AQ406" i="1" s="1"/>
  <c r="AB407" i="1"/>
  <c r="AM407" i="1" s="1"/>
  <c r="AQ407" i="1" s="1"/>
  <c r="AB408" i="1"/>
  <c r="AM408" i="1" s="1"/>
  <c r="AQ408" i="1" s="1"/>
  <c r="AB409" i="1"/>
  <c r="AM409" i="1" s="1"/>
  <c r="AQ409" i="1" s="1"/>
  <c r="AB410" i="1"/>
  <c r="AM410" i="1" s="1"/>
  <c r="AQ410" i="1" s="1"/>
  <c r="AB411" i="1"/>
  <c r="AM411" i="1" s="1"/>
  <c r="AQ411" i="1" s="1"/>
  <c r="AB412" i="1"/>
  <c r="AM412" i="1" s="1"/>
  <c r="AQ412" i="1" s="1"/>
  <c r="AB413" i="1"/>
  <c r="AM413" i="1" s="1"/>
  <c r="AQ413" i="1" s="1"/>
  <c r="AB414" i="1"/>
  <c r="AM414" i="1" s="1"/>
  <c r="AQ414" i="1" s="1"/>
  <c r="AB415" i="1"/>
  <c r="AM415" i="1" s="1"/>
  <c r="AQ415" i="1" s="1"/>
  <c r="AR415" i="1" s="1"/>
  <c r="AB416" i="1"/>
  <c r="AM416" i="1" s="1"/>
  <c r="AQ416" i="1" s="1"/>
  <c r="AB417" i="1"/>
  <c r="AM417" i="1" s="1"/>
  <c r="AQ417" i="1" s="1"/>
  <c r="AB418" i="1"/>
  <c r="AM418" i="1" s="1"/>
  <c r="AQ418" i="1" s="1"/>
  <c r="AB419" i="1"/>
  <c r="AM419" i="1" s="1"/>
  <c r="AQ419" i="1" s="1"/>
  <c r="AR419" i="1" s="1"/>
  <c r="AB420" i="1"/>
  <c r="AM420" i="1" s="1"/>
  <c r="AQ420" i="1" s="1"/>
  <c r="AB421" i="1"/>
  <c r="AM421" i="1" s="1"/>
  <c r="AQ421" i="1" s="1"/>
  <c r="AB422" i="1"/>
  <c r="AM422" i="1" s="1"/>
  <c r="AQ422" i="1" s="1"/>
  <c r="AB423" i="1"/>
  <c r="AM423" i="1" s="1"/>
  <c r="AQ423" i="1" s="1"/>
  <c r="AR423" i="1" s="1"/>
  <c r="AB424" i="1"/>
  <c r="AM424" i="1" s="1"/>
  <c r="AQ424" i="1" s="1"/>
  <c r="AR424" i="1" s="1"/>
  <c r="AB425" i="1"/>
  <c r="AM425" i="1" s="1"/>
  <c r="AQ425" i="1" s="1"/>
  <c r="AB426" i="1"/>
  <c r="AM426" i="1" s="1"/>
  <c r="AQ426" i="1" s="1"/>
  <c r="AB427" i="1"/>
  <c r="AM427" i="1" s="1"/>
  <c r="AQ427" i="1" s="1"/>
  <c r="AS427" i="1" s="1"/>
  <c r="AB428" i="1"/>
  <c r="AM428" i="1" s="1"/>
  <c r="AQ428" i="1" s="1"/>
  <c r="AB429" i="1"/>
  <c r="AM429" i="1" s="1"/>
  <c r="AQ429" i="1" s="1"/>
  <c r="AB430" i="1"/>
  <c r="AM430" i="1" s="1"/>
  <c r="AQ430" i="1" s="1"/>
  <c r="AR430" i="1" s="1"/>
  <c r="AB431" i="1"/>
  <c r="AM431" i="1" s="1"/>
  <c r="AQ431" i="1" s="1"/>
  <c r="AB432" i="1"/>
  <c r="AM432" i="1" s="1"/>
  <c r="AQ432" i="1" s="1"/>
  <c r="AR432" i="1" s="1"/>
  <c r="AB433" i="1"/>
  <c r="AM433" i="1" s="1"/>
  <c r="AQ433" i="1" s="1"/>
  <c r="AB434" i="1"/>
  <c r="AM434" i="1" s="1"/>
  <c r="AQ434" i="1" s="1"/>
  <c r="AB435" i="1"/>
  <c r="AM435" i="1" s="1"/>
  <c r="AQ435" i="1" s="1"/>
  <c r="AS435" i="1" s="1"/>
  <c r="AB436" i="1"/>
  <c r="AM436" i="1" s="1"/>
  <c r="AQ436" i="1" s="1"/>
  <c r="AB437" i="1"/>
  <c r="AM437" i="1" s="1"/>
  <c r="AQ437" i="1" s="1"/>
  <c r="AB438" i="1"/>
  <c r="AM438" i="1" s="1"/>
  <c r="AQ438" i="1" s="1"/>
  <c r="AR438" i="1" s="1"/>
  <c r="AB439" i="1"/>
  <c r="AM439" i="1" s="1"/>
  <c r="AQ439" i="1" s="1"/>
  <c r="AB440" i="1"/>
  <c r="AM440" i="1" s="1"/>
  <c r="AQ440" i="1" s="1"/>
  <c r="AR440" i="1" s="1"/>
  <c r="AB441" i="1"/>
  <c r="AM441" i="1" s="1"/>
  <c r="AQ441" i="1" s="1"/>
  <c r="AB442" i="1"/>
  <c r="AM442" i="1" s="1"/>
  <c r="AQ442" i="1" s="1"/>
  <c r="AB443" i="1"/>
  <c r="AM443" i="1" s="1"/>
  <c r="AQ443" i="1" s="1"/>
  <c r="AS443" i="1" s="1"/>
  <c r="AB444" i="1"/>
  <c r="AM444" i="1" s="1"/>
  <c r="AQ444" i="1" s="1"/>
  <c r="AB445" i="1"/>
  <c r="AM445" i="1" s="1"/>
  <c r="AQ445" i="1" s="1"/>
  <c r="AB446" i="1"/>
  <c r="AM446" i="1" s="1"/>
  <c r="AQ446" i="1" s="1"/>
  <c r="AR446" i="1" s="1"/>
  <c r="AB447" i="1"/>
  <c r="AM447" i="1" s="1"/>
  <c r="AQ447" i="1" s="1"/>
  <c r="AB448" i="1"/>
  <c r="AM448" i="1" s="1"/>
  <c r="AQ448" i="1" s="1"/>
  <c r="AR448" i="1" s="1"/>
  <c r="AB449" i="1"/>
  <c r="AM449" i="1" s="1"/>
  <c r="AQ449" i="1" s="1"/>
  <c r="AB450" i="1"/>
  <c r="AM450" i="1" s="1"/>
  <c r="AQ450" i="1" s="1"/>
  <c r="AB451" i="1"/>
  <c r="AM451" i="1" s="1"/>
  <c r="AQ451" i="1" s="1"/>
  <c r="AS451" i="1" s="1"/>
  <c r="AB452" i="1"/>
  <c r="AM452" i="1" s="1"/>
  <c r="AQ452" i="1" s="1"/>
  <c r="AB453" i="1"/>
  <c r="AM453" i="1" s="1"/>
  <c r="AQ453" i="1" s="1"/>
  <c r="AB454" i="1"/>
  <c r="AM454" i="1" s="1"/>
  <c r="AQ454" i="1" s="1"/>
  <c r="AR454" i="1" s="1"/>
  <c r="AB455" i="1"/>
  <c r="AM455" i="1" s="1"/>
  <c r="AQ455" i="1" s="1"/>
  <c r="AR455" i="1" s="1"/>
  <c r="AB456" i="1"/>
  <c r="AM456" i="1" s="1"/>
  <c r="AQ456" i="1" s="1"/>
  <c r="AB457" i="1"/>
  <c r="AM457" i="1" s="1"/>
  <c r="AQ457" i="1" s="1"/>
  <c r="AB458" i="1"/>
  <c r="AM458" i="1" s="1"/>
  <c r="AQ458" i="1" s="1"/>
  <c r="AR458" i="1" s="1"/>
  <c r="AB459" i="1"/>
  <c r="AM459" i="1" s="1"/>
  <c r="AQ459" i="1" s="1"/>
  <c r="AR459" i="1" s="1"/>
  <c r="AB460" i="1"/>
  <c r="AM460" i="1" s="1"/>
  <c r="AQ460" i="1" s="1"/>
  <c r="AB461" i="1"/>
  <c r="AM461" i="1" s="1"/>
  <c r="AQ461" i="1" s="1"/>
  <c r="AB462" i="1"/>
  <c r="AM462" i="1" s="1"/>
  <c r="AQ462" i="1" s="1"/>
  <c r="AR462" i="1" s="1"/>
  <c r="AB463" i="1"/>
  <c r="AM463" i="1" s="1"/>
  <c r="AQ463" i="1" s="1"/>
  <c r="AR463" i="1" s="1"/>
  <c r="AB464" i="1"/>
  <c r="AM464" i="1" s="1"/>
  <c r="AQ464" i="1" s="1"/>
  <c r="AB465" i="1"/>
  <c r="AM465" i="1" s="1"/>
  <c r="AQ465" i="1" s="1"/>
  <c r="AB466" i="1"/>
  <c r="AM466" i="1" s="1"/>
  <c r="AQ466" i="1" s="1"/>
  <c r="AR466" i="1" s="1"/>
  <c r="AB467" i="1"/>
  <c r="AM467" i="1" s="1"/>
  <c r="AQ467" i="1" s="1"/>
  <c r="AR467" i="1" s="1"/>
  <c r="AB468" i="1"/>
  <c r="AM468" i="1" s="1"/>
  <c r="AQ468" i="1" s="1"/>
  <c r="AB469" i="1"/>
  <c r="AM469" i="1" s="1"/>
  <c r="AQ469" i="1" s="1"/>
  <c r="AB470" i="1"/>
  <c r="AM470" i="1" s="1"/>
  <c r="AQ470" i="1" s="1"/>
  <c r="AR470" i="1" s="1"/>
  <c r="AB471" i="1"/>
  <c r="AM471" i="1" s="1"/>
  <c r="AQ471" i="1" s="1"/>
  <c r="AR471" i="1" s="1"/>
  <c r="AB472" i="1"/>
  <c r="AM472" i="1" s="1"/>
  <c r="AQ472" i="1" s="1"/>
  <c r="AB473" i="1"/>
  <c r="AM473" i="1" s="1"/>
  <c r="AQ473" i="1" s="1"/>
  <c r="AB474" i="1"/>
  <c r="AM474" i="1" s="1"/>
  <c r="AQ474" i="1" s="1"/>
  <c r="AR474" i="1" s="1"/>
  <c r="AB475" i="1"/>
  <c r="AM475" i="1" s="1"/>
  <c r="AQ475" i="1" s="1"/>
  <c r="AR475" i="1" s="1"/>
  <c r="AB476" i="1"/>
  <c r="AM476" i="1" s="1"/>
  <c r="AQ476" i="1" s="1"/>
  <c r="AB477" i="1"/>
  <c r="AM477" i="1" s="1"/>
  <c r="AQ477" i="1" s="1"/>
  <c r="AB478" i="1"/>
  <c r="AM478" i="1" s="1"/>
  <c r="AQ478" i="1" s="1"/>
  <c r="AR478" i="1" s="1"/>
  <c r="AB479" i="1"/>
  <c r="AM479" i="1" s="1"/>
  <c r="AQ479" i="1" s="1"/>
  <c r="AR479" i="1" s="1"/>
  <c r="AB480" i="1"/>
  <c r="AM480" i="1" s="1"/>
  <c r="AQ480" i="1" s="1"/>
  <c r="AB481" i="1"/>
  <c r="AM481" i="1" s="1"/>
  <c r="AQ481" i="1" s="1"/>
  <c r="AB482" i="1"/>
  <c r="AM482" i="1" s="1"/>
  <c r="AQ482" i="1" s="1"/>
  <c r="AR482" i="1" s="1"/>
  <c r="AB483" i="1"/>
  <c r="AM483" i="1" s="1"/>
  <c r="AQ483" i="1" s="1"/>
  <c r="AR483" i="1" s="1"/>
  <c r="AB484" i="1"/>
  <c r="AM484" i="1" s="1"/>
  <c r="AQ484" i="1" s="1"/>
  <c r="AB485" i="1"/>
  <c r="AM485" i="1" s="1"/>
  <c r="AQ485" i="1" s="1"/>
  <c r="AB486" i="1"/>
  <c r="AM486" i="1" s="1"/>
  <c r="AQ486" i="1" s="1"/>
  <c r="AR486" i="1" s="1"/>
  <c r="AB487" i="1"/>
  <c r="AM487" i="1" s="1"/>
  <c r="AQ487" i="1" s="1"/>
  <c r="AR487" i="1" s="1"/>
  <c r="AB488" i="1"/>
  <c r="AM488" i="1" s="1"/>
  <c r="AQ488" i="1" s="1"/>
  <c r="AB489" i="1"/>
  <c r="AM489" i="1" s="1"/>
  <c r="AQ489" i="1" s="1"/>
  <c r="AB490" i="1"/>
  <c r="AM490" i="1" s="1"/>
  <c r="AQ490" i="1" s="1"/>
  <c r="AR490" i="1" s="1"/>
  <c r="AB491" i="1"/>
  <c r="AM491" i="1" s="1"/>
  <c r="AQ491" i="1" s="1"/>
  <c r="AR491" i="1" s="1"/>
  <c r="AB492" i="1"/>
  <c r="AM492" i="1" s="1"/>
  <c r="AQ492" i="1" s="1"/>
  <c r="AB493" i="1"/>
  <c r="AM493" i="1" s="1"/>
  <c r="AQ493" i="1" s="1"/>
  <c r="AB494" i="1"/>
  <c r="AM494" i="1" s="1"/>
  <c r="AQ494" i="1" s="1"/>
  <c r="AR494" i="1" s="1"/>
  <c r="AB495" i="1"/>
  <c r="AM495" i="1" s="1"/>
  <c r="AQ495" i="1" s="1"/>
  <c r="AR495" i="1" s="1"/>
  <c r="AB496" i="1"/>
  <c r="AM496" i="1" s="1"/>
  <c r="AQ496" i="1" s="1"/>
  <c r="AB497" i="1"/>
  <c r="AM497" i="1" s="1"/>
  <c r="AQ497" i="1" s="1"/>
  <c r="AB498" i="1"/>
  <c r="AM498" i="1" s="1"/>
  <c r="AQ498" i="1" s="1"/>
  <c r="AR498" i="1" s="1"/>
  <c r="AB499" i="1"/>
  <c r="AM499" i="1" s="1"/>
  <c r="AQ499" i="1" s="1"/>
  <c r="AR499" i="1" s="1"/>
  <c r="AB500" i="1"/>
  <c r="AM500" i="1" s="1"/>
  <c r="AQ500" i="1" s="1"/>
  <c r="AB501" i="1"/>
  <c r="AM501" i="1" s="1"/>
  <c r="AQ501" i="1" s="1"/>
  <c r="AB502" i="1"/>
  <c r="AM502" i="1" s="1"/>
  <c r="AQ502" i="1" s="1"/>
  <c r="AR502" i="1" s="1"/>
  <c r="AB503" i="1"/>
  <c r="AM503" i="1" s="1"/>
  <c r="AQ503" i="1" s="1"/>
  <c r="AR503" i="1" s="1"/>
  <c r="AB504" i="1"/>
  <c r="AM504" i="1" s="1"/>
  <c r="AQ504" i="1" s="1"/>
  <c r="AB505" i="1"/>
  <c r="AM505" i="1" s="1"/>
  <c r="AQ505" i="1" s="1"/>
  <c r="AB506" i="1"/>
  <c r="AM506" i="1" s="1"/>
  <c r="AQ506" i="1" s="1"/>
  <c r="AR506" i="1" s="1"/>
  <c r="AB507" i="1"/>
  <c r="AM507" i="1" s="1"/>
  <c r="AQ507" i="1" s="1"/>
  <c r="AR507" i="1" s="1"/>
  <c r="AB508" i="1"/>
  <c r="AM508" i="1" s="1"/>
  <c r="AQ508" i="1" s="1"/>
  <c r="AB509" i="1"/>
  <c r="AM509" i="1" s="1"/>
  <c r="AQ509" i="1" s="1"/>
  <c r="AB510" i="1"/>
  <c r="AM510" i="1" s="1"/>
  <c r="AQ510" i="1" s="1"/>
  <c r="AR510" i="1" s="1"/>
  <c r="AB511" i="1"/>
  <c r="AM511" i="1" s="1"/>
  <c r="AQ511" i="1" s="1"/>
  <c r="AR511" i="1" s="1"/>
  <c r="AB512" i="1"/>
  <c r="AM512" i="1" s="1"/>
  <c r="AQ512" i="1" s="1"/>
  <c r="AB513" i="1"/>
  <c r="AM513" i="1" s="1"/>
  <c r="AQ513" i="1" s="1"/>
  <c r="AB514" i="1"/>
  <c r="AM514" i="1" s="1"/>
  <c r="AQ514" i="1" s="1"/>
  <c r="AR514" i="1" s="1"/>
  <c r="AB515" i="1"/>
  <c r="AM515" i="1" s="1"/>
  <c r="AQ515" i="1" s="1"/>
  <c r="AR515" i="1" s="1"/>
  <c r="AB516" i="1"/>
  <c r="AM516" i="1" s="1"/>
  <c r="AQ516" i="1" s="1"/>
  <c r="AB517" i="1"/>
  <c r="AM517" i="1" s="1"/>
  <c r="AQ517" i="1" s="1"/>
  <c r="AB518" i="1"/>
  <c r="AM518" i="1" s="1"/>
  <c r="AQ518" i="1" s="1"/>
  <c r="AR518" i="1" s="1"/>
  <c r="AB519" i="1"/>
  <c r="AM519" i="1" s="1"/>
  <c r="AQ519" i="1" s="1"/>
  <c r="AR519" i="1" s="1"/>
  <c r="AB520" i="1"/>
  <c r="AM520" i="1" s="1"/>
  <c r="AQ520" i="1" s="1"/>
  <c r="AB521" i="1"/>
  <c r="AM521" i="1" s="1"/>
  <c r="AQ521" i="1" s="1"/>
  <c r="AB522" i="1"/>
  <c r="AM522" i="1" s="1"/>
  <c r="AQ522" i="1" s="1"/>
  <c r="AR522" i="1" s="1"/>
  <c r="AB523" i="1"/>
  <c r="AM523" i="1" s="1"/>
  <c r="AQ523" i="1" s="1"/>
  <c r="AR523" i="1" s="1"/>
  <c r="AB524" i="1"/>
  <c r="AM524" i="1" s="1"/>
  <c r="AQ524" i="1" s="1"/>
  <c r="AB525" i="1"/>
  <c r="AM525" i="1" s="1"/>
  <c r="AQ525" i="1" s="1"/>
  <c r="AB526" i="1"/>
  <c r="AM526" i="1" s="1"/>
  <c r="AQ526" i="1" s="1"/>
  <c r="AB527" i="1"/>
  <c r="AM527" i="1" s="1"/>
  <c r="AQ527" i="1" s="1"/>
  <c r="AR527" i="1" s="1"/>
  <c r="AB528" i="1"/>
  <c r="AM528" i="1" s="1"/>
  <c r="AQ528" i="1" s="1"/>
  <c r="AB529" i="1"/>
  <c r="AM529" i="1" s="1"/>
  <c r="AQ529" i="1" s="1"/>
  <c r="AB530" i="1"/>
  <c r="AM530" i="1" s="1"/>
  <c r="AQ530" i="1" s="1"/>
  <c r="AB531" i="1"/>
  <c r="AM531" i="1" s="1"/>
  <c r="AQ531" i="1" s="1"/>
  <c r="AR531" i="1" s="1"/>
  <c r="AB532" i="1"/>
  <c r="AM532" i="1" s="1"/>
  <c r="AQ532" i="1" s="1"/>
  <c r="AB533" i="1"/>
  <c r="AM533" i="1" s="1"/>
  <c r="AQ533" i="1" s="1"/>
  <c r="AB534" i="1"/>
  <c r="AM534" i="1" s="1"/>
  <c r="AQ534" i="1" s="1"/>
  <c r="AR534" i="1" s="1"/>
  <c r="AB535" i="1"/>
  <c r="AM535" i="1" s="1"/>
  <c r="AQ535" i="1" s="1"/>
  <c r="AR535" i="1" s="1"/>
  <c r="AB536" i="1"/>
  <c r="AM536" i="1" s="1"/>
  <c r="AQ536" i="1" s="1"/>
  <c r="AB537" i="1"/>
  <c r="AM537" i="1" s="1"/>
  <c r="AQ537" i="1" s="1"/>
  <c r="AB538" i="1"/>
  <c r="AM538" i="1" s="1"/>
  <c r="AQ538" i="1" s="1"/>
  <c r="AR538" i="1" s="1"/>
  <c r="AB539" i="1"/>
  <c r="AM539" i="1" s="1"/>
  <c r="AQ539" i="1" s="1"/>
  <c r="AR539" i="1" s="1"/>
  <c r="AB540" i="1"/>
  <c r="AM540" i="1" s="1"/>
  <c r="AQ540" i="1" s="1"/>
  <c r="AB541" i="1"/>
  <c r="AM541" i="1" s="1"/>
  <c r="AQ541" i="1" s="1"/>
  <c r="AB542" i="1"/>
  <c r="AM542" i="1" s="1"/>
  <c r="AQ542" i="1" s="1"/>
  <c r="AR542" i="1" s="1"/>
  <c r="AB543" i="1"/>
  <c r="AM543" i="1" s="1"/>
  <c r="AQ543" i="1" s="1"/>
  <c r="AR543" i="1" s="1"/>
  <c r="AB544" i="1"/>
  <c r="AM544" i="1" s="1"/>
  <c r="AQ544" i="1" s="1"/>
  <c r="AB545" i="1"/>
  <c r="AM545" i="1" s="1"/>
  <c r="AQ545" i="1" s="1"/>
  <c r="AB546" i="1"/>
  <c r="AM546" i="1" s="1"/>
  <c r="AQ546" i="1" s="1"/>
  <c r="AR546" i="1" s="1"/>
  <c r="AB547" i="1"/>
  <c r="AM547" i="1" s="1"/>
  <c r="AQ547" i="1" s="1"/>
  <c r="AR547" i="1" s="1"/>
  <c r="AB548" i="1"/>
  <c r="AM548" i="1" s="1"/>
  <c r="AQ548" i="1" s="1"/>
  <c r="AB549" i="1"/>
  <c r="AM549" i="1" s="1"/>
  <c r="AQ549" i="1" s="1"/>
  <c r="AB550" i="1"/>
  <c r="AM550" i="1" s="1"/>
  <c r="AQ550" i="1" s="1"/>
  <c r="AR550" i="1" s="1"/>
  <c r="AB551" i="1"/>
  <c r="AM551" i="1" s="1"/>
  <c r="AQ551" i="1" s="1"/>
  <c r="AR551" i="1" s="1"/>
  <c r="AB552" i="1"/>
  <c r="AM552" i="1" s="1"/>
  <c r="AQ552" i="1" s="1"/>
  <c r="AB553" i="1"/>
  <c r="AM553" i="1" s="1"/>
  <c r="AQ553" i="1" s="1"/>
  <c r="AB554" i="1"/>
  <c r="AM554" i="1" s="1"/>
  <c r="AQ554" i="1" s="1"/>
  <c r="AR554" i="1" s="1"/>
  <c r="AB555" i="1"/>
  <c r="AM555" i="1" s="1"/>
  <c r="AQ555" i="1" s="1"/>
  <c r="AR555" i="1" s="1"/>
  <c r="AB556" i="1"/>
  <c r="AM556" i="1" s="1"/>
  <c r="AQ556" i="1" s="1"/>
  <c r="AB557" i="1"/>
  <c r="AM557" i="1" s="1"/>
  <c r="AQ557" i="1" s="1"/>
  <c r="AB558" i="1"/>
  <c r="AM558" i="1" s="1"/>
  <c r="AQ558" i="1" s="1"/>
  <c r="AR558" i="1" s="1"/>
  <c r="AB559" i="1"/>
  <c r="AM559" i="1" s="1"/>
  <c r="AQ559" i="1" s="1"/>
  <c r="AR559" i="1" s="1"/>
  <c r="AB560" i="1"/>
  <c r="AM560" i="1" s="1"/>
  <c r="AQ560" i="1" s="1"/>
  <c r="AB561" i="1"/>
  <c r="AM561" i="1" s="1"/>
  <c r="AQ561" i="1" s="1"/>
  <c r="AB562" i="1"/>
  <c r="AM562" i="1" s="1"/>
  <c r="AQ562" i="1" s="1"/>
  <c r="AR562" i="1" s="1"/>
  <c r="AB563" i="1"/>
  <c r="AM563" i="1" s="1"/>
  <c r="AQ563" i="1" s="1"/>
  <c r="AR563" i="1" s="1"/>
  <c r="AB564" i="1"/>
  <c r="AM564" i="1" s="1"/>
  <c r="AQ564" i="1" s="1"/>
  <c r="AB565" i="1"/>
  <c r="AM565" i="1" s="1"/>
  <c r="AQ565" i="1" s="1"/>
  <c r="AB566" i="1"/>
  <c r="AM566" i="1" s="1"/>
  <c r="AQ566" i="1" s="1"/>
  <c r="AR566" i="1" s="1"/>
  <c r="AB567" i="1"/>
  <c r="AM567" i="1" s="1"/>
  <c r="AQ567" i="1" s="1"/>
  <c r="AR567" i="1" s="1"/>
  <c r="AB568" i="1"/>
  <c r="AM568" i="1" s="1"/>
  <c r="AQ568" i="1" s="1"/>
  <c r="AB569" i="1"/>
  <c r="AM569" i="1" s="1"/>
  <c r="AQ569" i="1" s="1"/>
  <c r="AB570" i="1"/>
  <c r="AM570" i="1" s="1"/>
  <c r="AQ570" i="1" s="1"/>
  <c r="AR570" i="1" s="1"/>
  <c r="AB571" i="1"/>
  <c r="AM571" i="1" s="1"/>
  <c r="AQ571" i="1" s="1"/>
  <c r="AR571" i="1" s="1"/>
  <c r="AB572" i="1"/>
  <c r="AM572" i="1" s="1"/>
  <c r="AQ572" i="1" s="1"/>
  <c r="AB573" i="1"/>
  <c r="AM573" i="1" s="1"/>
  <c r="AQ573" i="1" s="1"/>
  <c r="AB574" i="1"/>
  <c r="AM574" i="1" s="1"/>
  <c r="AQ574" i="1" s="1"/>
  <c r="AR574" i="1" s="1"/>
  <c r="AB575" i="1"/>
  <c r="AM575" i="1" s="1"/>
  <c r="AQ575" i="1" s="1"/>
  <c r="AR575" i="1" s="1"/>
  <c r="AB576" i="1"/>
  <c r="AM576" i="1" s="1"/>
  <c r="AQ576" i="1" s="1"/>
  <c r="AB577" i="1"/>
  <c r="AM577" i="1" s="1"/>
  <c r="AQ577" i="1" s="1"/>
  <c r="AB578" i="1"/>
  <c r="AM578" i="1" s="1"/>
  <c r="AQ578" i="1" s="1"/>
  <c r="AR578" i="1" s="1"/>
  <c r="AB579" i="1"/>
  <c r="AM579" i="1" s="1"/>
  <c r="AQ579" i="1" s="1"/>
  <c r="AR579" i="1" s="1"/>
  <c r="AB580" i="1"/>
  <c r="AM580" i="1" s="1"/>
  <c r="AQ580" i="1" s="1"/>
  <c r="AB581" i="1"/>
  <c r="AM581" i="1" s="1"/>
  <c r="AQ581" i="1" s="1"/>
  <c r="AB582" i="1"/>
  <c r="AM582" i="1" s="1"/>
  <c r="AQ582" i="1" s="1"/>
  <c r="AR582" i="1" s="1"/>
  <c r="AB583" i="1"/>
  <c r="AM583" i="1" s="1"/>
  <c r="AQ583" i="1" s="1"/>
  <c r="AR583" i="1" s="1"/>
  <c r="AB584" i="1"/>
  <c r="AM584" i="1" s="1"/>
  <c r="AQ584" i="1" s="1"/>
  <c r="AB585" i="1"/>
  <c r="AM585" i="1" s="1"/>
  <c r="AQ585" i="1" s="1"/>
  <c r="AB586" i="1"/>
  <c r="AM586" i="1" s="1"/>
  <c r="AQ586" i="1" s="1"/>
  <c r="AR586" i="1" s="1"/>
  <c r="AB587" i="1"/>
  <c r="AM587" i="1" s="1"/>
  <c r="AQ587" i="1" s="1"/>
  <c r="AR587" i="1" s="1"/>
  <c r="AB588" i="1"/>
  <c r="AM588" i="1" s="1"/>
  <c r="AQ588" i="1" s="1"/>
  <c r="AB589" i="1"/>
  <c r="AM589" i="1" s="1"/>
  <c r="AQ589" i="1" s="1"/>
  <c r="AB590" i="1"/>
  <c r="AM590" i="1" s="1"/>
  <c r="AQ590" i="1" s="1"/>
  <c r="AR590" i="1" s="1"/>
  <c r="AB591" i="1"/>
  <c r="AM591" i="1" s="1"/>
  <c r="AQ591" i="1" s="1"/>
  <c r="AR591" i="1" s="1"/>
  <c r="AB592" i="1"/>
  <c r="AM592" i="1" s="1"/>
  <c r="AQ592" i="1" s="1"/>
  <c r="AB593" i="1"/>
  <c r="AM593" i="1" s="1"/>
  <c r="AQ593" i="1" s="1"/>
  <c r="AB594" i="1"/>
  <c r="AM594" i="1" s="1"/>
  <c r="AQ594" i="1" s="1"/>
  <c r="AR594" i="1" s="1"/>
  <c r="AB595" i="1"/>
  <c r="AM595" i="1" s="1"/>
  <c r="AQ595" i="1" s="1"/>
  <c r="AR595" i="1" s="1"/>
  <c r="AB596" i="1"/>
  <c r="AM596" i="1" s="1"/>
  <c r="AQ596" i="1" s="1"/>
  <c r="AB597" i="1"/>
  <c r="AM597" i="1" s="1"/>
  <c r="AQ597" i="1" s="1"/>
  <c r="AB598" i="1"/>
  <c r="AM598" i="1" s="1"/>
  <c r="AQ598" i="1" s="1"/>
  <c r="AB599" i="1"/>
  <c r="AM599" i="1" s="1"/>
  <c r="AQ599" i="1" s="1"/>
  <c r="AR599" i="1" s="1"/>
  <c r="AB600" i="1"/>
  <c r="AM600" i="1" s="1"/>
  <c r="AQ600" i="1" s="1"/>
  <c r="AB601" i="1"/>
  <c r="AM601" i="1" s="1"/>
  <c r="AQ601" i="1" s="1"/>
  <c r="AB602" i="1"/>
  <c r="AM602" i="1" s="1"/>
  <c r="AQ602" i="1" s="1"/>
  <c r="AR602" i="1" s="1"/>
  <c r="AB603" i="1"/>
  <c r="AM603" i="1" s="1"/>
  <c r="AQ603" i="1" s="1"/>
  <c r="AR603" i="1" s="1"/>
  <c r="AB604" i="1"/>
  <c r="AM604" i="1" s="1"/>
  <c r="AQ604" i="1" s="1"/>
  <c r="AB605" i="1"/>
  <c r="AM605" i="1" s="1"/>
  <c r="AQ605" i="1" s="1"/>
  <c r="AB606" i="1"/>
  <c r="AM606" i="1" s="1"/>
  <c r="AQ606" i="1" s="1"/>
  <c r="AR606" i="1" s="1"/>
  <c r="AB607" i="1"/>
  <c r="AM607" i="1" s="1"/>
  <c r="AQ607" i="1" s="1"/>
  <c r="AR607" i="1" s="1"/>
  <c r="AB608" i="1"/>
  <c r="AM608" i="1" s="1"/>
  <c r="AQ608" i="1" s="1"/>
  <c r="AB609" i="1"/>
  <c r="AM609" i="1" s="1"/>
  <c r="AQ609" i="1" s="1"/>
  <c r="AB610" i="1"/>
  <c r="AM610" i="1" s="1"/>
  <c r="AQ610" i="1" s="1"/>
  <c r="AR610" i="1" s="1"/>
  <c r="AB611" i="1"/>
  <c r="AM611" i="1" s="1"/>
  <c r="AQ611" i="1" s="1"/>
  <c r="AR611" i="1" s="1"/>
  <c r="AB612" i="1"/>
  <c r="AM612" i="1" s="1"/>
  <c r="AQ612" i="1" s="1"/>
  <c r="AB613" i="1"/>
  <c r="AM613" i="1" s="1"/>
  <c r="AQ613" i="1" s="1"/>
  <c r="AB614" i="1"/>
  <c r="AM614" i="1" s="1"/>
  <c r="AQ614" i="1" s="1"/>
  <c r="AR614" i="1" s="1"/>
  <c r="AB615" i="1"/>
  <c r="AM615" i="1" s="1"/>
  <c r="AQ615" i="1" s="1"/>
  <c r="AR615" i="1" s="1"/>
  <c r="AB616" i="1"/>
  <c r="AM616" i="1" s="1"/>
  <c r="AQ616" i="1" s="1"/>
  <c r="AB617" i="1"/>
  <c r="AM617" i="1" s="1"/>
  <c r="AQ617" i="1" s="1"/>
  <c r="AB618" i="1"/>
  <c r="AM618" i="1" s="1"/>
  <c r="AQ618" i="1" s="1"/>
  <c r="AR618" i="1" s="1"/>
  <c r="AB619" i="1"/>
  <c r="AM619" i="1" s="1"/>
  <c r="AQ619" i="1" s="1"/>
  <c r="AR619" i="1" s="1"/>
  <c r="AB620" i="1"/>
  <c r="AM620" i="1" s="1"/>
  <c r="AQ620" i="1" s="1"/>
  <c r="AB621" i="1"/>
  <c r="AM621" i="1" s="1"/>
  <c r="AQ621" i="1" s="1"/>
  <c r="AB622" i="1"/>
  <c r="AM622" i="1" s="1"/>
  <c r="AQ622" i="1" s="1"/>
  <c r="AR622" i="1" s="1"/>
  <c r="AB623" i="1"/>
  <c r="AM623" i="1" s="1"/>
  <c r="AQ623" i="1" s="1"/>
  <c r="AR623" i="1" s="1"/>
  <c r="AB624" i="1"/>
  <c r="AM624" i="1" s="1"/>
  <c r="AQ624" i="1" s="1"/>
  <c r="AB625" i="1"/>
  <c r="AM625" i="1" s="1"/>
  <c r="AQ625" i="1" s="1"/>
  <c r="AB626" i="1"/>
  <c r="AM626" i="1" s="1"/>
  <c r="AQ626" i="1" s="1"/>
  <c r="AR626" i="1" s="1"/>
  <c r="AB627" i="1"/>
  <c r="AM627" i="1" s="1"/>
  <c r="AQ627" i="1" s="1"/>
  <c r="AR627" i="1" s="1"/>
  <c r="AB628" i="1"/>
  <c r="AM628" i="1" s="1"/>
  <c r="AQ628" i="1" s="1"/>
  <c r="AB629" i="1"/>
  <c r="AM629" i="1" s="1"/>
  <c r="AQ629" i="1" s="1"/>
  <c r="AB630" i="1"/>
  <c r="AM630" i="1" s="1"/>
  <c r="AQ630" i="1" s="1"/>
  <c r="AB631" i="1"/>
  <c r="AM631" i="1" s="1"/>
  <c r="AQ631" i="1" s="1"/>
  <c r="AR631" i="1" s="1"/>
  <c r="AB632" i="1"/>
  <c r="AM632" i="1" s="1"/>
  <c r="AQ632" i="1" s="1"/>
  <c r="AB633" i="1"/>
  <c r="AM633" i="1" s="1"/>
  <c r="AQ633" i="1" s="1"/>
  <c r="AB634" i="1"/>
  <c r="AM634" i="1" s="1"/>
  <c r="AQ634" i="1" s="1"/>
  <c r="AB635" i="1"/>
  <c r="AM635" i="1" s="1"/>
  <c r="AQ635" i="1" s="1"/>
  <c r="AR635" i="1" s="1"/>
  <c r="AB636" i="1"/>
  <c r="AM636" i="1" s="1"/>
  <c r="AQ636" i="1" s="1"/>
  <c r="AB637" i="1"/>
  <c r="AM637" i="1" s="1"/>
  <c r="AQ637" i="1" s="1"/>
  <c r="AB638" i="1"/>
  <c r="AM638" i="1" s="1"/>
  <c r="AQ638" i="1" s="1"/>
  <c r="AB639" i="1"/>
  <c r="AM639" i="1" s="1"/>
  <c r="AQ639" i="1" s="1"/>
  <c r="AR639" i="1" s="1"/>
  <c r="AB640" i="1"/>
  <c r="AM640" i="1" s="1"/>
  <c r="AQ640" i="1" s="1"/>
  <c r="AB641" i="1"/>
  <c r="AM641" i="1" s="1"/>
  <c r="AQ641" i="1" s="1"/>
  <c r="AB642" i="1"/>
  <c r="AM642" i="1" s="1"/>
  <c r="AQ642" i="1" s="1"/>
  <c r="AB643" i="1"/>
  <c r="AM643" i="1" s="1"/>
  <c r="AQ643" i="1" s="1"/>
  <c r="AR643" i="1" s="1"/>
  <c r="AB644" i="1"/>
  <c r="AM644" i="1" s="1"/>
  <c r="AQ644" i="1" s="1"/>
  <c r="AB645" i="1"/>
  <c r="AM645" i="1" s="1"/>
  <c r="AQ645" i="1" s="1"/>
  <c r="AB646" i="1"/>
  <c r="AM646" i="1" s="1"/>
  <c r="AQ646" i="1" s="1"/>
  <c r="AB647" i="1"/>
  <c r="AM647" i="1" s="1"/>
  <c r="AQ647" i="1" s="1"/>
  <c r="AR647" i="1" s="1"/>
  <c r="AB648" i="1"/>
  <c r="AM648" i="1" s="1"/>
  <c r="AQ648" i="1" s="1"/>
  <c r="AB649" i="1"/>
  <c r="AM649" i="1" s="1"/>
  <c r="AQ649" i="1" s="1"/>
  <c r="AB650" i="1"/>
  <c r="AM650" i="1" s="1"/>
  <c r="AQ650" i="1" s="1"/>
  <c r="AB651" i="1"/>
  <c r="AM651" i="1" s="1"/>
  <c r="AQ651" i="1" s="1"/>
  <c r="AR651" i="1" s="1"/>
  <c r="AB652" i="1"/>
  <c r="AM652" i="1" s="1"/>
  <c r="AQ652" i="1" s="1"/>
  <c r="AB653" i="1"/>
  <c r="AM653" i="1" s="1"/>
  <c r="AQ653" i="1" s="1"/>
  <c r="AB654" i="1"/>
  <c r="AM654" i="1" s="1"/>
  <c r="AQ654" i="1" s="1"/>
  <c r="AB655" i="1"/>
  <c r="AM655" i="1" s="1"/>
  <c r="AQ655" i="1" s="1"/>
  <c r="AR655" i="1" s="1"/>
  <c r="AB656" i="1"/>
  <c r="AM656" i="1" s="1"/>
  <c r="AQ656" i="1" s="1"/>
  <c r="AB657" i="1"/>
  <c r="AM657" i="1" s="1"/>
  <c r="AQ657" i="1" s="1"/>
  <c r="AB658" i="1"/>
  <c r="AM658" i="1" s="1"/>
  <c r="AQ658" i="1" s="1"/>
  <c r="AR658" i="1" s="1"/>
  <c r="AB659" i="1"/>
  <c r="AM659" i="1" s="1"/>
  <c r="AQ659" i="1" s="1"/>
  <c r="AR659" i="1" s="1"/>
  <c r="AB660" i="1"/>
  <c r="AM660" i="1" s="1"/>
  <c r="AQ660" i="1" s="1"/>
  <c r="AB661" i="1"/>
  <c r="AM661" i="1" s="1"/>
  <c r="AQ661" i="1" s="1"/>
  <c r="AB662" i="1"/>
  <c r="AM662" i="1" s="1"/>
  <c r="AQ662" i="1" s="1"/>
  <c r="AB663" i="1"/>
  <c r="AM663" i="1" s="1"/>
  <c r="AQ663" i="1" s="1"/>
  <c r="AR663" i="1" s="1"/>
  <c r="AB664" i="1"/>
  <c r="AM664" i="1" s="1"/>
  <c r="AQ664" i="1" s="1"/>
  <c r="AB665" i="1"/>
  <c r="AM665" i="1" s="1"/>
  <c r="AQ665" i="1" s="1"/>
  <c r="AB666" i="1"/>
  <c r="AM666" i="1" s="1"/>
  <c r="AQ666" i="1" s="1"/>
  <c r="AR666" i="1" s="1"/>
  <c r="AB667" i="1"/>
  <c r="AM667" i="1" s="1"/>
  <c r="AQ667" i="1" s="1"/>
  <c r="AR667" i="1" s="1"/>
  <c r="AB668" i="1"/>
  <c r="AM668" i="1" s="1"/>
  <c r="AQ668" i="1" s="1"/>
  <c r="AB669" i="1"/>
  <c r="AM669" i="1" s="1"/>
  <c r="AQ669" i="1" s="1"/>
  <c r="AB670" i="1"/>
  <c r="AM670" i="1" s="1"/>
  <c r="AQ670" i="1" s="1"/>
  <c r="AB671" i="1"/>
  <c r="AM671" i="1" s="1"/>
  <c r="AQ671" i="1" s="1"/>
  <c r="AR671" i="1" s="1"/>
  <c r="AB672" i="1"/>
  <c r="AM672" i="1" s="1"/>
  <c r="AQ672" i="1" s="1"/>
  <c r="AB673" i="1"/>
  <c r="AM673" i="1" s="1"/>
  <c r="AQ673" i="1" s="1"/>
  <c r="AB674" i="1"/>
  <c r="AM674" i="1" s="1"/>
  <c r="AQ674" i="1" s="1"/>
  <c r="AB675" i="1"/>
  <c r="AM675" i="1" s="1"/>
  <c r="AQ675" i="1" s="1"/>
  <c r="AR675" i="1" s="1"/>
  <c r="AB676" i="1"/>
  <c r="AM676" i="1" s="1"/>
  <c r="AQ676" i="1" s="1"/>
  <c r="AB677" i="1"/>
  <c r="AM677" i="1" s="1"/>
  <c r="AQ677" i="1" s="1"/>
  <c r="AB678" i="1"/>
  <c r="AM678" i="1" s="1"/>
  <c r="AQ678" i="1" s="1"/>
  <c r="AR678" i="1" s="1"/>
  <c r="AB679" i="1"/>
  <c r="AM679" i="1" s="1"/>
  <c r="AQ679" i="1" s="1"/>
  <c r="AR679" i="1" s="1"/>
  <c r="AB680" i="1"/>
  <c r="AM680" i="1" s="1"/>
  <c r="AQ680" i="1" s="1"/>
  <c r="AB681" i="1"/>
  <c r="AM681" i="1" s="1"/>
  <c r="AQ681" i="1" s="1"/>
  <c r="AB682" i="1"/>
  <c r="AM682" i="1" s="1"/>
  <c r="AQ682" i="1" s="1"/>
  <c r="AR682" i="1" s="1"/>
  <c r="AB683" i="1"/>
  <c r="AM683" i="1" s="1"/>
  <c r="AQ683" i="1" s="1"/>
  <c r="AR683" i="1" s="1"/>
  <c r="AB684" i="1"/>
  <c r="AM684" i="1" s="1"/>
  <c r="AQ684" i="1" s="1"/>
  <c r="AB685" i="1"/>
  <c r="AM685" i="1" s="1"/>
  <c r="AQ685" i="1" s="1"/>
  <c r="AB686" i="1"/>
  <c r="AM686" i="1" s="1"/>
  <c r="AQ686" i="1" s="1"/>
  <c r="AR686" i="1" s="1"/>
  <c r="AB687" i="1"/>
  <c r="AM687" i="1" s="1"/>
  <c r="AQ687" i="1" s="1"/>
  <c r="AR687" i="1" s="1"/>
  <c r="AB688" i="1"/>
  <c r="AM688" i="1" s="1"/>
  <c r="AQ688" i="1" s="1"/>
  <c r="AB689" i="1"/>
  <c r="AM689" i="1" s="1"/>
  <c r="AQ689" i="1" s="1"/>
  <c r="AB690" i="1"/>
  <c r="AM690" i="1" s="1"/>
  <c r="AQ690" i="1" s="1"/>
  <c r="AR690" i="1" s="1"/>
  <c r="AB691" i="1"/>
  <c r="AM691" i="1" s="1"/>
  <c r="AQ691" i="1" s="1"/>
  <c r="AR691" i="1" s="1"/>
  <c r="AB692" i="1"/>
  <c r="AM692" i="1" s="1"/>
  <c r="AQ692" i="1" s="1"/>
  <c r="AB693" i="1"/>
  <c r="AM693" i="1" s="1"/>
  <c r="AQ693" i="1" s="1"/>
  <c r="AB694" i="1"/>
  <c r="AM694" i="1" s="1"/>
  <c r="AQ694" i="1" s="1"/>
  <c r="AR694" i="1" s="1"/>
  <c r="AB695" i="1"/>
  <c r="AM695" i="1" s="1"/>
  <c r="AQ695" i="1" s="1"/>
  <c r="AR695" i="1" s="1"/>
  <c r="AB696" i="1"/>
  <c r="AM696" i="1" s="1"/>
  <c r="AQ696" i="1" s="1"/>
  <c r="AB697" i="1"/>
  <c r="AM697" i="1" s="1"/>
  <c r="AQ697" i="1" s="1"/>
  <c r="AB698" i="1"/>
  <c r="AM698" i="1" s="1"/>
  <c r="AQ698" i="1" s="1"/>
  <c r="AR698" i="1" s="1"/>
  <c r="AB699" i="1"/>
  <c r="AM699" i="1" s="1"/>
  <c r="AQ699" i="1" s="1"/>
  <c r="AR699" i="1" s="1"/>
  <c r="AB700" i="1"/>
  <c r="AM700" i="1" s="1"/>
  <c r="AQ700" i="1" s="1"/>
  <c r="AB701" i="1"/>
  <c r="AM701" i="1" s="1"/>
  <c r="AQ701" i="1" s="1"/>
  <c r="AB702" i="1"/>
  <c r="AM702" i="1" s="1"/>
  <c r="AQ702" i="1" s="1"/>
  <c r="AR702" i="1" s="1"/>
  <c r="AB703" i="1"/>
  <c r="AM703" i="1" s="1"/>
  <c r="AQ703" i="1" s="1"/>
  <c r="AR703" i="1" s="1"/>
  <c r="AB704" i="1"/>
  <c r="AM704" i="1" s="1"/>
  <c r="AQ704" i="1" s="1"/>
  <c r="AB705" i="1"/>
  <c r="AM705" i="1" s="1"/>
  <c r="AQ705" i="1" s="1"/>
  <c r="AB706" i="1"/>
  <c r="AM706" i="1" s="1"/>
  <c r="AQ706" i="1" s="1"/>
  <c r="AR706" i="1" s="1"/>
  <c r="AB707" i="1"/>
  <c r="AM707" i="1" s="1"/>
  <c r="AQ707" i="1" s="1"/>
  <c r="AR707" i="1" s="1"/>
  <c r="AB708" i="1"/>
  <c r="AM708" i="1" s="1"/>
  <c r="AQ708" i="1" s="1"/>
  <c r="AB709" i="1"/>
  <c r="AM709" i="1" s="1"/>
  <c r="AQ709" i="1" s="1"/>
  <c r="AB710" i="1"/>
  <c r="AM710" i="1" s="1"/>
  <c r="AQ710" i="1" s="1"/>
  <c r="AR710" i="1" s="1"/>
  <c r="AB711" i="1"/>
  <c r="AM711" i="1" s="1"/>
  <c r="AQ711" i="1" s="1"/>
  <c r="AR711" i="1" s="1"/>
  <c r="AB712" i="1"/>
  <c r="AM712" i="1" s="1"/>
  <c r="AQ712" i="1" s="1"/>
  <c r="AB713" i="1"/>
  <c r="AM713" i="1" s="1"/>
  <c r="AQ713" i="1" s="1"/>
  <c r="AB714" i="1"/>
  <c r="AM714" i="1" s="1"/>
  <c r="AQ714" i="1" s="1"/>
  <c r="AB715" i="1"/>
  <c r="AM715" i="1" s="1"/>
  <c r="AQ715" i="1" s="1"/>
  <c r="AR715" i="1" s="1"/>
  <c r="AB716" i="1"/>
  <c r="AM716" i="1" s="1"/>
  <c r="AQ716" i="1" s="1"/>
  <c r="AB717" i="1"/>
  <c r="AM717" i="1" s="1"/>
  <c r="AQ717" i="1" s="1"/>
  <c r="AB718" i="1"/>
  <c r="AM718" i="1" s="1"/>
  <c r="AQ718" i="1" s="1"/>
  <c r="AB719" i="1"/>
  <c r="AM719" i="1" s="1"/>
  <c r="AQ719" i="1" s="1"/>
  <c r="AR719" i="1" s="1"/>
  <c r="AB720" i="1"/>
  <c r="AM720" i="1" s="1"/>
  <c r="AQ720" i="1" s="1"/>
  <c r="AB721" i="1"/>
  <c r="AM721" i="1" s="1"/>
  <c r="AQ721" i="1" s="1"/>
  <c r="AB722" i="1"/>
  <c r="AM722" i="1" s="1"/>
  <c r="AQ722" i="1" s="1"/>
  <c r="AB723" i="1"/>
  <c r="AM723" i="1" s="1"/>
  <c r="AQ723" i="1" s="1"/>
  <c r="AR723" i="1" s="1"/>
  <c r="AB724" i="1"/>
  <c r="AM724" i="1" s="1"/>
  <c r="AQ724" i="1" s="1"/>
  <c r="AB725" i="1"/>
  <c r="AM725" i="1" s="1"/>
  <c r="AQ725" i="1" s="1"/>
  <c r="AB726" i="1"/>
  <c r="AM726" i="1" s="1"/>
  <c r="AQ726" i="1" s="1"/>
  <c r="AB727" i="1"/>
  <c r="AM727" i="1" s="1"/>
  <c r="AQ727" i="1" s="1"/>
  <c r="AR727" i="1" s="1"/>
  <c r="AB728" i="1"/>
  <c r="AM728" i="1" s="1"/>
  <c r="AQ728" i="1" s="1"/>
  <c r="AB729" i="1"/>
  <c r="AM729" i="1" s="1"/>
  <c r="AQ729" i="1" s="1"/>
  <c r="AB730" i="1"/>
  <c r="AM730" i="1" s="1"/>
  <c r="AQ730" i="1" s="1"/>
  <c r="AB731" i="1"/>
  <c r="AM731" i="1" s="1"/>
  <c r="AQ731" i="1" s="1"/>
  <c r="AR731" i="1" s="1"/>
  <c r="AB732" i="1"/>
  <c r="AM732" i="1" s="1"/>
  <c r="AQ732" i="1" s="1"/>
  <c r="AB733" i="1"/>
  <c r="AM733" i="1" s="1"/>
  <c r="AQ733" i="1" s="1"/>
  <c r="AB734" i="1"/>
  <c r="AM734" i="1" s="1"/>
  <c r="AQ734" i="1" s="1"/>
  <c r="AB735" i="1"/>
  <c r="AM735" i="1" s="1"/>
  <c r="AQ735" i="1" s="1"/>
  <c r="AR735" i="1" s="1"/>
  <c r="AB736" i="1"/>
  <c r="AM736" i="1" s="1"/>
  <c r="AQ736" i="1" s="1"/>
  <c r="AB737" i="1"/>
  <c r="AM737" i="1" s="1"/>
  <c r="AQ737" i="1" s="1"/>
  <c r="AS737" i="1" s="1"/>
  <c r="AB738" i="1"/>
  <c r="AM738" i="1" s="1"/>
  <c r="AQ738" i="1" s="1"/>
  <c r="AB739" i="1"/>
  <c r="AM739" i="1" s="1"/>
  <c r="AQ739" i="1" s="1"/>
  <c r="AB740" i="1"/>
  <c r="AM740" i="1" s="1"/>
  <c r="AQ740" i="1" s="1"/>
  <c r="AB741" i="1"/>
  <c r="AM741" i="1" s="1"/>
  <c r="AQ741" i="1" s="1"/>
  <c r="AB742" i="1"/>
  <c r="AM742" i="1" s="1"/>
  <c r="AQ742" i="1" s="1"/>
  <c r="AB743" i="1"/>
  <c r="AM743" i="1" s="1"/>
  <c r="AQ743" i="1" s="1"/>
  <c r="AB744" i="1"/>
  <c r="AM744" i="1" s="1"/>
  <c r="AQ744" i="1" s="1"/>
  <c r="AB745" i="1"/>
  <c r="AM745" i="1" s="1"/>
  <c r="AQ745" i="1" s="1"/>
  <c r="AB746" i="1"/>
  <c r="AM746" i="1" s="1"/>
  <c r="AQ746" i="1" s="1"/>
  <c r="AB747" i="1"/>
  <c r="AM747" i="1" s="1"/>
  <c r="AQ747" i="1" s="1"/>
  <c r="AB748" i="1"/>
  <c r="AM748" i="1" s="1"/>
  <c r="AQ748" i="1" s="1"/>
  <c r="AB749" i="1"/>
  <c r="AM749" i="1" s="1"/>
  <c r="AQ749" i="1" s="1"/>
  <c r="AB750" i="1"/>
  <c r="AM750" i="1" s="1"/>
  <c r="AQ750" i="1" s="1"/>
  <c r="AB751" i="1"/>
  <c r="AM751" i="1" s="1"/>
  <c r="AQ751" i="1" s="1"/>
  <c r="AB752" i="1"/>
  <c r="AM752" i="1" s="1"/>
  <c r="AQ752" i="1" s="1"/>
  <c r="AB753" i="1"/>
  <c r="AM753" i="1" s="1"/>
  <c r="AQ753" i="1" s="1"/>
  <c r="AB754" i="1"/>
  <c r="AM754" i="1" s="1"/>
  <c r="AQ754" i="1" s="1"/>
  <c r="AB755" i="1"/>
  <c r="AM755" i="1" s="1"/>
  <c r="AQ755" i="1" s="1"/>
  <c r="AB756" i="1"/>
  <c r="AM756" i="1" s="1"/>
  <c r="AQ756" i="1" s="1"/>
  <c r="AB757" i="1"/>
  <c r="AM757" i="1" s="1"/>
  <c r="AQ757" i="1" s="1"/>
  <c r="AB758" i="1"/>
  <c r="AM758" i="1" s="1"/>
  <c r="AQ758" i="1" s="1"/>
  <c r="AB759" i="1"/>
  <c r="AM759" i="1" s="1"/>
  <c r="AQ759" i="1" s="1"/>
  <c r="AB760" i="1"/>
  <c r="AM760" i="1" s="1"/>
  <c r="AQ760" i="1" s="1"/>
  <c r="AB761" i="1"/>
  <c r="AM761" i="1" s="1"/>
  <c r="AQ761" i="1" s="1"/>
  <c r="AB762" i="1"/>
  <c r="AM762" i="1" s="1"/>
  <c r="AQ762" i="1" s="1"/>
  <c r="AB763" i="1"/>
  <c r="AM763" i="1" s="1"/>
  <c r="AQ763" i="1" s="1"/>
  <c r="AB764" i="1"/>
  <c r="AM764" i="1" s="1"/>
  <c r="AQ764" i="1" s="1"/>
  <c r="AB765" i="1"/>
  <c r="AM765" i="1" s="1"/>
  <c r="AQ765" i="1" s="1"/>
  <c r="AB766" i="1"/>
  <c r="AM766" i="1" s="1"/>
  <c r="AQ766" i="1" s="1"/>
  <c r="AB767" i="1"/>
  <c r="AM767" i="1" s="1"/>
  <c r="AQ767" i="1" s="1"/>
  <c r="AB768" i="1"/>
  <c r="AM768" i="1" s="1"/>
  <c r="AQ768" i="1" s="1"/>
  <c r="AB769" i="1"/>
  <c r="AM769" i="1" s="1"/>
  <c r="AQ769" i="1" s="1"/>
  <c r="AB770" i="1"/>
  <c r="AM770" i="1" s="1"/>
  <c r="AQ770" i="1" s="1"/>
  <c r="AB771" i="1"/>
  <c r="AM771" i="1" s="1"/>
  <c r="AQ771" i="1" s="1"/>
  <c r="AB772" i="1"/>
  <c r="AM772" i="1" s="1"/>
  <c r="AQ772" i="1" s="1"/>
  <c r="AB773" i="1"/>
  <c r="AM773" i="1" s="1"/>
  <c r="AQ773" i="1" s="1"/>
  <c r="AB774" i="1"/>
  <c r="AM774" i="1" s="1"/>
  <c r="AQ774" i="1" s="1"/>
  <c r="AB775" i="1"/>
  <c r="AM775" i="1" s="1"/>
  <c r="AQ775" i="1" s="1"/>
  <c r="AB776" i="1"/>
  <c r="AM776" i="1" s="1"/>
  <c r="AQ776" i="1" s="1"/>
  <c r="AB777" i="1"/>
  <c r="AM777" i="1" s="1"/>
  <c r="AQ777" i="1" s="1"/>
  <c r="AB778" i="1"/>
  <c r="AM778" i="1" s="1"/>
  <c r="AQ778" i="1" s="1"/>
  <c r="AB779" i="1"/>
  <c r="AM779" i="1" s="1"/>
  <c r="AQ779" i="1" s="1"/>
  <c r="AB780" i="1"/>
  <c r="AM780" i="1" s="1"/>
  <c r="AQ780" i="1" s="1"/>
  <c r="AB781" i="1"/>
  <c r="AM781" i="1" s="1"/>
  <c r="AQ781" i="1" s="1"/>
  <c r="AB782" i="1"/>
  <c r="AM782" i="1" s="1"/>
  <c r="AQ782" i="1" s="1"/>
  <c r="AB783" i="1"/>
  <c r="AM783" i="1" s="1"/>
  <c r="AQ783" i="1" s="1"/>
  <c r="AB784" i="1"/>
  <c r="AM784" i="1" s="1"/>
  <c r="AQ784" i="1" s="1"/>
  <c r="AB785" i="1"/>
  <c r="AM785" i="1" s="1"/>
  <c r="AQ785" i="1" s="1"/>
  <c r="AB786" i="1"/>
  <c r="AM786" i="1" s="1"/>
  <c r="AQ786" i="1" s="1"/>
  <c r="AB787" i="1"/>
  <c r="AM787" i="1" s="1"/>
  <c r="AQ787" i="1" s="1"/>
  <c r="AB788" i="1"/>
  <c r="AM788" i="1" s="1"/>
  <c r="AQ788" i="1" s="1"/>
  <c r="AB789" i="1"/>
  <c r="AM789" i="1" s="1"/>
  <c r="AQ789" i="1" s="1"/>
  <c r="AB790" i="1"/>
  <c r="AM790" i="1" s="1"/>
  <c r="AQ790" i="1" s="1"/>
  <c r="AB791" i="1"/>
  <c r="AM791" i="1" s="1"/>
  <c r="AQ791" i="1" s="1"/>
  <c r="AB792" i="1"/>
  <c r="AM792" i="1" s="1"/>
  <c r="AQ792" i="1" s="1"/>
  <c r="AB793" i="1"/>
  <c r="AM793" i="1" s="1"/>
  <c r="AQ793" i="1" s="1"/>
  <c r="AB794" i="1"/>
  <c r="AM794" i="1" s="1"/>
  <c r="AQ794" i="1" s="1"/>
  <c r="AB795" i="1"/>
  <c r="AM795" i="1" s="1"/>
  <c r="AQ795" i="1" s="1"/>
  <c r="AB796" i="1"/>
  <c r="AM796" i="1" s="1"/>
  <c r="AQ796" i="1" s="1"/>
  <c r="AB797" i="1"/>
  <c r="AM797" i="1" s="1"/>
  <c r="AQ797" i="1" s="1"/>
  <c r="AB798" i="1"/>
  <c r="AM798" i="1" s="1"/>
  <c r="AQ798" i="1" s="1"/>
  <c r="AB799" i="1"/>
  <c r="AM799" i="1" s="1"/>
  <c r="AQ799" i="1" s="1"/>
  <c r="AB800" i="1"/>
  <c r="AM800" i="1" s="1"/>
  <c r="AQ800" i="1" s="1"/>
  <c r="AB801" i="1"/>
  <c r="AM801" i="1" s="1"/>
  <c r="AQ801" i="1" s="1"/>
  <c r="AB802" i="1"/>
  <c r="AM802" i="1" s="1"/>
  <c r="AQ802" i="1" s="1"/>
  <c r="AB803" i="1"/>
  <c r="AM803" i="1" s="1"/>
  <c r="AQ803" i="1" s="1"/>
  <c r="AB804" i="1"/>
  <c r="AM804" i="1" s="1"/>
  <c r="AQ804" i="1" s="1"/>
  <c r="AB805" i="1"/>
  <c r="AM805" i="1" s="1"/>
  <c r="AQ805" i="1" s="1"/>
  <c r="AB806" i="1"/>
  <c r="AM806" i="1" s="1"/>
  <c r="AQ806" i="1" s="1"/>
  <c r="AB807" i="1"/>
  <c r="AM807" i="1" s="1"/>
  <c r="AQ807" i="1" s="1"/>
  <c r="AB808" i="1"/>
  <c r="AM808" i="1" s="1"/>
  <c r="AQ808" i="1" s="1"/>
  <c r="AB809" i="1"/>
  <c r="AM809" i="1" s="1"/>
  <c r="AQ809" i="1" s="1"/>
  <c r="AB810" i="1"/>
  <c r="AM810" i="1" s="1"/>
  <c r="AQ810" i="1" s="1"/>
  <c r="AB811" i="1"/>
  <c r="AM811" i="1" s="1"/>
  <c r="AQ811" i="1" s="1"/>
  <c r="AB812" i="1"/>
  <c r="AM812" i="1" s="1"/>
  <c r="AQ812" i="1" s="1"/>
  <c r="AB813" i="1"/>
  <c r="AM813" i="1" s="1"/>
  <c r="AQ813" i="1" s="1"/>
  <c r="AB814" i="1"/>
  <c r="AM814" i="1" s="1"/>
  <c r="AQ814" i="1" s="1"/>
  <c r="AB815" i="1"/>
  <c r="AM815" i="1" s="1"/>
  <c r="AQ815" i="1" s="1"/>
  <c r="AB816" i="1"/>
  <c r="AM816" i="1" s="1"/>
  <c r="AQ816" i="1" s="1"/>
  <c r="AB817" i="1"/>
  <c r="AM817" i="1" s="1"/>
  <c r="AQ817" i="1" s="1"/>
  <c r="AB818" i="1"/>
  <c r="AM818" i="1" s="1"/>
  <c r="AQ818" i="1" s="1"/>
  <c r="AB819" i="1"/>
  <c r="AM819" i="1" s="1"/>
  <c r="AQ819" i="1" s="1"/>
  <c r="AB820" i="1"/>
  <c r="AM820" i="1" s="1"/>
  <c r="AQ820" i="1" s="1"/>
  <c r="AB821" i="1"/>
  <c r="AM821" i="1" s="1"/>
  <c r="AQ821" i="1" s="1"/>
  <c r="AB822" i="1"/>
  <c r="AM822" i="1" s="1"/>
  <c r="AQ822" i="1" s="1"/>
  <c r="AB823" i="1"/>
  <c r="AM823" i="1" s="1"/>
  <c r="AQ823" i="1" s="1"/>
  <c r="AB824" i="1"/>
  <c r="AM824" i="1" s="1"/>
  <c r="AQ824" i="1" s="1"/>
  <c r="AB825" i="1"/>
  <c r="AM825" i="1" s="1"/>
  <c r="AQ825" i="1" s="1"/>
  <c r="AB826" i="1"/>
  <c r="AM826" i="1" s="1"/>
  <c r="AQ826" i="1" s="1"/>
  <c r="AB827" i="1"/>
  <c r="AM827" i="1" s="1"/>
  <c r="AQ827" i="1" s="1"/>
  <c r="AB828" i="1"/>
  <c r="AM828" i="1" s="1"/>
  <c r="AQ828" i="1" s="1"/>
  <c r="AB829" i="1"/>
  <c r="AM829" i="1" s="1"/>
  <c r="AQ829" i="1" s="1"/>
  <c r="AB830" i="1"/>
  <c r="AM830" i="1" s="1"/>
  <c r="AQ830" i="1" s="1"/>
  <c r="AB831" i="1"/>
  <c r="AM831" i="1" s="1"/>
  <c r="AQ831" i="1" s="1"/>
  <c r="AB832" i="1"/>
  <c r="AM832" i="1" s="1"/>
  <c r="AQ832" i="1" s="1"/>
  <c r="AB833" i="1"/>
  <c r="AM833" i="1" s="1"/>
  <c r="AQ833" i="1" s="1"/>
  <c r="AB834" i="1"/>
  <c r="AM834" i="1" s="1"/>
  <c r="AQ834" i="1" s="1"/>
  <c r="AB835" i="1"/>
  <c r="AM835" i="1" s="1"/>
  <c r="AQ835" i="1" s="1"/>
  <c r="AB836" i="1"/>
  <c r="AM836" i="1" s="1"/>
  <c r="AQ836" i="1" s="1"/>
  <c r="AB837" i="1"/>
  <c r="AM837" i="1" s="1"/>
  <c r="AQ837" i="1" s="1"/>
  <c r="AB838" i="1"/>
  <c r="AM838" i="1" s="1"/>
  <c r="AQ838" i="1" s="1"/>
  <c r="AB839" i="1"/>
  <c r="AM839" i="1" s="1"/>
  <c r="AQ839" i="1" s="1"/>
  <c r="AB840" i="1"/>
  <c r="AM840" i="1" s="1"/>
  <c r="AQ840" i="1" s="1"/>
  <c r="AB841" i="1"/>
  <c r="AM841" i="1" s="1"/>
  <c r="AQ841" i="1" s="1"/>
  <c r="AB842" i="1"/>
  <c r="AM842" i="1" s="1"/>
  <c r="AQ842" i="1" s="1"/>
  <c r="AB843" i="1"/>
  <c r="AM843" i="1" s="1"/>
  <c r="AQ843" i="1" s="1"/>
  <c r="AB844" i="1"/>
  <c r="AM844" i="1" s="1"/>
  <c r="AQ844" i="1" s="1"/>
  <c r="AB845" i="1"/>
  <c r="AM845" i="1" s="1"/>
  <c r="AQ845" i="1" s="1"/>
  <c r="AB846" i="1"/>
  <c r="AM846" i="1" s="1"/>
  <c r="AQ846" i="1" s="1"/>
  <c r="AB847" i="1"/>
  <c r="AM847" i="1" s="1"/>
  <c r="AQ847" i="1" s="1"/>
  <c r="AB848" i="1"/>
  <c r="AM848" i="1" s="1"/>
  <c r="AQ848" i="1" s="1"/>
  <c r="AB849" i="1"/>
  <c r="AM849" i="1" s="1"/>
  <c r="AQ849" i="1" s="1"/>
  <c r="AB850" i="1"/>
  <c r="AM850" i="1" s="1"/>
  <c r="AQ850" i="1" s="1"/>
  <c r="AB851" i="1"/>
  <c r="AM851" i="1" s="1"/>
  <c r="AQ851" i="1" s="1"/>
  <c r="AB852" i="1"/>
  <c r="AM852" i="1" s="1"/>
  <c r="AQ852" i="1" s="1"/>
  <c r="AB853" i="1"/>
  <c r="AM853" i="1" s="1"/>
  <c r="AQ853" i="1" s="1"/>
  <c r="AB854" i="1"/>
  <c r="AM854" i="1" s="1"/>
  <c r="AQ854" i="1" s="1"/>
  <c r="AB855" i="1"/>
  <c r="AM855" i="1" s="1"/>
  <c r="AQ855" i="1" s="1"/>
  <c r="AB856" i="1"/>
  <c r="AM856" i="1" s="1"/>
  <c r="AQ856" i="1" s="1"/>
  <c r="AB857" i="1"/>
  <c r="AM857" i="1" s="1"/>
  <c r="AQ857" i="1" s="1"/>
  <c r="AB858" i="1"/>
  <c r="AM858" i="1" s="1"/>
  <c r="AQ858" i="1" s="1"/>
  <c r="AB859" i="1"/>
  <c r="AM859" i="1" s="1"/>
  <c r="AQ859" i="1" s="1"/>
  <c r="AB860" i="1"/>
  <c r="AM860" i="1" s="1"/>
  <c r="AQ860" i="1" s="1"/>
  <c r="AB861" i="1"/>
  <c r="AM861" i="1" s="1"/>
  <c r="AQ861" i="1" s="1"/>
  <c r="AB862" i="1"/>
  <c r="AM862" i="1" s="1"/>
  <c r="AQ862" i="1" s="1"/>
  <c r="AB863" i="1"/>
  <c r="AM863" i="1" s="1"/>
  <c r="AQ863" i="1" s="1"/>
  <c r="AB864" i="1"/>
  <c r="AM864" i="1" s="1"/>
  <c r="AQ864" i="1" s="1"/>
  <c r="AB865" i="1"/>
  <c r="AM865" i="1" s="1"/>
  <c r="AQ865" i="1" s="1"/>
  <c r="AB866" i="1"/>
  <c r="AM866" i="1" s="1"/>
  <c r="AQ866" i="1" s="1"/>
  <c r="AR866" i="1" s="1"/>
  <c r="AB867" i="1"/>
  <c r="AM867" i="1" s="1"/>
  <c r="AQ867" i="1" s="1"/>
  <c r="AB868" i="1"/>
  <c r="AM868" i="1" s="1"/>
  <c r="AQ868" i="1" s="1"/>
  <c r="AB869" i="1"/>
  <c r="AM869" i="1" s="1"/>
  <c r="AQ869" i="1" s="1"/>
  <c r="AB870" i="1"/>
  <c r="AM870" i="1" s="1"/>
  <c r="AQ870" i="1" s="1"/>
  <c r="AB871" i="1"/>
  <c r="AM871" i="1" s="1"/>
  <c r="AQ871" i="1" s="1"/>
  <c r="AB872" i="1"/>
  <c r="AM872" i="1" s="1"/>
  <c r="AQ872" i="1" s="1"/>
  <c r="AB873" i="1"/>
  <c r="AM873" i="1" s="1"/>
  <c r="AQ873" i="1" s="1"/>
  <c r="AB874" i="1"/>
  <c r="AM874" i="1" s="1"/>
  <c r="AQ874" i="1" s="1"/>
  <c r="AB875" i="1"/>
  <c r="AM875" i="1" s="1"/>
  <c r="AQ875" i="1" s="1"/>
  <c r="AB876" i="1"/>
  <c r="AM876" i="1" s="1"/>
  <c r="AQ876" i="1" s="1"/>
  <c r="AB877" i="1"/>
  <c r="AM877" i="1" s="1"/>
  <c r="AQ877" i="1" s="1"/>
  <c r="AB878" i="1"/>
  <c r="AM878" i="1" s="1"/>
  <c r="AQ878" i="1" s="1"/>
  <c r="AR878" i="1" s="1"/>
  <c r="AB879" i="1"/>
  <c r="AM879" i="1" s="1"/>
  <c r="AQ879" i="1" s="1"/>
  <c r="AB880" i="1"/>
  <c r="AM880" i="1" s="1"/>
  <c r="AQ880" i="1" s="1"/>
  <c r="AB881" i="1"/>
  <c r="AM881" i="1" s="1"/>
  <c r="AQ881" i="1" s="1"/>
  <c r="AB882" i="1"/>
  <c r="AM882" i="1" s="1"/>
  <c r="AQ882" i="1" s="1"/>
  <c r="AR882" i="1" s="1"/>
  <c r="AB883" i="1"/>
  <c r="AM883" i="1" s="1"/>
  <c r="AQ883" i="1" s="1"/>
  <c r="AB884" i="1"/>
  <c r="AM884" i="1" s="1"/>
  <c r="AQ884" i="1" s="1"/>
  <c r="AB885" i="1"/>
  <c r="AM885" i="1" s="1"/>
  <c r="AQ885" i="1" s="1"/>
  <c r="AB886" i="1"/>
  <c r="AM886" i="1" s="1"/>
  <c r="AQ886" i="1" s="1"/>
  <c r="AB887" i="1"/>
  <c r="AM887" i="1" s="1"/>
  <c r="AQ887" i="1" s="1"/>
  <c r="AB888" i="1"/>
  <c r="AM888" i="1" s="1"/>
  <c r="AQ888" i="1" s="1"/>
  <c r="AB889" i="1"/>
  <c r="AM889" i="1" s="1"/>
  <c r="AQ889" i="1" s="1"/>
  <c r="AB890" i="1"/>
  <c r="AM890" i="1" s="1"/>
  <c r="AQ890" i="1" s="1"/>
  <c r="AB891" i="1"/>
  <c r="AM891" i="1" s="1"/>
  <c r="AQ891" i="1" s="1"/>
  <c r="AB892" i="1"/>
  <c r="AM892" i="1" s="1"/>
  <c r="AQ892" i="1" s="1"/>
  <c r="AB893" i="1"/>
  <c r="AM893" i="1" s="1"/>
  <c r="AQ893" i="1" s="1"/>
  <c r="AB894" i="1"/>
  <c r="AM894" i="1" s="1"/>
  <c r="AQ894" i="1" s="1"/>
  <c r="AB895" i="1"/>
  <c r="AM895" i="1" s="1"/>
  <c r="AQ895" i="1" s="1"/>
  <c r="AB896" i="1"/>
  <c r="AM896" i="1" s="1"/>
  <c r="AQ896" i="1" s="1"/>
  <c r="AB897" i="1"/>
  <c r="AM897" i="1" s="1"/>
  <c r="AQ897" i="1" s="1"/>
  <c r="AB898" i="1"/>
  <c r="AM898" i="1" s="1"/>
  <c r="AQ898" i="1" s="1"/>
  <c r="AB899" i="1"/>
  <c r="AM899" i="1" s="1"/>
  <c r="AQ899" i="1" s="1"/>
  <c r="AB900" i="1"/>
  <c r="AM900" i="1" s="1"/>
  <c r="AQ900" i="1" s="1"/>
  <c r="AB901" i="1"/>
  <c r="AM901" i="1" s="1"/>
  <c r="AQ901" i="1" s="1"/>
  <c r="AB902" i="1"/>
  <c r="AM902" i="1" s="1"/>
  <c r="AQ902" i="1" s="1"/>
  <c r="AB903" i="1"/>
  <c r="AM903" i="1" s="1"/>
  <c r="AQ903" i="1" s="1"/>
  <c r="AB904" i="1"/>
  <c r="AM904" i="1" s="1"/>
  <c r="AQ904" i="1" s="1"/>
  <c r="AB905" i="1"/>
  <c r="AM905" i="1" s="1"/>
  <c r="AQ905" i="1" s="1"/>
  <c r="AB906" i="1"/>
  <c r="AM906" i="1" s="1"/>
  <c r="AQ906" i="1" s="1"/>
  <c r="AR906" i="1" s="1"/>
  <c r="AB907" i="1"/>
  <c r="AM907" i="1" s="1"/>
  <c r="AQ907" i="1" s="1"/>
  <c r="AB908" i="1"/>
  <c r="AM908" i="1" s="1"/>
  <c r="AQ908" i="1" s="1"/>
  <c r="AB909" i="1"/>
  <c r="AM909" i="1" s="1"/>
  <c r="AQ909" i="1" s="1"/>
  <c r="AB910" i="1"/>
  <c r="AM910" i="1" s="1"/>
  <c r="AQ910" i="1" s="1"/>
  <c r="AR910" i="1" s="1"/>
  <c r="AB911" i="1"/>
  <c r="AM911" i="1" s="1"/>
  <c r="AQ911" i="1" s="1"/>
  <c r="AB912" i="1"/>
  <c r="AM912" i="1" s="1"/>
  <c r="AQ912" i="1" s="1"/>
  <c r="AB913" i="1"/>
  <c r="AM913" i="1" s="1"/>
  <c r="AQ913" i="1" s="1"/>
  <c r="AB914" i="1"/>
  <c r="AM914" i="1" s="1"/>
  <c r="AQ914" i="1" s="1"/>
  <c r="AR914" i="1" s="1"/>
  <c r="AB915" i="1"/>
  <c r="AM915" i="1" s="1"/>
  <c r="AQ915" i="1" s="1"/>
  <c r="AB916" i="1"/>
  <c r="AM916" i="1" s="1"/>
  <c r="AQ916" i="1" s="1"/>
  <c r="AB917" i="1"/>
  <c r="AM917" i="1" s="1"/>
  <c r="AQ917" i="1" s="1"/>
  <c r="AB918" i="1"/>
  <c r="AM918" i="1" s="1"/>
  <c r="AQ918" i="1" s="1"/>
  <c r="AB919" i="1"/>
  <c r="AM919" i="1" s="1"/>
  <c r="AQ919" i="1" s="1"/>
  <c r="AB920" i="1"/>
  <c r="AM920" i="1" s="1"/>
  <c r="AQ920" i="1" s="1"/>
  <c r="AB921" i="1"/>
  <c r="AM921" i="1" s="1"/>
  <c r="AQ921" i="1" s="1"/>
  <c r="AB922" i="1"/>
  <c r="AM922" i="1" s="1"/>
  <c r="AQ922" i="1" s="1"/>
  <c r="AB923" i="1"/>
  <c r="AM923" i="1" s="1"/>
  <c r="AQ923" i="1" s="1"/>
  <c r="AB924" i="1"/>
  <c r="AM924" i="1" s="1"/>
  <c r="AQ924" i="1" s="1"/>
  <c r="AB925" i="1"/>
  <c r="AM925" i="1" s="1"/>
  <c r="AQ925" i="1" s="1"/>
  <c r="AB926" i="1"/>
  <c r="AM926" i="1" s="1"/>
  <c r="AQ926" i="1" s="1"/>
  <c r="AB927" i="1"/>
  <c r="AM927" i="1" s="1"/>
  <c r="AQ927" i="1" s="1"/>
  <c r="AB928" i="1"/>
  <c r="AM928" i="1" s="1"/>
  <c r="AQ928" i="1" s="1"/>
  <c r="AB929" i="1"/>
  <c r="AM929" i="1" s="1"/>
  <c r="AQ929" i="1" s="1"/>
  <c r="AB930" i="1"/>
  <c r="AM930" i="1" s="1"/>
  <c r="AQ930" i="1" s="1"/>
  <c r="AR930" i="1" s="1"/>
  <c r="AB931" i="1"/>
  <c r="AM931" i="1" s="1"/>
  <c r="AQ931" i="1" s="1"/>
  <c r="AB932" i="1"/>
  <c r="AM932" i="1" s="1"/>
  <c r="AQ932" i="1" s="1"/>
  <c r="AB933" i="1"/>
  <c r="AM933" i="1" s="1"/>
  <c r="AQ933" i="1" s="1"/>
  <c r="AB934" i="1"/>
  <c r="AM934" i="1" s="1"/>
  <c r="AQ934" i="1" s="1"/>
  <c r="AR934" i="1" s="1"/>
  <c r="AB935" i="1"/>
  <c r="AM935" i="1" s="1"/>
  <c r="AQ935" i="1" s="1"/>
  <c r="AB936" i="1"/>
  <c r="AM936" i="1" s="1"/>
  <c r="AQ936" i="1" s="1"/>
  <c r="AB937" i="1"/>
  <c r="AM937" i="1" s="1"/>
  <c r="AQ937" i="1" s="1"/>
  <c r="AB938" i="1"/>
  <c r="AM938" i="1" s="1"/>
  <c r="AQ938" i="1" s="1"/>
  <c r="AR938" i="1" s="1"/>
  <c r="AB939" i="1"/>
  <c r="AM939" i="1" s="1"/>
  <c r="AQ939" i="1" s="1"/>
  <c r="AB940" i="1"/>
  <c r="AM940" i="1" s="1"/>
  <c r="AQ940" i="1" s="1"/>
  <c r="AB941" i="1"/>
  <c r="AM941" i="1" s="1"/>
  <c r="AQ941" i="1" s="1"/>
  <c r="AB942" i="1"/>
  <c r="AM942" i="1" s="1"/>
  <c r="AQ942" i="1" s="1"/>
  <c r="AR942" i="1" s="1"/>
  <c r="AB943" i="1"/>
  <c r="AM943" i="1" s="1"/>
  <c r="AQ943" i="1" s="1"/>
  <c r="AB944" i="1"/>
  <c r="AM944" i="1" s="1"/>
  <c r="AQ944" i="1" s="1"/>
  <c r="AB945" i="1"/>
  <c r="AM945" i="1" s="1"/>
  <c r="AQ945" i="1" s="1"/>
  <c r="AB946" i="1"/>
  <c r="AM946" i="1" s="1"/>
  <c r="AQ946" i="1" s="1"/>
  <c r="AR946" i="1" s="1"/>
  <c r="AB947" i="1"/>
  <c r="AM947" i="1" s="1"/>
  <c r="AQ947" i="1" s="1"/>
  <c r="AB948" i="1"/>
  <c r="AM948" i="1" s="1"/>
  <c r="AQ948" i="1" s="1"/>
  <c r="AB949" i="1"/>
  <c r="AM949" i="1" s="1"/>
  <c r="AQ949" i="1" s="1"/>
  <c r="AB950" i="1"/>
  <c r="AM950" i="1" s="1"/>
  <c r="AQ950" i="1" s="1"/>
  <c r="AR950" i="1" s="1"/>
  <c r="AB951" i="1"/>
  <c r="AM951" i="1" s="1"/>
  <c r="AQ951" i="1" s="1"/>
  <c r="AB952" i="1"/>
  <c r="AM952" i="1" s="1"/>
  <c r="AQ952" i="1" s="1"/>
  <c r="AB953" i="1"/>
  <c r="AM953" i="1" s="1"/>
  <c r="AQ953" i="1" s="1"/>
  <c r="AB954" i="1"/>
  <c r="AM954" i="1" s="1"/>
  <c r="AQ954" i="1" s="1"/>
  <c r="AR954" i="1" s="1"/>
  <c r="AB955" i="1"/>
  <c r="AM955" i="1" s="1"/>
  <c r="AQ955" i="1" s="1"/>
  <c r="AB956" i="1"/>
  <c r="AM956" i="1" s="1"/>
  <c r="AQ956" i="1" s="1"/>
  <c r="AB957" i="1"/>
  <c r="AM957" i="1" s="1"/>
  <c r="AQ957" i="1" s="1"/>
  <c r="AB958" i="1"/>
  <c r="AM958" i="1" s="1"/>
  <c r="AQ958" i="1" s="1"/>
  <c r="AR958" i="1" s="1"/>
  <c r="AB959" i="1"/>
  <c r="AM959" i="1" s="1"/>
  <c r="AQ959" i="1" s="1"/>
  <c r="AB960" i="1"/>
  <c r="AM960" i="1" s="1"/>
  <c r="AQ960" i="1" s="1"/>
  <c r="AB961" i="1"/>
  <c r="AM961" i="1" s="1"/>
  <c r="AQ961" i="1" s="1"/>
  <c r="AB962" i="1"/>
  <c r="AM962" i="1" s="1"/>
  <c r="AQ962" i="1" s="1"/>
  <c r="AR962" i="1" s="1"/>
  <c r="AB963" i="1"/>
  <c r="AM963" i="1" s="1"/>
  <c r="AQ963" i="1" s="1"/>
  <c r="AB964" i="1"/>
  <c r="AM964" i="1" s="1"/>
  <c r="AQ964" i="1" s="1"/>
  <c r="AB965" i="1"/>
  <c r="AM965" i="1" s="1"/>
  <c r="AQ965" i="1" s="1"/>
  <c r="AB966" i="1"/>
  <c r="AM966" i="1" s="1"/>
  <c r="AQ966" i="1" s="1"/>
  <c r="AB967" i="1"/>
  <c r="AM967" i="1" s="1"/>
  <c r="AQ967" i="1" s="1"/>
  <c r="AB968" i="1"/>
  <c r="AM968" i="1" s="1"/>
  <c r="AQ968" i="1" s="1"/>
  <c r="AB969" i="1"/>
  <c r="AM969" i="1" s="1"/>
  <c r="AQ969" i="1" s="1"/>
  <c r="AB970" i="1"/>
  <c r="AM970" i="1" s="1"/>
  <c r="AQ970" i="1" s="1"/>
  <c r="AB971" i="1"/>
  <c r="AM971" i="1" s="1"/>
  <c r="AQ971" i="1" s="1"/>
  <c r="AB972" i="1"/>
  <c r="AM972" i="1" s="1"/>
  <c r="AQ972" i="1" s="1"/>
  <c r="AB973" i="1"/>
  <c r="AM973" i="1" s="1"/>
  <c r="AQ973" i="1" s="1"/>
  <c r="AB974" i="1"/>
  <c r="AM974" i="1" s="1"/>
  <c r="AQ974" i="1" s="1"/>
  <c r="AB975" i="1"/>
  <c r="AM975" i="1" s="1"/>
  <c r="AQ975" i="1" s="1"/>
  <c r="AB976" i="1"/>
  <c r="AM976" i="1" s="1"/>
  <c r="AQ976" i="1" s="1"/>
  <c r="AB977" i="1"/>
  <c r="AM977" i="1" s="1"/>
  <c r="AQ977" i="1" s="1"/>
  <c r="AB978" i="1"/>
  <c r="AM978" i="1" s="1"/>
  <c r="AQ978" i="1" s="1"/>
  <c r="AB979" i="1"/>
  <c r="AM979" i="1" s="1"/>
  <c r="AQ979" i="1" s="1"/>
  <c r="AB980" i="1"/>
  <c r="AM980" i="1" s="1"/>
  <c r="AQ980" i="1" s="1"/>
  <c r="AB981" i="1"/>
  <c r="AM981" i="1" s="1"/>
  <c r="AQ981" i="1" s="1"/>
  <c r="AB982" i="1"/>
  <c r="AM982" i="1" s="1"/>
  <c r="AQ982" i="1" s="1"/>
  <c r="AB983" i="1"/>
  <c r="AM983" i="1" s="1"/>
  <c r="AQ983" i="1" s="1"/>
  <c r="AB984" i="1"/>
  <c r="AM984" i="1" s="1"/>
  <c r="AQ984" i="1" s="1"/>
  <c r="AB985" i="1"/>
  <c r="AM985" i="1" s="1"/>
  <c r="AQ985" i="1" s="1"/>
  <c r="AB986" i="1"/>
  <c r="AM986" i="1" s="1"/>
  <c r="AQ986" i="1" s="1"/>
  <c r="AB987" i="1"/>
  <c r="AM987" i="1" s="1"/>
  <c r="AQ987" i="1" s="1"/>
  <c r="AB988" i="1"/>
  <c r="AM988" i="1" s="1"/>
  <c r="AQ988" i="1" s="1"/>
  <c r="AB989" i="1"/>
  <c r="AM989" i="1" s="1"/>
  <c r="AQ989" i="1" s="1"/>
  <c r="AB990" i="1"/>
  <c r="AM990" i="1" s="1"/>
  <c r="AQ990" i="1" s="1"/>
  <c r="AB991" i="1"/>
  <c r="AM991" i="1" s="1"/>
  <c r="AQ991" i="1" s="1"/>
  <c r="AB992" i="1"/>
  <c r="AM992" i="1" s="1"/>
  <c r="AQ992" i="1" s="1"/>
  <c r="AB993" i="1"/>
  <c r="AM993" i="1" s="1"/>
  <c r="AQ993" i="1" s="1"/>
  <c r="AB994" i="1"/>
  <c r="AM994" i="1" s="1"/>
  <c r="AQ994" i="1" s="1"/>
  <c r="AB995" i="1"/>
  <c r="AM995" i="1" s="1"/>
  <c r="AQ995" i="1" s="1"/>
  <c r="AB996" i="1"/>
  <c r="AM996" i="1" s="1"/>
  <c r="AQ996" i="1" s="1"/>
  <c r="AB997" i="1"/>
  <c r="AM997" i="1" s="1"/>
  <c r="AQ997" i="1" s="1"/>
  <c r="AB998" i="1"/>
  <c r="AM998" i="1" s="1"/>
  <c r="AQ998" i="1" s="1"/>
  <c r="AB999" i="1"/>
  <c r="AM999" i="1" s="1"/>
  <c r="AQ999" i="1" s="1"/>
  <c r="AB1000" i="1"/>
  <c r="AM1000" i="1" s="1"/>
  <c r="AQ1000" i="1" s="1"/>
  <c r="AB1001" i="1"/>
  <c r="AM1001" i="1" s="1"/>
  <c r="AQ1001" i="1" s="1"/>
  <c r="AB1002" i="1"/>
  <c r="AM1002" i="1" s="1"/>
  <c r="AQ1002" i="1" s="1"/>
  <c r="AB1003" i="1"/>
  <c r="AM1003" i="1" s="1"/>
  <c r="AQ1003" i="1" s="1"/>
  <c r="AB1004" i="1"/>
  <c r="AM1004" i="1" s="1"/>
  <c r="AQ1004" i="1" s="1"/>
  <c r="AB1005" i="1"/>
  <c r="AM1005" i="1" s="1"/>
  <c r="AQ1005" i="1" s="1"/>
  <c r="AB1006" i="1"/>
  <c r="AM1006" i="1" s="1"/>
  <c r="AQ1006" i="1" s="1"/>
  <c r="AB1007" i="1"/>
  <c r="AM1007" i="1" s="1"/>
  <c r="AQ1007" i="1" s="1"/>
  <c r="AB1008" i="1"/>
  <c r="AM1008" i="1" s="1"/>
  <c r="AQ1008" i="1" s="1"/>
  <c r="AB1009" i="1"/>
  <c r="AM1009" i="1" s="1"/>
  <c r="AQ1009" i="1" s="1"/>
  <c r="AB1010" i="1"/>
  <c r="AM1010" i="1" s="1"/>
  <c r="AQ1010" i="1" s="1"/>
  <c r="AB1011" i="1"/>
  <c r="AM1011" i="1" s="1"/>
  <c r="AQ1011" i="1" s="1"/>
  <c r="AB1012" i="1"/>
  <c r="AM1012" i="1" s="1"/>
  <c r="AQ1012" i="1" s="1"/>
  <c r="AB1013" i="1"/>
  <c r="AM1013" i="1" s="1"/>
  <c r="AQ1013" i="1" s="1"/>
  <c r="AB1014" i="1"/>
  <c r="AM1014" i="1" s="1"/>
  <c r="AQ1014" i="1" s="1"/>
  <c r="AB1015" i="1"/>
  <c r="AM1015" i="1" s="1"/>
  <c r="AQ1015" i="1" s="1"/>
  <c r="AB1016" i="1"/>
  <c r="AM1016" i="1" s="1"/>
  <c r="AQ1016" i="1" s="1"/>
  <c r="AB1017" i="1"/>
  <c r="AM1017" i="1" s="1"/>
  <c r="AQ1017" i="1" s="1"/>
  <c r="AB1018" i="1"/>
  <c r="AM1018" i="1" s="1"/>
  <c r="AQ1018" i="1" s="1"/>
  <c r="AB1019" i="1"/>
  <c r="AM1019" i="1" s="1"/>
  <c r="AQ1019" i="1" s="1"/>
  <c r="AB1020" i="1"/>
  <c r="AM1020" i="1" s="1"/>
  <c r="AQ1020" i="1" s="1"/>
  <c r="AB1021" i="1"/>
  <c r="AM1021" i="1" s="1"/>
  <c r="AQ1021" i="1" s="1"/>
  <c r="AB1022" i="1"/>
  <c r="AM1022" i="1" s="1"/>
  <c r="AQ1022" i="1" s="1"/>
  <c r="AB1023" i="1"/>
  <c r="AM1023" i="1" s="1"/>
  <c r="AQ1023" i="1" s="1"/>
  <c r="AB1024" i="1"/>
  <c r="AM1024" i="1" s="1"/>
  <c r="AQ1024" i="1" s="1"/>
  <c r="AB1025" i="1"/>
  <c r="AM1025" i="1" s="1"/>
  <c r="AQ1025" i="1" s="1"/>
  <c r="AB1026" i="1"/>
  <c r="AM1026" i="1" s="1"/>
  <c r="AQ1026" i="1" s="1"/>
  <c r="AB1027" i="1"/>
  <c r="AM1027" i="1" s="1"/>
  <c r="AQ1027" i="1" s="1"/>
  <c r="AB1028" i="1"/>
  <c r="AM1028" i="1" s="1"/>
  <c r="AQ1028" i="1" s="1"/>
  <c r="AB1029" i="1"/>
  <c r="AM1029" i="1" s="1"/>
  <c r="AQ1029" i="1" s="1"/>
  <c r="AB1030" i="1"/>
  <c r="AM1030" i="1" s="1"/>
  <c r="AQ1030" i="1" s="1"/>
  <c r="AB1031" i="1"/>
  <c r="AM1031" i="1" s="1"/>
  <c r="AQ1031" i="1" s="1"/>
  <c r="AB1032" i="1"/>
  <c r="AM1032" i="1" s="1"/>
  <c r="AQ1032" i="1" s="1"/>
  <c r="AB1033" i="1"/>
  <c r="AM1033" i="1" s="1"/>
  <c r="AQ1033" i="1" s="1"/>
  <c r="AB1034" i="1"/>
  <c r="AM1034" i="1" s="1"/>
  <c r="AQ1034" i="1" s="1"/>
  <c r="AB1035" i="1"/>
  <c r="AM1035" i="1" s="1"/>
  <c r="AQ1035" i="1" s="1"/>
  <c r="AB1036" i="1"/>
  <c r="AM1036" i="1" s="1"/>
  <c r="AQ1036" i="1" s="1"/>
  <c r="AB1037" i="1"/>
  <c r="AM1037" i="1" s="1"/>
  <c r="AQ1037" i="1" s="1"/>
  <c r="AB1038" i="1"/>
  <c r="AM1038" i="1" s="1"/>
  <c r="AQ1038" i="1" s="1"/>
  <c r="AB1039" i="1"/>
  <c r="AM1039" i="1" s="1"/>
  <c r="AQ1039" i="1" s="1"/>
  <c r="AB1040" i="1"/>
  <c r="AM1040" i="1" s="1"/>
  <c r="AQ1040" i="1" s="1"/>
  <c r="AB1041" i="1"/>
  <c r="AM1041" i="1" s="1"/>
  <c r="AQ1041" i="1" s="1"/>
  <c r="AB1042" i="1"/>
  <c r="AM1042" i="1" s="1"/>
  <c r="AQ1042" i="1" s="1"/>
  <c r="AB1043" i="1"/>
  <c r="AM1043" i="1" s="1"/>
  <c r="AQ1043" i="1" s="1"/>
  <c r="AB1044" i="1"/>
  <c r="AM1044" i="1" s="1"/>
  <c r="AQ1044" i="1" s="1"/>
  <c r="AB1045" i="1"/>
  <c r="AM1045" i="1" s="1"/>
  <c r="AQ1045" i="1" s="1"/>
  <c r="AB1046" i="1"/>
  <c r="AM1046" i="1" s="1"/>
  <c r="AQ1046" i="1" s="1"/>
  <c r="AB1047" i="1"/>
  <c r="AM1047" i="1" s="1"/>
  <c r="AQ1047" i="1" s="1"/>
  <c r="AB1048" i="1"/>
  <c r="AM1048" i="1" s="1"/>
  <c r="AQ1048" i="1" s="1"/>
  <c r="AB1049" i="1"/>
  <c r="AM1049" i="1" s="1"/>
  <c r="AQ1049" i="1" s="1"/>
  <c r="AB1050" i="1"/>
  <c r="AM1050" i="1" s="1"/>
  <c r="AQ1050" i="1" s="1"/>
  <c r="AB1051" i="1"/>
  <c r="AM1051" i="1" s="1"/>
  <c r="AQ1051" i="1" s="1"/>
  <c r="AB1052" i="1"/>
  <c r="AM1052" i="1" s="1"/>
  <c r="AQ1052" i="1" s="1"/>
  <c r="AB1053" i="1"/>
  <c r="AM1053" i="1" s="1"/>
  <c r="AQ1053" i="1" s="1"/>
  <c r="AB1054" i="1"/>
  <c r="AM1054" i="1" s="1"/>
  <c r="AQ1054" i="1" s="1"/>
  <c r="AB1055" i="1"/>
  <c r="AM1055" i="1" s="1"/>
  <c r="AQ1055" i="1" s="1"/>
  <c r="AB1056" i="1"/>
  <c r="AM1056" i="1" s="1"/>
  <c r="AQ1056" i="1" s="1"/>
  <c r="AB1057" i="1"/>
  <c r="AM1057" i="1" s="1"/>
  <c r="AQ1057" i="1" s="1"/>
  <c r="AB1058" i="1"/>
  <c r="AM1058" i="1" s="1"/>
  <c r="AQ1058" i="1" s="1"/>
  <c r="AB1059" i="1"/>
  <c r="AM1059" i="1" s="1"/>
  <c r="AQ1059" i="1" s="1"/>
  <c r="AB1060" i="1"/>
  <c r="AM1060" i="1" s="1"/>
  <c r="AQ1060" i="1" s="1"/>
  <c r="AB1061" i="1"/>
  <c r="AM1061" i="1" s="1"/>
  <c r="AQ1061" i="1" s="1"/>
  <c r="AB1062" i="1"/>
  <c r="AM1062" i="1" s="1"/>
  <c r="AQ1062" i="1" s="1"/>
  <c r="AB1063" i="1"/>
  <c r="AM1063" i="1" s="1"/>
  <c r="AQ1063" i="1" s="1"/>
  <c r="AB1064" i="1"/>
  <c r="AM1064" i="1" s="1"/>
  <c r="AQ1064" i="1" s="1"/>
  <c r="AB1065" i="1"/>
  <c r="AM1065" i="1" s="1"/>
  <c r="AQ1065" i="1" s="1"/>
  <c r="AB1066" i="1"/>
  <c r="AM1066" i="1" s="1"/>
  <c r="AQ1066" i="1" s="1"/>
  <c r="AB1067" i="1"/>
  <c r="AM1067" i="1" s="1"/>
  <c r="AQ1067" i="1" s="1"/>
  <c r="AB1068" i="1"/>
  <c r="AM1068" i="1" s="1"/>
  <c r="AQ1068" i="1" s="1"/>
  <c r="AB1069" i="1"/>
  <c r="AM1069" i="1" s="1"/>
  <c r="AQ1069" i="1" s="1"/>
  <c r="AB1070" i="1"/>
  <c r="AM1070" i="1" s="1"/>
  <c r="AQ1070" i="1" s="1"/>
  <c r="AB1071" i="1"/>
  <c r="AM1071" i="1" s="1"/>
  <c r="AQ1071" i="1" s="1"/>
  <c r="AB1072" i="1"/>
  <c r="AM1072" i="1" s="1"/>
  <c r="AQ1072" i="1" s="1"/>
  <c r="AB1073" i="1"/>
  <c r="AM1073" i="1" s="1"/>
  <c r="AQ1073" i="1" s="1"/>
  <c r="AB1074" i="1"/>
  <c r="AM1074" i="1" s="1"/>
  <c r="AQ1074" i="1" s="1"/>
  <c r="AB1075" i="1"/>
  <c r="AM1075" i="1" s="1"/>
  <c r="AQ1075" i="1" s="1"/>
  <c r="AB1076" i="1"/>
  <c r="AM1076" i="1" s="1"/>
  <c r="AQ1076" i="1" s="1"/>
  <c r="AB1077" i="1"/>
  <c r="AM1077" i="1" s="1"/>
  <c r="AQ1077" i="1" s="1"/>
  <c r="AB1078" i="1"/>
  <c r="AM1078" i="1" s="1"/>
  <c r="AQ1078" i="1" s="1"/>
  <c r="AB1079" i="1"/>
  <c r="AM1079" i="1" s="1"/>
  <c r="AQ1079" i="1" s="1"/>
  <c r="AB1080" i="1"/>
  <c r="AM1080" i="1" s="1"/>
  <c r="AQ1080" i="1" s="1"/>
  <c r="AB1081" i="1"/>
  <c r="AM1081" i="1" s="1"/>
  <c r="AQ1081" i="1" s="1"/>
  <c r="AB1082" i="1"/>
  <c r="AM1082" i="1" s="1"/>
  <c r="AQ1082" i="1" s="1"/>
  <c r="AB1083" i="1"/>
  <c r="AM1083" i="1" s="1"/>
  <c r="AQ1083" i="1" s="1"/>
  <c r="AB1084" i="1"/>
  <c r="AM1084" i="1" s="1"/>
  <c r="AQ1084" i="1" s="1"/>
  <c r="AB1085" i="1"/>
  <c r="AM1085" i="1" s="1"/>
  <c r="AQ1085" i="1" s="1"/>
  <c r="AB1086" i="1"/>
  <c r="AM1086" i="1" s="1"/>
  <c r="AQ1086" i="1" s="1"/>
  <c r="AB1087" i="1"/>
  <c r="AM1087" i="1" s="1"/>
  <c r="AQ1087" i="1" s="1"/>
  <c r="AB1088" i="1"/>
  <c r="AM1088" i="1" s="1"/>
  <c r="AQ1088" i="1" s="1"/>
  <c r="AB1089" i="1"/>
  <c r="AM1089" i="1" s="1"/>
  <c r="AQ1089" i="1" s="1"/>
  <c r="AB1090" i="1"/>
  <c r="AM1090" i="1" s="1"/>
  <c r="AQ1090" i="1" s="1"/>
  <c r="AB1091" i="1"/>
  <c r="AM1091" i="1" s="1"/>
  <c r="AQ1091" i="1" s="1"/>
  <c r="AB1092" i="1"/>
  <c r="AM1092" i="1" s="1"/>
  <c r="AQ1092" i="1" s="1"/>
  <c r="AB1093" i="1"/>
  <c r="AM1093" i="1" s="1"/>
  <c r="AQ1093" i="1" s="1"/>
  <c r="AB1094" i="1"/>
  <c r="AM1094" i="1" s="1"/>
  <c r="AQ1094" i="1" s="1"/>
  <c r="AB1095" i="1"/>
  <c r="AM1095" i="1" s="1"/>
  <c r="AQ1095" i="1" s="1"/>
  <c r="AB1096" i="1"/>
  <c r="AM1096" i="1" s="1"/>
  <c r="AQ1096" i="1" s="1"/>
  <c r="AB1097" i="1"/>
  <c r="AM1097" i="1" s="1"/>
  <c r="AQ1097" i="1" s="1"/>
  <c r="AB1098" i="1"/>
  <c r="AM1098" i="1" s="1"/>
  <c r="AQ1098" i="1" s="1"/>
  <c r="AB1099" i="1"/>
  <c r="AM1099" i="1" s="1"/>
  <c r="AQ1099" i="1" s="1"/>
  <c r="AB1100" i="1"/>
  <c r="AM1100" i="1" s="1"/>
  <c r="AQ1100" i="1" s="1"/>
  <c r="AB1101" i="1"/>
  <c r="AM1101" i="1" s="1"/>
  <c r="AQ1101" i="1" s="1"/>
  <c r="AB1102" i="1"/>
  <c r="AM1102" i="1" s="1"/>
  <c r="AQ1102" i="1" s="1"/>
  <c r="AB1103" i="1"/>
  <c r="AM1103" i="1" s="1"/>
  <c r="AQ1103" i="1" s="1"/>
  <c r="AB1104" i="1"/>
  <c r="AM1104" i="1" s="1"/>
  <c r="AQ1104" i="1" s="1"/>
  <c r="AB1105" i="1"/>
  <c r="AM1105" i="1" s="1"/>
  <c r="AQ1105" i="1" s="1"/>
  <c r="AB1106" i="1"/>
  <c r="AM1106" i="1" s="1"/>
  <c r="AQ1106" i="1" s="1"/>
  <c r="AB1107" i="1"/>
  <c r="AM1107" i="1" s="1"/>
  <c r="AQ1107" i="1" s="1"/>
  <c r="AB1108" i="1"/>
  <c r="AM1108" i="1" s="1"/>
  <c r="AQ1108" i="1" s="1"/>
  <c r="AB1109" i="1"/>
  <c r="AM1109" i="1" s="1"/>
  <c r="AQ1109" i="1" s="1"/>
  <c r="AB1110" i="1"/>
  <c r="AM1110" i="1" s="1"/>
  <c r="AQ1110" i="1" s="1"/>
  <c r="AB1111" i="1"/>
  <c r="AM1111" i="1" s="1"/>
  <c r="AQ1111" i="1" s="1"/>
  <c r="AB1112" i="1"/>
  <c r="AM1112" i="1" s="1"/>
  <c r="AQ1112" i="1" s="1"/>
  <c r="AB1113" i="1"/>
  <c r="AM1113" i="1" s="1"/>
  <c r="AQ1113" i="1" s="1"/>
  <c r="AB1114" i="1"/>
  <c r="AM1114" i="1" s="1"/>
  <c r="AQ1114" i="1" s="1"/>
  <c r="AB1115" i="1"/>
  <c r="AM1115" i="1" s="1"/>
  <c r="AQ1115" i="1" s="1"/>
  <c r="AB1116" i="1"/>
  <c r="AM1116" i="1" s="1"/>
  <c r="AQ1116" i="1" s="1"/>
  <c r="AB1117" i="1"/>
  <c r="AM1117" i="1" s="1"/>
  <c r="AQ1117" i="1" s="1"/>
  <c r="AB1118" i="1"/>
  <c r="AM1118" i="1" s="1"/>
  <c r="AQ1118" i="1" s="1"/>
  <c r="AB1119" i="1"/>
  <c r="AM1119" i="1" s="1"/>
  <c r="AQ1119" i="1" s="1"/>
  <c r="AB1120" i="1"/>
  <c r="AM1120" i="1" s="1"/>
  <c r="AQ1120" i="1" s="1"/>
  <c r="AB1121" i="1"/>
  <c r="AM1121" i="1" s="1"/>
  <c r="AQ1121" i="1" s="1"/>
  <c r="AB1122" i="1"/>
  <c r="AM1122" i="1" s="1"/>
  <c r="AQ1122" i="1" s="1"/>
  <c r="AB1123" i="1"/>
  <c r="AM1123" i="1" s="1"/>
  <c r="AQ1123" i="1" s="1"/>
  <c r="AB1124" i="1"/>
  <c r="AM1124" i="1" s="1"/>
  <c r="AQ1124" i="1" s="1"/>
  <c r="AB1125" i="1"/>
  <c r="AM1125" i="1" s="1"/>
  <c r="AQ1125" i="1" s="1"/>
  <c r="AB1126" i="1"/>
  <c r="AM1126" i="1" s="1"/>
  <c r="AQ1126" i="1" s="1"/>
  <c r="AB1127" i="1"/>
  <c r="AM1127" i="1" s="1"/>
  <c r="AQ1127" i="1" s="1"/>
  <c r="AB1128" i="1"/>
  <c r="AM1128" i="1" s="1"/>
  <c r="AQ1128" i="1" s="1"/>
  <c r="AB1129" i="1"/>
  <c r="AM1129" i="1" s="1"/>
  <c r="AQ1129" i="1" s="1"/>
  <c r="AB1130" i="1"/>
  <c r="AM1130" i="1" s="1"/>
  <c r="AQ1130" i="1" s="1"/>
  <c r="AB1131" i="1"/>
  <c r="AM1131" i="1" s="1"/>
  <c r="AQ1131" i="1" s="1"/>
  <c r="AB1132" i="1"/>
  <c r="AM1132" i="1" s="1"/>
  <c r="AQ1132" i="1" s="1"/>
  <c r="AB1133" i="1"/>
  <c r="AM1133" i="1" s="1"/>
  <c r="AQ1133" i="1" s="1"/>
  <c r="AB1134" i="1"/>
  <c r="AM1134" i="1" s="1"/>
  <c r="AQ1134" i="1" s="1"/>
  <c r="AB1135" i="1"/>
  <c r="AM1135" i="1" s="1"/>
  <c r="AQ1135" i="1" s="1"/>
  <c r="AB1136" i="1"/>
  <c r="AM1136" i="1" s="1"/>
  <c r="AQ1136" i="1" s="1"/>
  <c r="AB1137" i="1"/>
  <c r="AM1137" i="1" s="1"/>
  <c r="AQ1137" i="1" s="1"/>
  <c r="AB1138" i="1"/>
  <c r="AM1138" i="1" s="1"/>
  <c r="AQ1138" i="1" s="1"/>
  <c r="AB1139" i="1"/>
  <c r="AM1139" i="1" s="1"/>
  <c r="AQ1139" i="1" s="1"/>
  <c r="AB1140" i="1"/>
  <c r="AM1140" i="1" s="1"/>
  <c r="AQ1140" i="1" s="1"/>
  <c r="AB1141" i="1"/>
  <c r="AM1141" i="1" s="1"/>
  <c r="AQ1141" i="1" s="1"/>
  <c r="AB1142" i="1"/>
  <c r="AM1142" i="1" s="1"/>
  <c r="AQ1142" i="1" s="1"/>
  <c r="AB1143" i="1"/>
  <c r="AM1143" i="1" s="1"/>
  <c r="AQ1143" i="1" s="1"/>
  <c r="AB1144" i="1"/>
  <c r="AM1144" i="1" s="1"/>
  <c r="AQ1144" i="1" s="1"/>
  <c r="AB1145" i="1"/>
  <c r="AM1145" i="1" s="1"/>
  <c r="AQ1145" i="1" s="1"/>
  <c r="AB1146" i="1"/>
  <c r="AM1146" i="1" s="1"/>
  <c r="AQ1146" i="1" s="1"/>
  <c r="AB1147" i="1"/>
  <c r="AM1147" i="1" s="1"/>
  <c r="AQ1147" i="1" s="1"/>
  <c r="AB1148" i="1"/>
  <c r="AM1148" i="1" s="1"/>
  <c r="AQ1148" i="1" s="1"/>
  <c r="AB1149" i="1"/>
  <c r="AM1149" i="1" s="1"/>
  <c r="AQ1149" i="1" s="1"/>
  <c r="AB1150" i="1"/>
  <c r="AM1150" i="1" s="1"/>
  <c r="AQ1150" i="1" s="1"/>
  <c r="AB1151" i="1"/>
  <c r="AM1151" i="1" s="1"/>
  <c r="AQ1151" i="1" s="1"/>
  <c r="AB1152" i="1"/>
  <c r="AM1152" i="1" s="1"/>
  <c r="AQ1152" i="1" s="1"/>
  <c r="AB1153" i="1"/>
  <c r="AM1153" i="1" s="1"/>
  <c r="AQ1153" i="1" s="1"/>
  <c r="AB1154" i="1"/>
  <c r="AM1154" i="1" s="1"/>
  <c r="AQ1154" i="1" s="1"/>
  <c r="AB1155" i="1"/>
  <c r="AM1155" i="1" s="1"/>
  <c r="AQ1155" i="1" s="1"/>
  <c r="AB1156" i="1"/>
  <c r="AM1156" i="1" s="1"/>
  <c r="AQ1156" i="1" s="1"/>
  <c r="AB1157" i="1"/>
  <c r="AM1157" i="1" s="1"/>
  <c r="AQ1157" i="1" s="1"/>
  <c r="AB1158" i="1"/>
  <c r="AM1158" i="1" s="1"/>
  <c r="AQ1158" i="1" s="1"/>
  <c r="AB1159" i="1"/>
  <c r="AM1159" i="1" s="1"/>
  <c r="AQ1159" i="1" s="1"/>
  <c r="AB1160" i="1"/>
  <c r="AM1160" i="1" s="1"/>
  <c r="AQ1160" i="1" s="1"/>
  <c r="AB1161" i="1"/>
  <c r="AM1161" i="1" s="1"/>
  <c r="AQ1161" i="1" s="1"/>
  <c r="AB1162" i="1"/>
  <c r="AM1162" i="1" s="1"/>
  <c r="AQ1162" i="1" s="1"/>
  <c r="AB1163" i="1"/>
  <c r="AM1163" i="1" s="1"/>
  <c r="AQ1163" i="1" s="1"/>
  <c r="AB1164" i="1"/>
  <c r="AM1164" i="1" s="1"/>
  <c r="AQ1164" i="1" s="1"/>
  <c r="AB1165" i="1"/>
  <c r="AM1165" i="1" s="1"/>
  <c r="AQ1165" i="1" s="1"/>
  <c r="AB1166" i="1"/>
  <c r="AM1166" i="1" s="1"/>
  <c r="AQ1166" i="1" s="1"/>
  <c r="AB1167" i="1"/>
  <c r="AM1167" i="1" s="1"/>
  <c r="AQ1167" i="1" s="1"/>
  <c r="AB1168" i="1"/>
  <c r="AM1168" i="1" s="1"/>
  <c r="AQ1168" i="1" s="1"/>
  <c r="AB1169" i="1"/>
  <c r="AM1169" i="1" s="1"/>
  <c r="AQ1169" i="1" s="1"/>
  <c r="AB1170" i="1"/>
  <c r="AM1170" i="1" s="1"/>
  <c r="AQ1170" i="1" s="1"/>
  <c r="AB1171" i="1"/>
  <c r="AM1171" i="1" s="1"/>
  <c r="AQ1171" i="1" s="1"/>
  <c r="AB1172" i="1"/>
  <c r="AM1172" i="1" s="1"/>
  <c r="AQ1172" i="1" s="1"/>
  <c r="AB1173" i="1"/>
  <c r="AM1173" i="1" s="1"/>
  <c r="AQ1173" i="1" s="1"/>
  <c r="AB1174" i="1"/>
  <c r="AM1174" i="1" s="1"/>
  <c r="AQ1174" i="1" s="1"/>
  <c r="AB1175" i="1"/>
  <c r="AM1175" i="1" s="1"/>
  <c r="AQ1175" i="1" s="1"/>
  <c r="AB1176" i="1"/>
  <c r="AM1176" i="1" s="1"/>
  <c r="AQ1176" i="1" s="1"/>
  <c r="AB1177" i="1"/>
  <c r="AM1177" i="1" s="1"/>
  <c r="AQ1177" i="1" s="1"/>
  <c r="AB1178" i="1"/>
  <c r="AM1178" i="1" s="1"/>
  <c r="AQ1178" i="1" s="1"/>
  <c r="AB1179" i="1"/>
  <c r="AM1179" i="1" s="1"/>
  <c r="AQ1179" i="1" s="1"/>
  <c r="AB1180" i="1"/>
  <c r="AM1180" i="1" s="1"/>
  <c r="AQ1180" i="1" s="1"/>
  <c r="AB1181" i="1"/>
  <c r="AM1181" i="1" s="1"/>
  <c r="AQ1181" i="1" s="1"/>
  <c r="AB1182" i="1"/>
  <c r="AM1182" i="1" s="1"/>
  <c r="AQ1182" i="1" s="1"/>
  <c r="AB1183" i="1"/>
  <c r="AM1183" i="1" s="1"/>
  <c r="AQ1183" i="1" s="1"/>
  <c r="AB1184" i="1"/>
  <c r="AM1184" i="1" s="1"/>
  <c r="AQ1184" i="1" s="1"/>
  <c r="AB1185" i="1"/>
  <c r="AM1185" i="1" s="1"/>
  <c r="AQ1185" i="1" s="1"/>
  <c r="AB1186" i="1"/>
  <c r="AM1186" i="1" s="1"/>
  <c r="AQ1186" i="1" s="1"/>
  <c r="AB1187" i="1"/>
  <c r="AM1187" i="1" s="1"/>
  <c r="AQ1187" i="1" s="1"/>
  <c r="AB1188" i="1"/>
  <c r="AM1188" i="1" s="1"/>
  <c r="AQ1188" i="1" s="1"/>
  <c r="AB1189" i="1"/>
  <c r="AM1189" i="1" s="1"/>
  <c r="AQ1189" i="1" s="1"/>
  <c r="AB1190" i="1"/>
  <c r="AM1190" i="1" s="1"/>
  <c r="AQ1190" i="1" s="1"/>
  <c r="AB1191" i="1"/>
  <c r="AM1191" i="1" s="1"/>
  <c r="AQ1191" i="1" s="1"/>
  <c r="AB1192" i="1"/>
  <c r="AM1192" i="1" s="1"/>
  <c r="AQ1192" i="1" s="1"/>
  <c r="AB1193" i="1"/>
  <c r="AM1193" i="1" s="1"/>
  <c r="AQ1193" i="1" s="1"/>
  <c r="AB1194" i="1"/>
  <c r="AM1194" i="1" s="1"/>
  <c r="AQ1194" i="1" s="1"/>
  <c r="AB1195" i="1"/>
  <c r="AM1195" i="1" s="1"/>
  <c r="AQ1195" i="1" s="1"/>
  <c r="AB1196" i="1"/>
  <c r="AM1196" i="1" s="1"/>
  <c r="AQ1196" i="1" s="1"/>
  <c r="AB1197" i="1"/>
  <c r="AM1197" i="1" s="1"/>
  <c r="AQ1197" i="1" s="1"/>
  <c r="AB1198" i="1"/>
  <c r="AM1198" i="1" s="1"/>
  <c r="AQ1198" i="1" s="1"/>
  <c r="AB1199" i="1"/>
  <c r="AM1199" i="1" s="1"/>
  <c r="AQ1199" i="1" s="1"/>
  <c r="AB1200" i="1"/>
  <c r="AM1200" i="1" s="1"/>
  <c r="AQ1200" i="1" s="1"/>
  <c r="AB1201" i="1"/>
  <c r="AM1201" i="1" s="1"/>
  <c r="AQ1201" i="1" s="1"/>
  <c r="AB1202" i="1"/>
  <c r="AM1202" i="1" s="1"/>
  <c r="AQ1202" i="1" s="1"/>
  <c r="AB1203" i="1"/>
  <c r="AM1203" i="1" s="1"/>
  <c r="AQ1203" i="1" s="1"/>
  <c r="AB1204" i="1"/>
  <c r="AM1204" i="1" s="1"/>
  <c r="AQ1204" i="1" s="1"/>
  <c r="AB1205" i="1"/>
  <c r="AM1205" i="1" s="1"/>
  <c r="AQ1205" i="1" s="1"/>
  <c r="AB1206" i="1"/>
  <c r="AM1206" i="1" s="1"/>
  <c r="AQ1206" i="1" s="1"/>
  <c r="AB1207" i="1"/>
  <c r="AM1207" i="1" s="1"/>
  <c r="AQ1207" i="1" s="1"/>
  <c r="AB1208" i="1"/>
  <c r="AM1208" i="1" s="1"/>
  <c r="AQ1208" i="1" s="1"/>
  <c r="AB1209" i="1"/>
  <c r="AM1209" i="1" s="1"/>
  <c r="AQ1209" i="1" s="1"/>
  <c r="AB1210" i="1"/>
  <c r="AM1210" i="1" s="1"/>
  <c r="AQ1210" i="1" s="1"/>
  <c r="AB1211" i="1"/>
  <c r="AM1211" i="1" s="1"/>
  <c r="AQ1211" i="1" s="1"/>
  <c r="AB1212" i="1"/>
  <c r="AM1212" i="1" s="1"/>
  <c r="AQ1212" i="1" s="1"/>
  <c r="AB1213" i="1"/>
  <c r="AM1213" i="1" s="1"/>
  <c r="AQ1213" i="1" s="1"/>
  <c r="AB1214" i="1"/>
  <c r="AM1214" i="1" s="1"/>
  <c r="AQ1214" i="1" s="1"/>
  <c r="AB1215" i="1"/>
  <c r="AM1215" i="1" s="1"/>
  <c r="AQ1215" i="1" s="1"/>
  <c r="AB1216" i="1"/>
  <c r="AM1216" i="1" s="1"/>
  <c r="AQ1216" i="1" s="1"/>
  <c r="AB1217" i="1"/>
  <c r="AM1217" i="1" s="1"/>
  <c r="AQ1217" i="1" s="1"/>
  <c r="AB1218" i="1"/>
  <c r="AM1218" i="1" s="1"/>
  <c r="AQ1218" i="1" s="1"/>
  <c r="AB1219" i="1"/>
  <c r="AM1219" i="1" s="1"/>
  <c r="AQ1219" i="1" s="1"/>
  <c r="AB1220" i="1"/>
  <c r="AM1220" i="1" s="1"/>
  <c r="AQ1220" i="1" s="1"/>
  <c r="AB1221" i="1"/>
  <c r="AM1221" i="1" s="1"/>
  <c r="AQ1221" i="1" s="1"/>
  <c r="AB1222" i="1"/>
  <c r="AM1222" i="1" s="1"/>
  <c r="AQ1222" i="1" s="1"/>
  <c r="AB1223" i="1"/>
  <c r="AM1223" i="1" s="1"/>
  <c r="AQ1223" i="1" s="1"/>
  <c r="AB1224" i="1"/>
  <c r="AM1224" i="1" s="1"/>
  <c r="AQ1224" i="1" s="1"/>
  <c r="AB1225" i="1"/>
  <c r="AM1225" i="1" s="1"/>
  <c r="AQ1225" i="1" s="1"/>
  <c r="AB1226" i="1"/>
  <c r="AM1226" i="1" s="1"/>
  <c r="AQ1226" i="1" s="1"/>
  <c r="AB1227" i="1"/>
  <c r="AM1227" i="1" s="1"/>
  <c r="AQ1227" i="1" s="1"/>
  <c r="AB1228" i="1"/>
  <c r="AM1228" i="1" s="1"/>
  <c r="AQ1228" i="1" s="1"/>
  <c r="AB1229" i="1"/>
  <c r="AM1229" i="1" s="1"/>
  <c r="AQ1229" i="1" s="1"/>
  <c r="AB1230" i="1"/>
  <c r="AM1230" i="1" s="1"/>
  <c r="AQ1230" i="1" s="1"/>
  <c r="AB1231" i="1"/>
  <c r="AM1231" i="1" s="1"/>
  <c r="AQ1231" i="1" s="1"/>
  <c r="AB1232" i="1"/>
  <c r="AM1232" i="1" s="1"/>
  <c r="AQ1232" i="1" s="1"/>
  <c r="AB1233" i="1"/>
  <c r="AM1233" i="1" s="1"/>
  <c r="AQ1233" i="1" s="1"/>
  <c r="AB1234" i="1"/>
  <c r="AM1234" i="1" s="1"/>
  <c r="AQ1234" i="1" s="1"/>
  <c r="AB1235" i="1"/>
  <c r="AM1235" i="1" s="1"/>
  <c r="AQ1235" i="1" s="1"/>
  <c r="AB1236" i="1"/>
  <c r="AM1236" i="1" s="1"/>
  <c r="AQ1236" i="1" s="1"/>
  <c r="AB1237" i="1"/>
  <c r="AM1237" i="1" s="1"/>
  <c r="AQ1237" i="1" s="1"/>
  <c r="AB1238" i="1"/>
  <c r="AM1238" i="1" s="1"/>
  <c r="AQ1238" i="1" s="1"/>
  <c r="AB1239" i="1"/>
  <c r="AM1239" i="1" s="1"/>
  <c r="AQ1239" i="1" s="1"/>
  <c r="AB1240" i="1"/>
  <c r="AM1240" i="1" s="1"/>
  <c r="AQ1240" i="1" s="1"/>
  <c r="AB1241" i="1"/>
  <c r="AM1241" i="1" s="1"/>
  <c r="AQ1241" i="1" s="1"/>
  <c r="AB1242" i="1"/>
  <c r="AM1242" i="1" s="1"/>
  <c r="AQ1242" i="1" s="1"/>
  <c r="AB1243" i="1"/>
  <c r="AM1243" i="1" s="1"/>
  <c r="AQ1243" i="1" s="1"/>
  <c r="AB1244" i="1"/>
  <c r="AM1244" i="1" s="1"/>
  <c r="AQ1244" i="1" s="1"/>
  <c r="AB1245" i="1"/>
  <c r="AM1245" i="1" s="1"/>
  <c r="AQ1245" i="1" s="1"/>
  <c r="AB1246" i="1"/>
  <c r="AM1246" i="1" s="1"/>
  <c r="AQ1246" i="1" s="1"/>
  <c r="AB1247" i="1"/>
  <c r="AM1247" i="1" s="1"/>
  <c r="AQ1247" i="1" s="1"/>
  <c r="AB1248" i="1"/>
  <c r="AM1248" i="1" s="1"/>
  <c r="AQ1248" i="1" s="1"/>
  <c r="AB1249" i="1"/>
  <c r="AM1249" i="1" s="1"/>
  <c r="AQ1249" i="1" s="1"/>
  <c r="AB1250" i="1"/>
  <c r="AM1250" i="1" s="1"/>
  <c r="AQ1250" i="1" s="1"/>
  <c r="AB1251" i="1"/>
  <c r="AM1251" i="1" s="1"/>
  <c r="AQ1251" i="1" s="1"/>
  <c r="AB1252" i="1"/>
  <c r="AM1252" i="1" s="1"/>
  <c r="AQ1252" i="1" s="1"/>
  <c r="AB1253" i="1"/>
  <c r="AM1253" i="1" s="1"/>
  <c r="AQ1253" i="1" s="1"/>
  <c r="AB1254" i="1"/>
  <c r="AM1254" i="1" s="1"/>
  <c r="AQ1254" i="1" s="1"/>
  <c r="AR1254" i="1" s="1"/>
  <c r="AB1255" i="1"/>
  <c r="AM1255" i="1" s="1"/>
  <c r="AQ1255" i="1" s="1"/>
  <c r="AB1256" i="1"/>
  <c r="AM1256" i="1" s="1"/>
  <c r="AQ1256" i="1" s="1"/>
  <c r="AB1257" i="1"/>
  <c r="AM1257" i="1" s="1"/>
  <c r="AQ1257" i="1" s="1"/>
  <c r="AB1258" i="1"/>
  <c r="AM1258" i="1" s="1"/>
  <c r="AQ1258" i="1" s="1"/>
  <c r="AB1259" i="1"/>
  <c r="AM1259" i="1" s="1"/>
  <c r="AQ1259" i="1" s="1"/>
  <c r="AB1260" i="1"/>
  <c r="AM1260" i="1" s="1"/>
  <c r="AQ1260" i="1" s="1"/>
  <c r="AB1261" i="1"/>
  <c r="AM1261" i="1" s="1"/>
  <c r="AQ1261" i="1" s="1"/>
  <c r="AB1262" i="1"/>
  <c r="AM1262" i="1" s="1"/>
  <c r="AQ1262" i="1" s="1"/>
  <c r="AR1262" i="1" s="1"/>
  <c r="AB1263" i="1"/>
  <c r="AM1263" i="1" s="1"/>
  <c r="AQ1263" i="1" s="1"/>
  <c r="AB1264" i="1"/>
  <c r="AM1264" i="1" s="1"/>
  <c r="AQ1264" i="1" s="1"/>
  <c r="AB1265" i="1"/>
  <c r="AM1265" i="1" s="1"/>
  <c r="AQ1265" i="1" s="1"/>
  <c r="AB1266" i="1"/>
  <c r="AM1266" i="1" s="1"/>
  <c r="AQ1266" i="1" s="1"/>
  <c r="AB1267" i="1"/>
  <c r="AM1267" i="1" s="1"/>
  <c r="AQ1267" i="1" s="1"/>
  <c r="AR1267" i="1" s="1"/>
  <c r="AB1268" i="1"/>
  <c r="AM1268" i="1" s="1"/>
  <c r="AQ1268" i="1" s="1"/>
  <c r="AB1269" i="1"/>
  <c r="AM1269" i="1" s="1"/>
  <c r="AQ1269" i="1" s="1"/>
  <c r="AB1270" i="1"/>
  <c r="AM1270" i="1" s="1"/>
  <c r="AQ1270" i="1" s="1"/>
  <c r="AB1271" i="1"/>
  <c r="AM1271" i="1" s="1"/>
  <c r="AQ1271" i="1" s="1"/>
  <c r="AR1271" i="1" s="1"/>
  <c r="AB1272" i="1"/>
  <c r="AM1272" i="1" s="1"/>
  <c r="AQ1272" i="1" s="1"/>
  <c r="AB1273" i="1"/>
  <c r="AM1273" i="1" s="1"/>
  <c r="AQ1273" i="1" s="1"/>
  <c r="AB1274" i="1"/>
  <c r="AM1274" i="1" s="1"/>
  <c r="AQ1274" i="1" s="1"/>
  <c r="AB1275" i="1"/>
  <c r="AM1275" i="1" s="1"/>
  <c r="AQ1275" i="1" s="1"/>
  <c r="AR1275" i="1" s="1"/>
  <c r="AB1276" i="1"/>
  <c r="AM1276" i="1" s="1"/>
  <c r="AQ1276" i="1" s="1"/>
  <c r="AB1277" i="1"/>
  <c r="AM1277" i="1" s="1"/>
  <c r="AQ1277" i="1" s="1"/>
  <c r="AB1278" i="1"/>
  <c r="AM1278" i="1" s="1"/>
  <c r="AQ1278" i="1" s="1"/>
  <c r="AB1279" i="1"/>
  <c r="AM1279" i="1" s="1"/>
  <c r="AQ1279" i="1" s="1"/>
  <c r="AR1279" i="1" s="1"/>
  <c r="AB1280" i="1"/>
  <c r="AM1280" i="1" s="1"/>
  <c r="AQ1280" i="1" s="1"/>
  <c r="AB1281" i="1"/>
  <c r="AM1281" i="1" s="1"/>
  <c r="AQ1281" i="1" s="1"/>
  <c r="AB1282" i="1"/>
  <c r="AM1282" i="1" s="1"/>
  <c r="AQ1282" i="1" s="1"/>
  <c r="AB1283" i="1"/>
  <c r="AM1283" i="1" s="1"/>
  <c r="AQ1283" i="1" s="1"/>
  <c r="AR1283" i="1" s="1"/>
  <c r="AB1284" i="1"/>
  <c r="AM1284" i="1" s="1"/>
  <c r="AQ1284" i="1" s="1"/>
  <c r="AB1285" i="1"/>
  <c r="AM1285" i="1" s="1"/>
  <c r="AQ1285" i="1" s="1"/>
  <c r="AB1286" i="1"/>
  <c r="AM1286" i="1" s="1"/>
  <c r="AQ1286" i="1" s="1"/>
  <c r="AB1287" i="1"/>
  <c r="AM1287" i="1" s="1"/>
  <c r="AQ1287" i="1" s="1"/>
  <c r="AR1287" i="1" s="1"/>
  <c r="AB1288" i="1"/>
  <c r="AM1288" i="1" s="1"/>
  <c r="AQ1288" i="1" s="1"/>
  <c r="AB1289" i="1"/>
  <c r="AM1289" i="1" s="1"/>
  <c r="AQ1289" i="1" s="1"/>
  <c r="AB1290" i="1"/>
  <c r="AM1290" i="1" s="1"/>
  <c r="AQ1290" i="1" s="1"/>
  <c r="AB1291" i="1"/>
  <c r="AM1291" i="1" s="1"/>
  <c r="AQ1291" i="1" s="1"/>
  <c r="AR1291" i="1" s="1"/>
  <c r="AB1292" i="1"/>
  <c r="AM1292" i="1" s="1"/>
  <c r="AQ1292" i="1" s="1"/>
  <c r="AB1293" i="1"/>
  <c r="AM1293" i="1" s="1"/>
  <c r="AQ1293" i="1" s="1"/>
  <c r="AB1294" i="1"/>
  <c r="AM1294" i="1" s="1"/>
  <c r="AQ1294" i="1" s="1"/>
  <c r="AB1295" i="1"/>
  <c r="AM1295" i="1" s="1"/>
  <c r="AQ1295" i="1" s="1"/>
  <c r="AR1295" i="1" s="1"/>
  <c r="AB1296" i="1"/>
  <c r="AM1296" i="1" s="1"/>
  <c r="AQ1296" i="1" s="1"/>
  <c r="AB1297" i="1"/>
  <c r="AM1297" i="1" s="1"/>
  <c r="AQ1297" i="1" s="1"/>
  <c r="AB1298" i="1"/>
  <c r="AM1298" i="1" s="1"/>
  <c r="AQ1298" i="1" s="1"/>
  <c r="AB1299" i="1"/>
  <c r="AM1299" i="1" s="1"/>
  <c r="AQ1299" i="1" s="1"/>
  <c r="AR1299" i="1" s="1"/>
  <c r="AB1300" i="1"/>
  <c r="AM1300" i="1" s="1"/>
  <c r="AQ1300" i="1" s="1"/>
  <c r="AB1301" i="1"/>
  <c r="AM1301" i="1" s="1"/>
  <c r="AQ1301" i="1" s="1"/>
  <c r="AB1302" i="1"/>
  <c r="AM1302" i="1" s="1"/>
  <c r="AQ1302" i="1" s="1"/>
  <c r="AB1303" i="1"/>
  <c r="AM1303" i="1" s="1"/>
  <c r="AQ1303" i="1" s="1"/>
  <c r="AR1303" i="1" s="1"/>
  <c r="AB1304" i="1"/>
  <c r="AM1304" i="1" s="1"/>
  <c r="AQ1304" i="1" s="1"/>
  <c r="AB1305" i="1"/>
  <c r="AM1305" i="1" s="1"/>
  <c r="AQ1305" i="1" s="1"/>
  <c r="AB1306" i="1"/>
  <c r="AM1306" i="1" s="1"/>
  <c r="AQ1306" i="1" s="1"/>
  <c r="AB1307" i="1"/>
  <c r="AM1307" i="1" s="1"/>
  <c r="AQ1307" i="1" s="1"/>
  <c r="AR1307" i="1" s="1"/>
  <c r="AB1308" i="1"/>
  <c r="AM1308" i="1" s="1"/>
  <c r="AQ1308" i="1" s="1"/>
  <c r="AB1309" i="1"/>
  <c r="AM1309" i="1" s="1"/>
  <c r="AQ1309" i="1" s="1"/>
  <c r="AB1310" i="1"/>
  <c r="AM1310" i="1" s="1"/>
  <c r="AQ1310" i="1" s="1"/>
  <c r="AB1311" i="1"/>
  <c r="AM1311" i="1" s="1"/>
  <c r="AQ1311" i="1" s="1"/>
  <c r="AR1311" i="1" s="1"/>
  <c r="AB1312" i="1"/>
  <c r="AM1312" i="1" s="1"/>
  <c r="AQ1312" i="1" s="1"/>
  <c r="AB1313" i="1"/>
  <c r="AM1313" i="1" s="1"/>
  <c r="AQ1313" i="1" s="1"/>
  <c r="AB1314" i="1"/>
  <c r="AM1314" i="1" s="1"/>
  <c r="AQ1314" i="1" s="1"/>
  <c r="AB1315" i="1"/>
  <c r="AM1315" i="1" s="1"/>
  <c r="AQ1315" i="1" s="1"/>
  <c r="AR1315" i="1" s="1"/>
  <c r="AB1316" i="1"/>
  <c r="AM1316" i="1" s="1"/>
  <c r="AQ1316" i="1" s="1"/>
  <c r="AB1317" i="1"/>
  <c r="AM1317" i="1" s="1"/>
  <c r="AQ1317" i="1" s="1"/>
  <c r="AB1318" i="1"/>
  <c r="AM1318" i="1" s="1"/>
  <c r="AQ1318" i="1" s="1"/>
  <c r="AB1319" i="1"/>
  <c r="AM1319" i="1" s="1"/>
  <c r="AQ1319" i="1" s="1"/>
  <c r="AR1319" i="1" s="1"/>
  <c r="AB1320" i="1"/>
  <c r="AM1320" i="1" s="1"/>
  <c r="AQ1320" i="1" s="1"/>
  <c r="AB1321" i="1"/>
  <c r="AM1321" i="1" s="1"/>
  <c r="AQ1321" i="1" s="1"/>
  <c r="AB1322" i="1"/>
  <c r="AM1322" i="1" s="1"/>
  <c r="AQ1322" i="1" s="1"/>
  <c r="AB1323" i="1"/>
  <c r="AM1323" i="1" s="1"/>
  <c r="AQ1323" i="1" s="1"/>
  <c r="AR1323" i="1" s="1"/>
  <c r="AB1324" i="1"/>
  <c r="AM1324" i="1" s="1"/>
  <c r="AQ1324" i="1" s="1"/>
  <c r="AB1325" i="1"/>
  <c r="AM1325" i="1" s="1"/>
  <c r="AQ1325" i="1" s="1"/>
  <c r="AB1326" i="1"/>
  <c r="AM1326" i="1" s="1"/>
  <c r="AQ1326" i="1" s="1"/>
  <c r="AB1327" i="1"/>
  <c r="AM1327" i="1" s="1"/>
  <c r="AQ1327" i="1" s="1"/>
  <c r="AR1327" i="1" s="1"/>
  <c r="AB1328" i="1"/>
  <c r="AM1328" i="1" s="1"/>
  <c r="AQ1328" i="1" s="1"/>
  <c r="AB1329" i="1"/>
  <c r="AM1329" i="1" s="1"/>
  <c r="AQ1329" i="1" s="1"/>
  <c r="AB1330" i="1"/>
  <c r="AM1330" i="1" s="1"/>
  <c r="AQ1330" i="1" s="1"/>
  <c r="AB1331" i="1"/>
  <c r="AM1331" i="1" s="1"/>
  <c r="AQ1331" i="1" s="1"/>
  <c r="AR1331" i="1" s="1"/>
  <c r="AB1332" i="1"/>
  <c r="AM1332" i="1" s="1"/>
  <c r="AQ1332" i="1" s="1"/>
  <c r="AB1333" i="1"/>
  <c r="AM1333" i="1" s="1"/>
  <c r="AQ1333" i="1" s="1"/>
  <c r="AB1334" i="1"/>
  <c r="AM1334" i="1" s="1"/>
  <c r="AQ1334" i="1" s="1"/>
  <c r="AB1335" i="1"/>
  <c r="AM1335" i="1" s="1"/>
  <c r="AQ1335" i="1" s="1"/>
  <c r="AR1335" i="1" s="1"/>
  <c r="AB1336" i="1"/>
  <c r="AM1336" i="1" s="1"/>
  <c r="AQ1336" i="1" s="1"/>
  <c r="AB1337" i="1"/>
  <c r="AM1337" i="1" s="1"/>
  <c r="AQ1337" i="1" s="1"/>
  <c r="AB1338" i="1"/>
  <c r="AM1338" i="1" s="1"/>
  <c r="AQ1338" i="1" s="1"/>
  <c r="AB1339" i="1"/>
  <c r="AM1339" i="1" s="1"/>
  <c r="AQ1339" i="1" s="1"/>
  <c r="AR1339" i="1" s="1"/>
  <c r="AB1340" i="1"/>
  <c r="AM1340" i="1" s="1"/>
  <c r="AQ1340" i="1" s="1"/>
  <c r="AB1341" i="1"/>
  <c r="AM1341" i="1" s="1"/>
  <c r="AQ1341" i="1" s="1"/>
  <c r="AB1342" i="1"/>
  <c r="AM1342" i="1" s="1"/>
  <c r="AQ1342" i="1" s="1"/>
  <c r="AB1343" i="1"/>
  <c r="AM1343" i="1" s="1"/>
  <c r="AQ1343" i="1" s="1"/>
  <c r="AR1343" i="1" s="1"/>
  <c r="AB1344" i="1"/>
  <c r="AM1344" i="1" s="1"/>
  <c r="AQ1344" i="1" s="1"/>
  <c r="AB1345" i="1"/>
  <c r="AM1345" i="1" s="1"/>
  <c r="AQ1345" i="1" s="1"/>
  <c r="AB1346" i="1"/>
  <c r="AM1346" i="1" s="1"/>
  <c r="AQ1346" i="1" s="1"/>
  <c r="AB1347" i="1"/>
  <c r="AM1347" i="1" s="1"/>
  <c r="AQ1347" i="1" s="1"/>
  <c r="AR1347" i="1" s="1"/>
  <c r="AB1348" i="1"/>
  <c r="AM1348" i="1" s="1"/>
  <c r="AQ1348" i="1" s="1"/>
  <c r="AB1349" i="1"/>
  <c r="AM1349" i="1" s="1"/>
  <c r="AQ1349" i="1" s="1"/>
  <c r="AB1350" i="1"/>
  <c r="AM1350" i="1" s="1"/>
  <c r="AQ1350" i="1" s="1"/>
  <c r="AB1351" i="1"/>
  <c r="AM1351" i="1" s="1"/>
  <c r="AQ1351" i="1" s="1"/>
  <c r="AR1351" i="1" s="1"/>
  <c r="AB1352" i="1"/>
  <c r="AM1352" i="1" s="1"/>
  <c r="AQ1352" i="1" s="1"/>
  <c r="AB1353" i="1"/>
  <c r="AM1353" i="1" s="1"/>
  <c r="AQ1353" i="1" s="1"/>
  <c r="AB1354" i="1"/>
  <c r="AM1354" i="1" s="1"/>
  <c r="AQ1354" i="1" s="1"/>
  <c r="AB1355" i="1"/>
  <c r="AM1355" i="1" s="1"/>
  <c r="AQ1355" i="1" s="1"/>
  <c r="AR1355" i="1" s="1"/>
  <c r="AB1356" i="1"/>
  <c r="AM1356" i="1" s="1"/>
  <c r="AQ1356" i="1" s="1"/>
  <c r="AB1357" i="1"/>
  <c r="AM1357" i="1" s="1"/>
  <c r="AQ1357" i="1" s="1"/>
  <c r="AB1358" i="1"/>
  <c r="AM1358" i="1" s="1"/>
  <c r="AQ1358" i="1" s="1"/>
  <c r="AB1359" i="1"/>
  <c r="AM1359" i="1" s="1"/>
  <c r="AQ1359" i="1" s="1"/>
  <c r="AR1359" i="1" s="1"/>
  <c r="AB1360" i="1"/>
  <c r="AM1360" i="1" s="1"/>
  <c r="AQ1360" i="1" s="1"/>
  <c r="AB1361" i="1"/>
  <c r="AM1361" i="1" s="1"/>
  <c r="AQ1361" i="1" s="1"/>
  <c r="AB1362" i="1"/>
  <c r="AM1362" i="1" s="1"/>
  <c r="AQ1362" i="1" s="1"/>
  <c r="AB1363" i="1"/>
  <c r="AM1363" i="1" s="1"/>
  <c r="AQ1363" i="1" s="1"/>
  <c r="AR1363" i="1" s="1"/>
  <c r="AB1364" i="1"/>
  <c r="AM1364" i="1" s="1"/>
  <c r="AQ1364" i="1" s="1"/>
  <c r="AB1365" i="1"/>
  <c r="AM1365" i="1" s="1"/>
  <c r="AQ1365" i="1" s="1"/>
  <c r="AB1366" i="1"/>
  <c r="AM1366" i="1" s="1"/>
  <c r="AQ1366" i="1" s="1"/>
  <c r="AB1367" i="1"/>
  <c r="AM1367" i="1" s="1"/>
  <c r="AQ1367" i="1" s="1"/>
  <c r="AR1367" i="1" s="1"/>
  <c r="AB1368" i="1"/>
  <c r="AM1368" i="1" s="1"/>
  <c r="AQ1368" i="1" s="1"/>
  <c r="AB1369" i="1"/>
  <c r="AM1369" i="1" s="1"/>
  <c r="AQ1369" i="1" s="1"/>
  <c r="AB1370" i="1"/>
  <c r="AM1370" i="1" s="1"/>
  <c r="AQ1370" i="1" s="1"/>
  <c r="AB1371" i="1"/>
  <c r="AM1371" i="1" s="1"/>
  <c r="AQ1371" i="1" s="1"/>
  <c r="AR1371" i="1" s="1"/>
  <c r="AB1372" i="1"/>
  <c r="AM1372" i="1" s="1"/>
  <c r="AQ1372" i="1" s="1"/>
  <c r="AB1373" i="1"/>
  <c r="AM1373" i="1" s="1"/>
  <c r="AQ1373" i="1" s="1"/>
  <c r="AB1374" i="1"/>
  <c r="AM1374" i="1" s="1"/>
  <c r="AQ1374" i="1" s="1"/>
  <c r="AB1375" i="1"/>
  <c r="AM1375" i="1" s="1"/>
  <c r="AQ1375" i="1" s="1"/>
  <c r="AR1375" i="1" s="1"/>
  <c r="AB1376" i="1"/>
  <c r="AM1376" i="1" s="1"/>
  <c r="AQ1376" i="1" s="1"/>
  <c r="AB1377" i="1"/>
  <c r="AM1377" i="1" s="1"/>
  <c r="AQ1377" i="1" s="1"/>
  <c r="AB1378" i="1"/>
  <c r="AM1378" i="1" s="1"/>
  <c r="AQ1378" i="1" s="1"/>
  <c r="AB1379" i="1"/>
  <c r="AM1379" i="1" s="1"/>
  <c r="AQ1379" i="1" s="1"/>
  <c r="AR1379" i="1" s="1"/>
  <c r="AB1380" i="1"/>
  <c r="AM1380" i="1" s="1"/>
  <c r="AQ1380" i="1" s="1"/>
  <c r="AB1381" i="1"/>
  <c r="AM1381" i="1" s="1"/>
  <c r="AQ1381" i="1" s="1"/>
  <c r="AB1382" i="1"/>
  <c r="AM1382" i="1" s="1"/>
  <c r="AQ1382" i="1" s="1"/>
  <c r="AB1383" i="1"/>
  <c r="AM1383" i="1" s="1"/>
  <c r="AQ1383" i="1" s="1"/>
  <c r="AR1383" i="1" s="1"/>
  <c r="AB1384" i="1"/>
  <c r="AM1384" i="1" s="1"/>
  <c r="AQ1384" i="1" s="1"/>
  <c r="AB1385" i="1"/>
  <c r="AM1385" i="1" s="1"/>
  <c r="AQ1385" i="1" s="1"/>
  <c r="AB1386" i="1"/>
  <c r="AM1386" i="1" s="1"/>
  <c r="AQ1386" i="1" s="1"/>
  <c r="AB1387" i="1"/>
  <c r="AM1387" i="1" s="1"/>
  <c r="AQ1387" i="1" s="1"/>
  <c r="AR1387" i="1" s="1"/>
  <c r="AB1388" i="1"/>
  <c r="AM1388" i="1" s="1"/>
  <c r="AQ1388" i="1" s="1"/>
  <c r="AB1389" i="1"/>
  <c r="AM1389" i="1" s="1"/>
  <c r="AQ1389" i="1" s="1"/>
  <c r="AB1390" i="1"/>
  <c r="AM1390" i="1" s="1"/>
  <c r="AQ1390" i="1" s="1"/>
  <c r="AB1391" i="1"/>
  <c r="AM1391" i="1" s="1"/>
  <c r="AQ1391" i="1" s="1"/>
  <c r="AR1391" i="1" s="1"/>
  <c r="AB1392" i="1"/>
  <c r="AM1392" i="1" s="1"/>
  <c r="AQ1392" i="1" s="1"/>
  <c r="AB1393" i="1"/>
  <c r="AM1393" i="1" s="1"/>
  <c r="AQ1393" i="1" s="1"/>
  <c r="AB1394" i="1"/>
  <c r="AM1394" i="1" s="1"/>
  <c r="AQ1394" i="1" s="1"/>
  <c r="AB1395" i="1"/>
  <c r="AM1395" i="1" s="1"/>
  <c r="AQ1395" i="1" s="1"/>
  <c r="AR1395" i="1" s="1"/>
  <c r="AB1396" i="1"/>
  <c r="AM1396" i="1" s="1"/>
  <c r="AQ1396" i="1" s="1"/>
  <c r="AB1397" i="1"/>
  <c r="AM1397" i="1" s="1"/>
  <c r="AQ1397" i="1" s="1"/>
  <c r="AB1398" i="1"/>
  <c r="AM1398" i="1" s="1"/>
  <c r="AQ1398" i="1" s="1"/>
  <c r="AB1399" i="1"/>
  <c r="AM1399" i="1" s="1"/>
  <c r="AQ1399" i="1" s="1"/>
  <c r="AR1399" i="1" s="1"/>
  <c r="AB1400" i="1"/>
  <c r="AM1400" i="1" s="1"/>
  <c r="AQ1400" i="1" s="1"/>
  <c r="AB1401" i="1"/>
  <c r="AM1401" i="1" s="1"/>
  <c r="AQ1401" i="1" s="1"/>
  <c r="AB1402" i="1"/>
  <c r="AM1402" i="1" s="1"/>
  <c r="AQ1402" i="1" s="1"/>
  <c r="AB1403" i="1"/>
  <c r="AM1403" i="1" s="1"/>
  <c r="AQ1403" i="1" s="1"/>
  <c r="AR1403" i="1" s="1"/>
  <c r="AB1404" i="1"/>
  <c r="AM1404" i="1" s="1"/>
  <c r="AQ1404" i="1" s="1"/>
  <c r="AB1405" i="1"/>
  <c r="AM1405" i="1" s="1"/>
  <c r="AQ1405" i="1" s="1"/>
  <c r="AB1406" i="1"/>
  <c r="AM1406" i="1" s="1"/>
  <c r="AQ1406" i="1" s="1"/>
  <c r="AB1407" i="1"/>
  <c r="AM1407" i="1" s="1"/>
  <c r="AQ1407" i="1" s="1"/>
  <c r="AR1407" i="1" s="1"/>
  <c r="AB1408" i="1"/>
  <c r="AM1408" i="1" s="1"/>
  <c r="AQ1408" i="1" s="1"/>
  <c r="AB1409" i="1"/>
  <c r="AM1409" i="1" s="1"/>
  <c r="AQ1409" i="1" s="1"/>
  <c r="AB1410" i="1"/>
  <c r="AM1410" i="1" s="1"/>
  <c r="AQ1410" i="1" s="1"/>
  <c r="AB1411" i="1"/>
  <c r="AM1411" i="1" s="1"/>
  <c r="AQ1411" i="1" s="1"/>
  <c r="AR1411" i="1" s="1"/>
  <c r="AB1412" i="1"/>
  <c r="AM1412" i="1" s="1"/>
  <c r="AQ1412" i="1" s="1"/>
  <c r="AB1413" i="1"/>
  <c r="AM1413" i="1" s="1"/>
  <c r="AQ1413" i="1" s="1"/>
  <c r="AB1414" i="1"/>
  <c r="AM1414" i="1" s="1"/>
  <c r="AQ1414" i="1" s="1"/>
  <c r="AB1415" i="1"/>
  <c r="AM1415" i="1" s="1"/>
  <c r="AQ1415" i="1" s="1"/>
  <c r="AR1415" i="1" s="1"/>
  <c r="AB1416" i="1"/>
  <c r="AM1416" i="1" s="1"/>
  <c r="AQ1416" i="1" s="1"/>
  <c r="AB1417" i="1"/>
  <c r="AM1417" i="1" s="1"/>
  <c r="AQ1417" i="1" s="1"/>
  <c r="AB1418" i="1"/>
  <c r="AM1418" i="1" s="1"/>
  <c r="AQ1418" i="1" s="1"/>
  <c r="AB1419" i="1"/>
  <c r="AM1419" i="1" s="1"/>
  <c r="AQ1419" i="1" s="1"/>
  <c r="AR1419" i="1" s="1"/>
  <c r="AB1420" i="1"/>
  <c r="AM1420" i="1" s="1"/>
  <c r="AQ1420" i="1" s="1"/>
  <c r="AB1421" i="1"/>
  <c r="AM1421" i="1" s="1"/>
  <c r="AQ1421" i="1" s="1"/>
  <c r="AB1422" i="1"/>
  <c r="AM1422" i="1" s="1"/>
  <c r="AQ1422" i="1" s="1"/>
  <c r="AB1423" i="1"/>
  <c r="AM1423" i="1" s="1"/>
  <c r="AQ1423" i="1" s="1"/>
  <c r="AR1423" i="1" s="1"/>
  <c r="AB1424" i="1"/>
  <c r="AM1424" i="1" s="1"/>
  <c r="AQ1424" i="1" s="1"/>
  <c r="AB1425" i="1"/>
  <c r="AM1425" i="1" s="1"/>
  <c r="AQ1425" i="1" s="1"/>
  <c r="AB1426" i="1"/>
  <c r="AM1426" i="1" s="1"/>
  <c r="AQ1426" i="1" s="1"/>
  <c r="AB1427" i="1"/>
  <c r="AM1427" i="1" s="1"/>
  <c r="AQ1427" i="1" s="1"/>
  <c r="AR1427" i="1" s="1"/>
  <c r="AB1428" i="1"/>
  <c r="AM1428" i="1" s="1"/>
  <c r="AQ1428" i="1" s="1"/>
  <c r="AB1429" i="1"/>
  <c r="AM1429" i="1" s="1"/>
  <c r="AQ1429" i="1" s="1"/>
  <c r="AB1430" i="1"/>
  <c r="AM1430" i="1" s="1"/>
  <c r="AQ1430" i="1" s="1"/>
  <c r="AB1431" i="1"/>
  <c r="AM1431" i="1" s="1"/>
  <c r="AQ1431" i="1" s="1"/>
  <c r="AR1431" i="1" s="1"/>
  <c r="AB1432" i="1"/>
  <c r="AM1432" i="1" s="1"/>
  <c r="AQ1432" i="1" s="1"/>
  <c r="AB1433" i="1"/>
  <c r="AM1433" i="1" s="1"/>
  <c r="AQ1433" i="1" s="1"/>
  <c r="AB1434" i="1"/>
  <c r="AM1434" i="1" s="1"/>
  <c r="AQ1434" i="1" s="1"/>
  <c r="AB1435" i="1"/>
  <c r="AM1435" i="1" s="1"/>
  <c r="AQ1435" i="1" s="1"/>
  <c r="AR1435" i="1" s="1"/>
  <c r="AB1436" i="1"/>
  <c r="AM1436" i="1" s="1"/>
  <c r="AQ1436" i="1" s="1"/>
  <c r="AB1437" i="1"/>
  <c r="AM1437" i="1" s="1"/>
  <c r="AQ1437" i="1" s="1"/>
  <c r="AB1438" i="1"/>
  <c r="AM1438" i="1" s="1"/>
  <c r="AQ1438" i="1" s="1"/>
  <c r="AB1439" i="1"/>
  <c r="AM1439" i="1" s="1"/>
  <c r="AQ1439" i="1" s="1"/>
  <c r="AR1439" i="1" s="1"/>
  <c r="AB1440" i="1"/>
  <c r="AM1440" i="1" s="1"/>
  <c r="AQ1440" i="1" s="1"/>
  <c r="AB1441" i="1"/>
  <c r="AM1441" i="1" s="1"/>
  <c r="AQ1441" i="1" s="1"/>
  <c r="AB1442" i="1"/>
  <c r="AM1442" i="1" s="1"/>
  <c r="AQ1442" i="1" s="1"/>
  <c r="AB1443" i="1"/>
  <c r="AM1443" i="1" s="1"/>
  <c r="AQ1443" i="1" s="1"/>
  <c r="AR1443" i="1" s="1"/>
  <c r="AB1444" i="1"/>
  <c r="AM1444" i="1" s="1"/>
  <c r="AQ1444" i="1" s="1"/>
  <c r="AB1445" i="1"/>
  <c r="AM1445" i="1" s="1"/>
  <c r="AQ1445" i="1" s="1"/>
  <c r="AB1446" i="1"/>
  <c r="AM1446" i="1" s="1"/>
  <c r="AQ1446" i="1" s="1"/>
  <c r="AB1447" i="1"/>
  <c r="AM1447" i="1" s="1"/>
  <c r="AQ1447" i="1" s="1"/>
  <c r="AR1447" i="1" s="1"/>
  <c r="AB1448" i="1"/>
  <c r="AM1448" i="1" s="1"/>
  <c r="AQ1448" i="1" s="1"/>
  <c r="AB1449" i="1"/>
  <c r="AM1449" i="1" s="1"/>
  <c r="AQ1449" i="1" s="1"/>
  <c r="AB1450" i="1"/>
  <c r="AM1450" i="1" s="1"/>
  <c r="AQ1450" i="1" s="1"/>
  <c r="AB1451" i="1"/>
  <c r="AM1451" i="1" s="1"/>
  <c r="AQ1451" i="1" s="1"/>
  <c r="AR1451" i="1" s="1"/>
  <c r="AB1452" i="1"/>
  <c r="AM1452" i="1" s="1"/>
  <c r="AQ1452" i="1" s="1"/>
  <c r="AB1453" i="1"/>
  <c r="AM1453" i="1" s="1"/>
  <c r="AQ1453" i="1" s="1"/>
  <c r="AB1454" i="1"/>
  <c r="AM1454" i="1" s="1"/>
  <c r="AQ1454" i="1" s="1"/>
  <c r="AB1455" i="1"/>
  <c r="AM1455" i="1" s="1"/>
  <c r="AQ1455" i="1" s="1"/>
  <c r="AR1455" i="1" s="1"/>
  <c r="AB1456" i="1"/>
  <c r="AM1456" i="1" s="1"/>
  <c r="AQ1456" i="1" s="1"/>
  <c r="AB1457" i="1"/>
  <c r="AM1457" i="1" s="1"/>
  <c r="AQ1457" i="1" s="1"/>
  <c r="AB1458" i="1"/>
  <c r="AM1458" i="1" s="1"/>
  <c r="AQ1458" i="1" s="1"/>
  <c r="AB1459" i="1"/>
  <c r="AM1459" i="1" s="1"/>
  <c r="AQ1459" i="1" s="1"/>
  <c r="AR1459" i="1" s="1"/>
  <c r="AB1460" i="1"/>
  <c r="AM1460" i="1" s="1"/>
  <c r="AQ1460" i="1" s="1"/>
  <c r="AB1461" i="1"/>
  <c r="AM1461" i="1" s="1"/>
  <c r="AQ1461" i="1" s="1"/>
  <c r="AB1462" i="1"/>
  <c r="AM1462" i="1" s="1"/>
  <c r="AQ1462" i="1" s="1"/>
  <c r="AB1463" i="1"/>
  <c r="AM1463" i="1" s="1"/>
  <c r="AQ1463" i="1" s="1"/>
  <c r="AR1463" i="1" s="1"/>
  <c r="AB1464" i="1"/>
  <c r="AM1464" i="1" s="1"/>
  <c r="AQ1464" i="1" s="1"/>
  <c r="AB1465" i="1"/>
  <c r="AM1465" i="1" s="1"/>
  <c r="AQ1465" i="1" s="1"/>
  <c r="AB1466" i="1"/>
  <c r="AM1466" i="1" s="1"/>
  <c r="AQ1466" i="1" s="1"/>
  <c r="AB1467" i="1"/>
  <c r="AM1467" i="1" s="1"/>
  <c r="AQ1467" i="1" s="1"/>
  <c r="AR1467" i="1" s="1"/>
  <c r="AB1468" i="1"/>
  <c r="AM1468" i="1" s="1"/>
  <c r="AQ1468" i="1" s="1"/>
  <c r="AB1469" i="1"/>
  <c r="AM1469" i="1" s="1"/>
  <c r="AQ1469" i="1" s="1"/>
  <c r="AB1470" i="1"/>
  <c r="AM1470" i="1" s="1"/>
  <c r="AQ1470" i="1" s="1"/>
  <c r="AB1471" i="1"/>
  <c r="AM1471" i="1" s="1"/>
  <c r="AQ1471" i="1" s="1"/>
  <c r="AR1471" i="1" s="1"/>
  <c r="AB1472" i="1"/>
  <c r="AM1472" i="1" s="1"/>
  <c r="AQ1472" i="1" s="1"/>
  <c r="AB1473" i="1"/>
  <c r="AM1473" i="1" s="1"/>
  <c r="AQ1473" i="1" s="1"/>
  <c r="AB1474" i="1"/>
  <c r="AM1474" i="1" s="1"/>
  <c r="AQ1474" i="1" s="1"/>
  <c r="AB1475" i="1"/>
  <c r="AM1475" i="1" s="1"/>
  <c r="AQ1475" i="1" s="1"/>
  <c r="AR1475" i="1" s="1"/>
  <c r="AB1476" i="1"/>
  <c r="AM1476" i="1" s="1"/>
  <c r="AQ1476" i="1" s="1"/>
  <c r="AB1477" i="1"/>
  <c r="AM1477" i="1" s="1"/>
  <c r="AQ1477" i="1" s="1"/>
  <c r="AB1478" i="1"/>
  <c r="AM1478" i="1" s="1"/>
  <c r="AQ1478" i="1" s="1"/>
  <c r="AB1479" i="1"/>
  <c r="AM1479" i="1" s="1"/>
  <c r="AQ1479" i="1" s="1"/>
  <c r="AR1479" i="1" s="1"/>
  <c r="AB1480" i="1"/>
  <c r="AM1480" i="1" s="1"/>
  <c r="AQ1480" i="1" s="1"/>
  <c r="AB1481" i="1"/>
  <c r="AM1481" i="1" s="1"/>
  <c r="AQ1481" i="1" s="1"/>
  <c r="AB1482" i="1"/>
  <c r="AM1482" i="1" s="1"/>
  <c r="AQ1482" i="1" s="1"/>
  <c r="AB1483" i="1"/>
  <c r="AM1483" i="1" s="1"/>
  <c r="AQ1483" i="1" s="1"/>
  <c r="AR1483" i="1" s="1"/>
  <c r="AB1484" i="1"/>
  <c r="AM1484" i="1" s="1"/>
  <c r="AQ1484" i="1" s="1"/>
  <c r="AB1485" i="1"/>
  <c r="AM1485" i="1" s="1"/>
  <c r="AQ1485" i="1" s="1"/>
  <c r="AB1486" i="1"/>
  <c r="AM1486" i="1" s="1"/>
  <c r="AQ1486" i="1" s="1"/>
  <c r="AB1487" i="1"/>
  <c r="AM1487" i="1" s="1"/>
  <c r="AQ1487" i="1" s="1"/>
  <c r="AR1487" i="1" s="1"/>
  <c r="AB1488" i="1"/>
  <c r="AM1488" i="1" s="1"/>
  <c r="AQ1488" i="1" s="1"/>
  <c r="AB1489" i="1"/>
  <c r="AM1489" i="1" s="1"/>
  <c r="AQ1489" i="1" s="1"/>
  <c r="AB1490" i="1"/>
  <c r="AM1490" i="1" s="1"/>
  <c r="AQ1490" i="1" s="1"/>
  <c r="AB1491" i="1"/>
  <c r="AM1491" i="1" s="1"/>
  <c r="AQ1491" i="1" s="1"/>
  <c r="AR1491" i="1" s="1"/>
  <c r="AB1492" i="1"/>
  <c r="AM1492" i="1" s="1"/>
  <c r="AQ1492" i="1" s="1"/>
  <c r="AB1493" i="1"/>
  <c r="AM1493" i="1" s="1"/>
  <c r="AQ1493" i="1" s="1"/>
  <c r="AB1494" i="1"/>
  <c r="AM1494" i="1" s="1"/>
  <c r="AQ1494" i="1" s="1"/>
  <c r="AB1495" i="1"/>
  <c r="AM1495" i="1" s="1"/>
  <c r="AQ1495" i="1" s="1"/>
  <c r="AR1495" i="1" s="1"/>
  <c r="AB1496" i="1"/>
  <c r="AM1496" i="1" s="1"/>
  <c r="AQ1496" i="1" s="1"/>
  <c r="AB1497" i="1"/>
  <c r="AM1497" i="1" s="1"/>
  <c r="AQ1497" i="1" s="1"/>
  <c r="AB1498" i="1"/>
  <c r="AM1498" i="1" s="1"/>
  <c r="AQ1498" i="1" s="1"/>
  <c r="AB1499" i="1"/>
  <c r="AM1499" i="1" s="1"/>
  <c r="AQ1499" i="1" s="1"/>
  <c r="AR1499" i="1" s="1"/>
  <c r="AB1500" i="1"/>
  <c r="AM1500" i="1" s="1"/>
  <c r="AQ1500" i="1" s="1"/>
  <c r="AB1501" i="1"/>
  <c r="AM1501" i="1" s="1"/>
  <c r="AQ1501" i="1" s="1"/>
  <c r="AB1502" i="1"/>
  <c r="AM1502" i="1" s="1"/>
  <c r="AQ1502" i="1" s="1"/>
  <c r="AB1503" i="1"/>
  <c r="AM1503" i="1" s="1"/>
  <c r="AQ1503" i="1" s="1"/>
  <c r="AR1503" i="1" s="1"/>
  <c r="AB1504" i="1"/>
  <c r="AM1504" i="1" s="1"/>
  <c r="AQ1504" i="1" s="1"/>
  <c r="AB1505" i="1"/>
  <c r="AM1505" i="1" s="1"/>
  <c r="AQ1505" i="1" s="1"/>
  <c r="AB1506" i="1"/>
  <c r="AM1506" i="1" s="1"/>
  <c r="AQ1506" i="1" s="1"/>
  <c r="AB1507" i="1"/>
  <c r="AM1507" i="1" s="1"/>
  <c r="AQ1507" i="1" s="1"/>
  <c r="AR1507" i="1" s="1"/>
  <c r="AB1508" i="1"/>
  <c r="AM1508" i="1" s="1"/>
  <c r="AQ1508" i="1" s="1"/>
  <c r="AB1509" i="1"/>
  <c r="AM1509" i="1" s="1"/>
  <c r="AQ1509" i="1" s="1"/>
  <c r="AB1510" i="1"/>
  <c r="AM1510" i="1" s="1"/>
  <c r="AQ1510" i="1" s="1"/>
  <c r="AB1511" i="1"/>
  <c r="AM1511" i="1" s="1"/>
  <c r="AQ1511" i="1" s="1"/>
  <c r="AR1511" i="1" s="1"/>
  <c r="AB1512" i="1"/>
  <c r="AM1512" i="1" s="1"/>
  <c r="AQ1512" i="1" s="1"/>
  <c r="AB1513" i="1"/>
  <c r="AM1513" i="1" s="1"/>
  <c r="AQ1513" i="1" s="1"/>
  <c r="AB1514" i="1"/>
  <c r="AM1514" i="1" s="1"/>
  <c r="AQ1514" i="1" s="1"/>
  <c r="AB1515" i="1"/>
  <c r="AM1515" i="1" s="1"/>
  <c r="AQ1515" i="1" s="1"/>
  <c r="AR1515" i="1" s="1"/>
  <c r="AB1516" i="1"/>
  <c r="AM1516" i="1" s="1"/>
  <c r="AQ1516" i="1" s="1"/>
  <c r="AB1517" i="1"/>
  <c r="AM1517" i="1" s="1"/>
  <c r="AQ1517" i="1" s="1"/>
  <c r="AB1518" i="1"/>
  <c r="AM1518" i="1" s="1"/>
  <c r="AQ1518" i="1" s="1"/>
  <c r="AB1519" i="1"/>
  <c r="AM1519" i="1" s="1"/>
  <c r="AQ1519" i="1" s="1"/>
  <c r="AR1519" i="1" s="1"/>
  <c r="AB1520" i="1"/>
  <c r="AM1520" i="1" s="1"/>
  <c r="AQ1520" i="1" s="1"/>
  <c r="AB1521" i="1"/>
  <c r="AM1521" i="1" s="1"/>
  <c r="AQ1521" i="1" s="1"/>
  <c r="AB1522" i="1"/>
  <c r="AM1522" i="1" s="1"/>
  <c r="AQ1522" i="1" s="1"/>
  <c r="AB1523" i="1"/>
  <c r="AM1523" i="1" s="1"/>
  <c r="AQ1523" i="1" s="1"/>
  <c r="AR1523" i="1" s="1"/>
  <c r="AB1524" i="1"/>
  <c r="AM1524" i="1" s="1"/>
  <c r="AQ1524" i="1" s="1"/>
  <c r="AB1525" i="1"/>
  <c r="AM1525" i="1" s="1"/>
  <c r="AQ1525" i="1" s="1"/>
  <c r="AB1526" i="1"/>
  <c r="AM1526" i="1" s="1"/>
  <c r="AQ1526" i="1" s="1"/>
  <c r="AB1527" i="1"/>
  <c r="AM1527" i="1" s="1"/>
  <c r="AQ1527" i="1" s="1"/>
  <c r="AR1527" i="1" s="1"/>
  <c r="AB1528" i="1"/>
  <c r="AM1528" i="1" s="1"/>
  <c r="AQ1528" i="1" s="1"/>
  <c r="AB1529" i="1"/>
  <c r="AM1529" i="1" s="1"/>
  <c r="AQ1529" i="1" s="1"/>
  <c r="AB1530" i="1"/>
  <c r="AM1530" i="1" s="1"/>
  <c r="AQ1530" i="1" s="1"/>
  <c r="AB1531" i="1"/>
  <c r="AM1531" i="1" s="1"/>
  <c r="AQ1531" i="1" s="1"/>
  <c r="AR1531" i="1" s="1"/>
  <c r="AB1532" i="1"/>
  <c r="AM1532" i="1" s="1"/>
  <c r="AQ1532" i="1" s="1"/>
  <c r="AB1533" i="1"/>
  <c r="AM1533" i="1" s="1"/>
  <c r="AQ1533" i="1" s="1"/>
  <c r="AB1534" i="1"/>
  <c r="AM1534" i="1" s="1"/>
  <c r="AQ1534" i="1" s="1"/>
  <c r="AB1535" i="1"/>
  <c r="AM1535" i="1" s="1"/>
  <c r="AQ1535" i="1" s="1"/>
  <c r="AR1535" i="1" s="1"/>
  <c r="AB1536" i="1"/>
  <c r="AM1536" i="1" s="1"/>
  <c r="AQ1536" i="1" s="1"/>
  <c r="AB1537" i="1"/>
  <c r="AM1537" i="1" s="1"/>
  <c r="AQ1537" i="1" s="1"/>
  <c r="AB1538" i="1"/>
  <c r="AM1538" i="1" s="1"/>
  <c r="AQ1538" i="1" s="1"/>
  <c r="AB1539" i="1"/>
  <c r="AM1539" i="1" s="1"/>
  <c r="AQ1539" i="1" s="1"/>
  <c r="AR1539" i="1" s="1"/>
  <c r="AB1540" i="1"/>
  <c r="AM1540" i="1" s="1"/>
  <c r="AQ1540" i="1" s="1"/>
  <c r="AB1541" i="1"/>
  <c r="AM1541" i="1" s="1"/>
  <c r="AQ1541" i="1" s="1"/>
  <c r="AB1542" i="1"/>
  <c r="AM1542" i="1" s="1"/>
  <c r="AQ1542" i="1" s="1"/>
  <c r="AB1543" i="1"/>
  <c r="AM1543" i="1" s="1"/>
  <c r="AQ1543" i="1" s="1"/>
  <c r="AR1543" i="1" s="1"/>
  <c r="AB1544" i="1"/>
  <c r="AM1544" i="1" s="1"/>
  <c r="AQ1544" i="1" s="1"/>
  <c r="AB1545" i="1"/>
  <c r="AM1545" i="1" s="1"/>
  <c r="AQ1545" i="1" s="1"/>
  <c r="AB1546" i="1"/>
  <c r="AM1546" i="1" s="1"/>
  <c r="AQ1546" i="1" s="1"/>
  <c r="AB1547" i="1"/>
  <c r="AM1547" i="1" s="1"/>
  <c r="AQ1547" i="1" s="1"/>
  <c r="AR1547" i="1" s="1"/>
  <c r="AB1548" i="1"/>
  <c r="AM1548" i="1" s="1"/>
  <c r="AQ1548" i="1" s="1"/>
  <c r="AB1549" i="1"/>
  <c r="AM1549" i="1" s="1"/>
  <c r="AQ1549" i="1" s="1"/>
  <c r="AB1550" i="1"/>
  <c r="AM1550" i="1" s="1"/>
  <c r="AQ1550" i="1" s="1"/>
  <c r="AB1551" i="1"/>
  <c r="AM1551" i="1" s="1"/>
  <c r="AQ1551" i="1" s="1"/>
  <c r="AR1551" i="1" s="1"/>
  <c r="AB1552" i="1"/>
  <c r="AM1552" i="1" s="1"/>
  <c r="AQ1552" i="1" s="1"/>
  <c r="AB1553" i="1"/>
  <c r="AM1553" i="1" s="1"/>
  <c r="AQ1553" i="1" s="1"/>
  <c r="AB1554" i="1"/>
  <c r="AM1554" i="1" s="1"/>
  <c r="AQ1554" i="1" s="1"/>
  <c r="AB1555" i="1"/>
  <c r="AM1555" i="1" s="1"/>
  <c r="AQ1555" i="1" s="1"/>
  <c r="AR1555" i="1" s="1"/>
  <c r="AB1556" i="1"/>
  <c r="AM1556" i="1" s="1"/>
  <c r="AQ1556" i="1" s="1"/>
  <c r="AB1557" i="1"/>
  <c r="AM1557" i="1" s="1"/>
  <c r="AQ1557" i="1" s="1"/>
  <c r="AB1558" i="1"/>
  <c r="AM1558" i="1" s="1"/>
  <c r="AQ1558" i="1" s="1"/>
  <c r="AB1559" i="1"/>
  <c r="AM1559" i="1" s="1"/>
  <c r="AQ1559" i="1" s="1"/>
  <c r="AR1559" i="1" s="1"/>
  <c r="AB1560" i="1"/>
  <c r="AM1560" i="1" s="1"/>
  <c r="AQ1560" i="1" s="1"/>
  <c r="AB1561" i="1"/>
  <c r="AM1561" i="1" s="1"/>
  <c r="AQ1561" i="1" s="1"/>
  <c r="AB1562" i="1"/>
  <c r="AM1562" i="1" s="1"/>
  <c r="AQ1562" i="1" s="1"/>
  <c r="AB1563" i="1"/>
  <c r="AM1563" i="1" s="1"/>
  <c r="AQ1563" i="1" s="1"/>
  <c r="AR1563" i="1" s="1"/>
  <c r="AB1564" i="1"/>
  <c r="AM1564" i="1" s="1"/>
  <c r="AQ1564" i="1" s="1"/>
  <c r="AB1565" i="1"/>
  <c r="AM1565" i="1" s="1"/>
  <c r="AQ1565" i="1" s="1"/>
  <c r="AB1566" i="1"/>
  <c r="AM1566" i="1" s="1"/>
  <c r="AQ1566" i="1" s="1"/>
  <c r="AB1567" i="1"/>
  <c r="AM1567" i="1" s="1"/>
  <c r="AQ1567" i="1" s="1"/>
  <c r="AR1567" i="1" s="1"/>
  <c r="AB1568" i="1"/>
  <c r="AM1568" i="1" s="1"/>
  <c r="AQ1568" i="1" s="1"/>
  <c r="AB1569" i="1"/>
  <c r="AM1569" i="1" s="1"/>
  <c r="AQ1569" i="1" s="1"/>
  <c r="AB3" i="1"/>
  <c r="AM3" i="1" s="1"/>
  <c r="AQ3" i="1" s="1"/>
  <c r="AP1524" i="1" l="1"/>
  <c r="AP1389" i="1"/>
  <c r="AP647" i="1"/>
  <c r="AP461" i="1"/>
  <c r="AO284" i="1"/>
  <c r="AO122" i="1"/>
  <c r="AP428" i="1"/>
  <c r="AO1054" i="1"/>
  <c r="AP1047" i="1"/>
  <c r="AP308" i="1"/>
  <c r="AO254" i="1"/>
  <c r="AP356" i="1"/>
  <c r="AP739" i="1"/>
  <c r="AP627" i="1"/>
  <c r="AP103" i="1"/>
  <c r="AP1297" i="1"/>
  <c r="AP997" i="1"/>
  <c r="AO629" i="1"/>
  <c r="AP292" i="1"/>
  <c r="AO270" i="1"/>
  <c r="AP248" i="1"/>
  <c r="AO294" i="1"/>
  <c r="AO268" i="1"/>
  <c r="AP1040" i="1"/>
  <c r="AO467" i="1"/>
  <c r="AP412" i="1"/>
  <c r="AO354" i="1"/>
  <c r="AO264" i="1"/>
  <c r="AP1380" i="1"/>
  <c r="AO1152" i="1"/>
  <c r="AP1045" i="1"/>
  <c r="AO1042" i="1"/>
  <c r="AP795" i="1"/>
  <c r="AO290" i="1"/>
  <c r="AO280" i="1"/>
  <c r="AO218" i="1"/>
  <c r="AP175" i="1"/>
  <c r="AP58" i="1"/>
  <c r="AP1460" i="1"/>
  <c r="AO1433" i="1"/>
  <c r="AP1317" i="1"/>
  <c r="AO1120" i="1"/>
  <c r="AO1000" i="1"/>
  <c r="AP451" i="1"/>
  <c r="AO436" i="1"/>
  <c r="AO306" i="1"/>
  <c r="AP1481" i="1"/>
  <c r="AO711" i="1"/>
  <c r="AP643" i="1"/>
  <c r="AP619" i="1"/>
  <c r="AP456" i="1"/>
  <c r="AP425" i="1"/>
  <c r="AO310" i="1"/>
  <c r="AO178" i="1"/>
  <c r="AP42" i="1"/>
  <c r="AP1569" i="1"/>
  <c r="AO1483" i="1"/>
  <c r="AP1385" i="1"/>
  <c r="AO1368" i="1"/>
  <c r="AP1365" i="1"/>
  <c r="AO1184" i="1"/>
  <c r="AO1088" i="1"/>
  <c r="AP813" i="1"/>
  <c r="AO767" i="1"/>
  <c r="AO717" i="1"/>
  <c r="AO675" i="1"/>
  <c r="AP607" i="1"/>
  <c r="AP552" i="1"/>
  <c r="AO336" i="1"/>
  <c r="AO282" i="1"/>
  <c r="AO252" i="1"/>
  <c r="AO246" i="1"/>
  <c r="AP212" i="1"/>
  <c r="AP135" i="1"/>
  <c r="AO74" i="1"/>
  <c r="AP39" i="1"/>
  <c r="AO1413" i="1"/>
  <c r="AO1395" i="1"/>
  <c r="AO1340" i="1"/>
  <c r="AO1333" i="1"/>
  <c r="AP1328" i="1"/>
  <c r="AO1264" i="1"/>
  <c r="AP1261" i="1"/>
  <c r="AO1247" i="1"/>
  <c r="AP1140" i="1"/>
  <c r="AO1110" i="1"/>
  <c r="AP873" i="1"/>
  <c r="AO613" i="1"/>
  <c r="AP139" i="1"/>
  <c r="AP55" i="1"/>
  <c r="AO1281" i="1"/>
  <c r="AP1008" i="1"/>
  <c r="AP861" i="1"/>
  <c r="AO800" i="1"/>
  <c r="AO797" i="1"/>
  <c r="AO727" i="1"/>
  <c r="AO691" i="1"/>
  <c r="AO677" i="1"/>
  <c r="AO599" i="1"/>
  <c r="AO324" i="1"/>
  <c r="AP71" i="1"/>
  <c r="AP26" i="1"/>
  <c r="AP1560" i="1"/>
  <c r="AO1455" i="1"/>
  <c r="AP1440" i="1"/>
  <c r="AO1437" i="1"/>
  <c r="AO1412" i="1"/>
  <c r="AO1349" i="1"/>
  <c r="AO1332" i="1"/>
  <c r="AP1329" i="1"/>
  <c r="AO1323" i="1"/>
  <c r="AO1313" i="1"/>
  <c r="AO1283" i="1"/>
  <c r="AO1269" i="1"/>
  <c r="AO1260" i="1"/>
  <c r="AP1179" i="1"/>
  <c r="AP1176" i="1"/>
  <c r="AO1022" i="1"/>
  <c r="AP833" i="1"/>
  <c r="AP759" i="1"/>
  <c r="AO729" i="1"/>
  <c r="AO693" i="1"/>
  <c r="AP687" i="1"/>
  <c r="AO663" i="1"/>
  <c r="AP504" i="1"/>
  <c r="AO352" i="1"/>
  <c r="AO326" i="1"/>
  <c r="AO320" i="1"/>
  <c r="AO278" i="1"/>
  <c r="AO266" i="1"/>
  <c r="AO224" i="1"/>
  <c r="AO120" i="1"/>
  <c r="AP90" i="1"/>
  <c r="AP83" i="1"/>
  <c r="AO80" i="1"/>
  <c r="AP14" i="1"/>
  <c r="AP11" i="1"/>
  <c r="AP1369" i="1"/>
  <c r="AP1292" i="1"/>
  <c r="AP1276" i="1"/>
  <c r="AP1234" i="1"/>
  <c r="AO1219" i="1"/>
  <c r="AO1204" i="1"/>
  <c r="AP1136" i="1"/>
  <c r="AO1126" i="1"/>
  <c r="AP1112" i="1"/>
  <c r="AP1056" i="1"/>
  <c r="AP849" i="1"/>
  <c r="AO832" i="1"/>
  <c r="AP829" i="1"/>
  <c r="AP755" i="1"/>
  <c r="AP723" i="1"/>
  <c r="AP703" i="1"/>
  <c r="AP667" i="1"/>
  <c r="AP655" i="1"/>
  <c r="AO372" i="1"/>
  <c r="AP340" i="1"/>
  <c r="AO338" i="1"/>
  <c r="AO286" i="1"/>
  <c r="AO234" i="1"/>
  <c r="AP208" i="1"/>
  <c r="AO202" i="1"/>
  <c r="AP162" i="1"/>
  <c r="AO116" i="1"/>
  <c r="AP110" i="1"/>
  <c r="AO70" i="1"/>
  <c r="AP67" i="1"/>
  <c r="AP51" i="1"/>
  <c r="AP23" i="1"/>
  <c r="AP10" i="1"/>
  <c r="AP1540" i="1"/>
  <c r="AP1465" i="1"/>
  <c r="AP1424" i="1"/>
  <c r="AO1421" i="1"/>
  <c r="AO1400" i="1"/>
  <c r="AO1371" i="1"/>
  <c r="AP1360" i="1"/>
  <c r="AO1357" i="1"/>
  <c r="AP1324" i="1"/>
  <c r="AP1304" i="1"/>
  <c r="AO1301" i="1"/>
  <c r="AO1192" i="1"/>
  <c r="AO1160" i="1"/>
  <c r="AO1068" i="1"/>
  <c r="AP1061" i="1"/>
  <c r="AO1058" i="1"/>
  <c r="AP1016" i="1"/>
  <c r="AP881" i="1"/>
  <c r="AP841" i="1"/>
  <c r="AP817" i="1"/>
  <c r="AO794" i="1"/>
  <c r="AP775" i="1"/>
  <c r="AP747" i="1"/>
  <c r="AO733" i="1"/>
  <c r="AO725" i="1"/>
  <c r="AP719" i="1"/>
  <c r="AO657" i="1"/>
  <c r="AP615" i="1"/>
  <c r="AO603" i="1"/>
  <c r="AO593" i="1"/>
  <c r="AP472" i="1"/>
  <c r="AO374" i="1"/>
  <c r="AO368" i="1"/>
  <c r="AP365" i="1"/>
  <c r="AO342" i="1"/>
  <c r="AO322" i="1"/>
  <c r="AO304" i="1"/>
  <c r="AO262" i="1"/>
  <c r="AP240" i="1"/>
  <c r="AO226" i="1"/>
  <c r="AO210" i="1"/>
  <c r="AP204" i="1"/>
  <c r="AP159" i="1"/>
  <c r="AO126" i="1"/>
  <c r="AP123" i="1"/>
  <c r="AO118" i="1"/>
  <c r="AO112" i="1"/>
  <c r="AO38" i="1"/>
  <c r="AP35" i="1"/>
  <c r="AP7" i="1"/>
  <c r="AS1558" i="1"/>
  <c r="AR1558" i="1"/>
  <c r="AS1542" i="1"/>
  <c r="AR1542" i="1"/>
  <c r="AS1518" i="1"/>
  <c r="AR1518" i="1"/>
  <c r="AS1494" i="1"/>
  <c r="AR1494" i="1"/>
  <c r="AS1470" i="1"/>
  <c r="AR1470" i="1"/>
  <c r="AS1450" i="1"/>
  <c r="AR1450" i="1"/>
  <c r="AS1430" i="1"/>
  <c r="AR1430" i="1"/>
  <c r="AS1406" i="1"/>
  <c r="AR1406" i="1"/>
  <c r="AS1394" i="1"/>
  <c r="AR1394" i="1"/>
  <c r="AS1382" i="1"/>
  <c r="AR1382" i="1"/>
  <c r="AS1370" i="1"/>
  <c r="AR1370" i="1"/>
  <c r="AS1362" i="1"/>
  <c r="AR1362" i="1"/>
  <c r="AS1354" i="1"/>
  <c r="AR1354" i="1"/>
  <c r="AS1346" i="1"/>
  <c r="AR1346" i="1"/>
  <c r="AS1338" i="1"/>
  <c r="AR1338" i="1"/>
  <c r="AS1330" i="1"/>
  <c r="AR1330" i="1"/>
  <c r="AS1322" i="1"/>
  <c r="AR1322" i="1"/>
  <c r="AS1314" i="1"/>
  <c r="AR1314" i="1"/>
  <c r="AS1306" i="1"/>
  <c r="AR1306" i="1"/>
  <c r="AS1298" i="1"/>
  <c r="AR1298" i="1"/>
  <c r="AS1290" i="1"/>
  <c r="AR1290" i="1"/>
  <c r="AS1278" i="1"/>
  <c r="AR1278" i="1"/>
  <c r="AS1270" i="1"/>
  <c r="AR1270" i="1"/>
  <c r="AS1266" i="1"/>
  <c r="AR1266" i="1"/>
  <c r="AR1258" i="1"/>
  <c r="AS1258" i="1"/>
  <c r="AR1246" i="1"/>
  <c r="AS1246" i="1"/>
  <c r="AR1238" i="1"/>
  <c r="AS1238" i="1"/>
  <c r="AS1230" i="1"/>
  <c r="AR1230" i="1"/>
  <c r="AS1222" i="1"/>
  <c r="AR1222" i="1"/>
  <c r="AS1214" i="1"/>
  <c r="AR1214" i="1"/>
  <c r="AS1202" i="1"/>
  <c r="AR1202" i="1"/>
  <c r="AS1194" i="1"/>
  <c r="AR1194" i="1"/>
  <c r="AS1186" i="1"/>
  <c r="AR1186" i="1"/>
  <c r="AS1178" i="1"/>
  <c r="AR1178" i="1"/>
  <c r="AS1166" i="1"/>
  <c r="AR1166" i="1"/>
  <c r="AS1162" i="1"/>
  <c r="AR1162" i="1"/>
  <c r="AS1154" i="1"/>
  <c r="AR1154" i="1"/>
  <c r="AS1146" i="1"/>
  <c r="AR1146" i="1"/>
  <c r="AS1138" i="1"/>
  <c r="AR1138" i="1"/>
  <c r="AS1130" i="1"/>
  <c r="AR1130" i="1"/>
  <c r="AS1122" i="1"/>
  <c r="AR1122" i="1"/>
  <c r="AS1114" i="1"/>
  <c r="AR1114" i="1"/>
  <c r="AS1102" i="1"/>
  <c r="AR1102" i="1"/>
  <c r="AS1098" i="1"/>
  <c r="AR1098" i="1"/>
  <c r="AS1090" i="1"/>
  <c r="AR1090" i="1"/>
  <c r="AS1082" i="1"/>
  <c r="AR1082" i="1"/>
  <c r="AS1074" i="1"/>
  <c r="AR1074" i="1"/>
  <c r="AS1066" i="1"/>
  <c r="AR1066" i="1"/>
  <c r="AS1058" i="1"/>
  <c r="AR1058" i="1"/>
  <c r="AS1054" i="1"/>
  <c r="AR1054" i="1"/>
  <c r="AS1050" i="1"/>
  <c r="AR1050" i="1"/>
  <c r="AS1046" i="1"/>
  <c r="AR1046" i="1"/>
  <c r="AS1042" i="1"/>
  <c r="AR1042" i="1"/>
  <c r="AS1038" i="1"/>
  <c r="AR1038" i="1"/>
  <c r="AS1034" i="1"/>
  <c r="AR1034" i="1"/>
  <c r="AS1030" i="1"/>
  <c r="AR1030" i="1"/>
  <c r="AS1026" i="1"/>
  <c r="AR1026" i="1"/>
  <c r="AS1018" i="1"/>
  <c r="AR1018" i="1"/>
  <c r="AS1014" i="1"/>
  <c r="AR1014" i="1"/>
  <c r="AS1010" i="1"/>
  <c r="AR1010" i="1"/>
  <c r="AS1006" i="1"/>
  <c r="AR1006" i="1"/>
  <c r="AS1002" i="1"/>
  <c r="AR1002" i="1"/>
  <c r="AS998" i="1"/>
  <c r="AR998" i="1"/>
  <c r="AS994" i="1"/>
  <c r="AR994" i="1"/>
  <c r="AS990" i="1"/>
  <c r="AR990" i="1"/>
  <c r="AS986" i="1"/>
  <c r="AR986" i="1"/>
  <c r="AS982" i="1"/>
  <c r="AR982" i="1"/>
  <c r="AS978" i="1"/>
  <c r="AR978" i="1"/>
  <c r="AS974" i="1"/>
  <c r="AR974" i="1"/>
  <c r="AS970" i="1"/>
  <c r="AR970" i="1"/>
  <c r="AR926" i="1"/>
  <c r="AS926" i="1"/>
  <c r="AR922" i="1"/>
  <c r="AS922" i="1"/>
  <c r="AR918" i="1"/>
  <c r="AS918" i="1"/>
  <c r="AR902" i="1"/>
  <c r="AS902" i="1"/>
  <c r="AR898" i="1"/>
  <c r="AS898" i="1"/>
  <c r="AR894" i="1"/>
  <c r="AS894" i="1"/>
  <c r="AR890" i="1"/>
  <c r="AS890" i="1"/>
  <c r="AR886" i="1"/>
  <c r="AS886" i="1"/>
  <c r="AR874" i="1"/>
  <c r="AS874" i="1"/>
  <c r="AR870" i="1"/>
  <c r="AS870" i="1"/>
  <c r="AR862" i="1"/>
  <c r="AS862" i="1"/>
  <c r="AR858" i="1"/>
  <c r="AS858" i="1"/>
  <c r="AR854" i="1"/>
  <c r="AS854" i="1"/>
  <c r="AR850" i="1"/>
  <c r="AS850" i="1"/>
  <c r="AR846" i="1"/>
  <c r="AS846" i="1"/>
  <c r="AR842" i="1"/>
  <c r="AS842" i="1"/>
  <c r="AR838" i="1"/>
  <c r="AS838" i="1"/>
  <c r="AS834" i="1"/>
  <c r="AR834" i="1"/>
  <c r="AS830" i="1"/>
  <c r="AR830" i="1"/>
  <c r="AS826" i="1"/>
  <c r="AR826" i="1"/>
  <c r="AS822" i="1"/>
  <c r="AR822" i="1"/>
  <c r="AS818" i="1"/>
  <c r="AR818" i="1"/>
  <c r="AS814" i="1"/>
  <c r="AR814" i="1"/>
  <c r="AS810" i="1"/>
  <c r="AR810" i="1"/>
  <c r="AS806" i="1"/>
  <c r="AR806" i="1"/>
  <c r="AS802" i="1"/>
  <c r="AR802" i="1"/>
  <c r="AS798" i="1"/>
  <c r="AR798" i="1"/>
  <c r="AS794" i="1"/>
  <c r="AR794" i="1"/>
  <c r="AS790" i="1"/>
  <c r="AR790" i="1"/>
  <c r="AS786" i="1"/>
  <c r="AR786" i="1"/>
  <c r="AS782" i="1"/>
  <c r="AR782" i="1"/>
  <c r="AS778" i="1"/>
  <c r="AR778" i="1"/>
  <c r="AS774" i="1"/>
  <c r="AR774" i="1"/>
  <c r="AS770" i="1"/>
  <c r="AR770" i="1"/>
  <c r="AS766" i="1"/>
  <c r="AR766" i="1"/>
  <c r="AS762" i="1"/>
  <c r="AR762" i="1"/>
  <c r="AR758" i="1"/>
  <c r="AS758" i="1"/>
  <c r="AS754" i="1"/>
  <c r="AR754" i="1"/>
  <c r="AS750" i="1"/>
  <c r="AR750" i="1"/>
  <c r="AS746" i="1"/>
  <c r="AR746" i="1"/>
  <c r="AS742" i="1"/>
  <c r="AR742" i="1"/>
  <c r="AS738" i="1"/>
  <c r="AR738" i="1"/>
  <c r="AS734" i="1"/>
  <c r="AR734" i="1"/>
  <c r="AS730" i="1"/>
  <c r="AR730" i="1"/>
  <c r="AS726" i="1"/>
  <c r="AR726" i="1"/>
  <c r="AS722" i="1"/>
  <c r="AR722" i="1"/>
  <c r="AS718" i="1"/>
  <c r="AR718" i="1"/>
  <c r="AS714" i="1"/>
  <c r="AR714" i="1"/>
  <c r="AS674" i="1"/>
  <c r="AR674" i="1"/>
  <c r="AS670" i="1"/>
  <c r="AR670" i="1"/>
  <c r="AS662" i="1"/>
  <c r="AR662" i="1"/>
  <c r="AS654" i="1"/>
  <c r="AR654" i="1"/>
  <c r="AS650" i="1"/>
  <c r="AR650" i="1"/>
  <c r="AS646" i="1"/>
  <c r="AR646" i="1"/>
  <c r="AS642" i="1"/>
  <c r="AR642" i="1"/>
  <c r="AS638" i="1"/>
  <c r="AR638" i="1"/>
  <c r="AS634" i="1"/>
  <c r="AR634" i="1"/>
  <c r="AS630" i="1"/>
  <c r="AR630" i="1"/>
  <c r="AS598" i="1"/>
  <c r="AR598" i="1"/>
  <c r="AS530" i="1"/>
  <c r="AR530" i="1"/>
  <c r="AS526" i="1"/>
  <c r="AR526" i="1"/>
  <c r="AR450" i="1"/>
  <c r="AS450" i="1"/>
  <c r="AR442" i="1"/>
  <c r="AS442" i="1"/>
  <c r="AR434" i="1"/>
  <c r="AS434" i="1"/>
  <c r="AR426" i="1"/>
  <c r="AS426" i="1"/>
  <c r="AR422" i="1"/>
  <c r="AS422" i="1"/>
  <c r="AR418" i="1"/>
  <c r="AS418" i="1"/>
  <c r="AR414" i="1"/>
  <c r="AS414" i="1"/>
  <c r="AR410" i="1"/>
  <c r="AS410" i="1"/>
  <c r="AR406" i="1"/>
  <c r="AS406" i="1"/>
  <c r="AR402" i="1"/>
  <c r="AS402" i="1"/>
  <c r="AR398" i="1"/>
  <c r="AS398" i="1"/>
  <c r="AR394" i="1"/>
  <c r="AS394" i="1"/>
  <c r="AR390" i="1"/>
  <c r="AS390" i="1"/>
  <c r="AR386" i="1"/>
  <c r="AS386" i="1"/>
  <c r="AR382" i="1"/>
  <c r="AS382" i="1"/>
  <c r="AR378" i="1"/>
  <c r="AS378" i="1"/>
  <c r="AR374" i="1"/>
  <c r="AS374" i="1"/>
  <c r="AR370" i="1"/>
  <c r="AS370" i="1"/>
  <c r="AR366" i="1"/>
  <c r="AS366" i="1"/>
  <c r="AR362" i="1"/>
  <c r="AS362" i="1"/>
  <c r="AR358" i="1"/>
  <c r="AS358" i="1"/>
  <c r="AR354" i="1"/>
  <c r="AS354" i="1"/>
  <c r="AR350" i="1"/>
  <c r="AS350" i="1"/>
  <c r="AR346" i="1"/>
  <c r="AS346" i="1"/>
  <c r="AR342" i="1"/>
  <c r="AS342" i="1"/>
  <c r="AR338" i="1"/>
  <c r="AS338" i="1"/>
  <c r="AR334" i="1"/>
  <c r="AS334" i="1"/>
  <c r="AR330" i="1"/>
  <c r="AS330" i="1"/>
  <c r="AR326" i="1"/>
  <c r="AS326" i="1"/>
  <c r="AR322" i="1"/>
  <c r="AS322" i="1"/>
  <c r="AR318" i="1"/>
  <c r="AS318" i="1"/>
  <c r="AR314" i="1"/>
  <c r="AS314" i="1"/>
  <c r="AR310" i="1"/>
  <c r="AS310" i="1"/>
  <c r="AR306" i="1"/>
  <c r="AS306" i="1"/>
  <c r="AR302" i="1"/>
  <c r="AS302" i="1"/>
  <c r="AR298" i="1"/>
  <c r="AS298" i="1"/>
  <c r="AR294" i="1"/>
  <c r="AS294" i="1"/>
  <c r="AR290" i="1"/>
  <c r="AS290" i="1"/>
  <c r="AR286" i="1"/>
  <c r="AS286" i="1"/>
  <c r="AR282" i="1"/>
  <c r="AS282" i="1"/>
  <c r="AR278" i="1"/>
  <c r="AS278" i="1"/>
  <c r="AR274" i="1"/>
  <c r="AS274" i="1"/>
  <c r="AR270" i="1"/>
  <c r="AS270" i="1"/>
  <c r="AR266" i="1"/>
  <c r="AS266" i="1"/>
  <c r="AR262" i="1"/>
  <c r="AS262" i="1"/>
  <c r="AR258" i="1"/>
  <c r="AS258" i="1"/>
  <c r="AR254" i="1"/>
  <c r="AS254" i="1"/>
  <c r="AR250" i="1"/>
  <c r="AS250" i="1"/>
  <c r="AR246" i="1"/>
  <c r="AS246" i="1"/>
  <c r="AR242" i="1"/>
  <c r="AS242" i="1"/>
  <c r="AR238" i="1"/>
  <c r="AS238" i="1"/>
  <c r="AS234" i="1"/>
  <c r="AR234" i="1"/>
  <c r="AS230" i="1"/>
  <c r="AR230" i="1"/>
  <c r="AS226" i="1"/>
  <c r="AR226" i="1"/>
  <c r="AS222" i="1"/>
  <c r="AR222" i="1"/>
  <c r="AS218" i="1"/>
  <c r="AR218" i="1"/>
  <c r="AS214" i="1"/>
  <c r="AR214" i="1"/>
  <c r="AS210" i="1"/>
  <c r="AR210" i="1"/>
  <c r="AR206" i="1"/>
  <c r="AS206" i="1"/>
  <c r="AR202" i="1"/>
  <c r="AS202" i="1"/>
  <c r="AR198" i="1"/>
  <c r="AS198" i="1"/>
  <c r="AS194" i="1"/>
  <c r="AR194" i="1"/>
  <c r="AS190" i="1"/>
  <c r="AR190" i="1"/>
  <c r="AS186" i="1"/>
  <c r="AR186" i="1"/>
  <c r="AS182" i="1"/>
  <c r="AR182" i="1"/>
  <c r="AS178" i="1"/>
  <c r="AR178" i="1"/>
  <c r="AS174" i="1"/>
  <c r="AR174" i="1"/>
  <c r="AR170" i="1"/>
  <c r="AS170" i="1"/>
  <c r="AS166" i="1"/>
  <c r="AR166" i="1"/>
  <c r="AS162" i="1"/>
  <c r="AR162" i="1"/>
  <c r="AS158" i="1"/>
  <c r="AR158" i="1"/>
  <c r="AS154" i="1"/>
  <c r="AR154" i="1"/>
  <c r="AS150" i="1"/>
  <c r="AR150" i="1"/>
  <c r="AS146" i="1"/>
  <c r="AR146" i="1"/>
  <c r="AS142" i="1"/>
  <c r="AR142" i="1"/>
  <c r="AR138" i="1"/>
  <c r="AS138" i="1"/>
  <c r="AS134" i="1"/>
  <c r="AR134" i="1"/>
  <c r="AS130" i="1"/>
  <c r="AR130" i="1"/>
  <c r="AS126" i="1"/>
  <c r="AR126" i="1"/>
  <c r="AS122" i="1"/>
  <c r="AR122" i="1"/>
  <c r="AR118" i="1"/>
  <c r="AS118" i="1"/>
  <c r="AR114" i="1"/>
  <c r="AS114" i="1"/>
  <c r="AR110" i="1"/>
  <c r="AS110" i="1"/>
  <c r="AR106" i="1"/>
  <c r="AS106" i="1"/>
  <c r="AS102" i="1"/>
  <c r="AR102" i="1"/>
  <c r="AS98" i="1"/>
  <c r="AR98" i="1"/>
  <c r="AS94" i="1"/>
  <c r="AR94" i="1"/>
  <c r="AS90" i="1"/>
  <c r="AR90" i="1"/>
  <c r="AR86" i="1"/>
  <c r="AS86" i="1"/>
  <c r="AR82" i="1"/>
  <c r="AS82" i="1"/>
  <c r="AR78" i="1"/>
  <c r="AS78" i="1"/>
  <c r="AR74" i="1"/>
  <c r="AS74" i="1"/>
  <c r="AR70" i="1"/>
  <c r="AS70" i="1"/>
  <c r="AR66" i="1"/>
  <c r="AS66" i="1"/>
  <c r="AR62" i="1"/>
  <c r="AS62" i="1"/>
  <c r="AR58" i="1"/>
  <c r="AS58" i="1"/>
  <c r="AR54" i="1"/>
  <c r="AS54" i="1"/>
  <c r="AR50" i="1"/>
  <c r="AS50" i="1"/>
  <c r="AR46" i="1"/>
  <c r="AS46" i="1"/>
  <c r="AR42" i="1"/>
  <c r="AS42" i="1"/>
  <c r="AR38" i="1"/>
  <c r="AS38" i="1"/>
  <c r="AR34" i="1"/>
  <c r="AS34" i="1"/>
  <c r="AR30" i="1"/>
  <c r="AS30" i="1"/>
  <c r="AR26" i="1"/>
  <c r="AS26" i="1"/>
  <c r="AR22" i="1"/>
  <c r="AS22" i="1"/>
  <c r="AR18" i="1"/>
  <c r="AS18" i="1"/>
  <c r="AR14" i="1"/>
  <c r="AS14" i="1"/>
  <c r="AR10" i="1"/>
  <c r="AS10" i="1"/>
  <c r="AR6" i="1"/>
  <c r="AS6" i="1"/>
  <c r="AP1084" i="1"/>
  <c r="AO1084" i="1"/>
  <c r="AP1018" i="1"/>
  <c r="AO1018" i="1"/>
  <c r="AP996" i="1"/>
  <c r="AO996" i="1"/>
  <c r="AP992" i="1"/>
  <c r="AO992" i="1"/>
  <c r="AP988" i="1"/>
  <c r="AO988" i="1"/>
  <c r="AP984" i="1"/>
  <c r="AO984" i="1"/>
  <c r="AP980" i="1"/>
  <c r="AO980" i="1"/>
  <c r="AP972" i="1"/>
  <c r="AO972" i="1"/>
  <c r="AP964" i="1"/>
  <c r="AO964" i="1"/>
  <c r="AP956" i="1"/>
  <c r="AO956" i="1"/>
  <c r="AP948" i="1"/>
  <c r="AO948" i="1"/>
  <c r="AP940" i="1"/>
  <c r="AO940" i="1"/>
  <c r="AP932" i="1"/>
  <c r="AO932" i="1"/>
  <c r="AP924" i="1"/>
  <c r="AO924" i="1"/>
  <c r="AP916" i="1"/>
  <c r="AO916" i="1"/>
  <c r="AP908" i="1"/>
  <c r="AO908" i="1"/>
  <c r="AP900" i="1"/>
  <c r="AO900" i="1"/>
  <c r="AP892" i="1"/>
  <c r="AO892" i="1"/>
  <c r="AO699" i="1"/>
  <c r="AP699" i="1"/>
  <c r="AP651" i="1"/>
  <c r="AO651" i="1"/>
  <c r="AO429" i="1"/>
  <c r="AP429" i="1"/>
  <c r="AO397" i="1"/>
  <c r="AP397" i="1"/>
  <c r="AO389" i="1"/>
  <c r="AP389" i="1"/>
  <c r="AO361" i="1"/>
  <c r="AP361" i="1"/>
  <c r="AP330" i="1"/>
  <c r="AO330" i="1"/>
  <c r="AP296" i="1"/>
  <c r="AO296" i="1"/>
  <c r="AP236" i="1"/>
  <c r="AO236" i="1"/>
  <c r="AS1562" i="1"/>
  <c r="AR1562" i="1"/>
  <c r="AS1546" i="1"/>
  <c r="AR1546" i="1"/>
  <c r="AS1530" i="1"/>
  <c r="AR1530" i="1"/>
  <c r="AS1514" i="1"/>
  <c r="AR1514" i="1"/>
  <c r="AS1502" i="1"/>
  <c r="AR1502" i="1"/>
  <c r="AS1490" i="1"/>
  <c r="AR1490" i="1"/>
  <c r="AS1478" i="1"/>
  <c r="AR1478" i="1"/>
  <c r="AS1462" i="1"/>
  <c r="AR1462" i="1"/>
  <c r="AS1446" i="1"/>
  <c r="AR1446" i="1"/>
  <c r="AS1434" i="1"/>
  <c r="AR1434" i="1"/>
  <c r="AS1422" i="1"/>
  <c r="AR1422" i="1"/>
  <c r="AS1410" i="1"/>
  <c r="AR1410" i="1"/>
  <c r="AS1398" i="1"/>
  <c r="AR1398" i="1"/>
  <c r="AS1390" i="1"/>
  <c r="AR1390" i="1"/>
  <c r="AS1374" i="1"/>
  <c r="AR1374" i="1"/>
  <c r="AS1366" i="1"/>
  <c r="AR1366" i="1"/>
  <c r="AS1358" i="1"/>
  <c r="AR1358" i="1"/>
  <c r="AS1350" i="1"/>
  <c r="AR1350" i="1"/>
  <c r="AS1342" i="1"/>
  <c r="AR1342" i="1"/>
  <c r="AS1334" i="1"/>
  <c r="AR1334" i="1"/>
  <c r="AS1326" i="1"/>
  <c r="AR1326" i="1"/>
  <c r="AS1318" i="1"/>
  <c r="AR1318" i="1"/>
  <c r="AS1310" i="1"/>
  <c r="AR1310" i="1"/>
  <c r="AS1302" i="1"/>
  <c r="AR1302" i="1"/>
  <c r="AS1294" i="1"/>
  <c r="AR1294" i="1"/>
  <c r="AS1286" i="1"/>
  <c r="AR1286" i="1"/>
  <c r="AS1282" i="1"/>
  <c r="AR1282" i="1"/>
  <c r="AS1274" i="1"/>
  <c r="AR1274" i="1"/>
  <c r="AR1250" i="1"/>
  <c r="AS1250" i="1"/>
  <c r="AR1242" i="1"/>
  <c r="AS1242" i="1"/>
  <c r="AS1234" i="1"/>
  <c r="AR1234" i="1"/>
  <c r="AS1226" i="1"/>
  <c r="AR1226" i="1"/>
  <c r="AS1218" i="1"/>
  <c r="AR1218" i="1"/>
  <c r="AS1210" i="1"/>
  <c r="AR1210" i="1"/>
  <c r="AS1206" i="1"/>
  <c r="AR1206" i="1"/>
  <c r="AS1198" i="1"/>
  <c r="AR1198" i="1"/>
  <c r="AS1190" i="1"/>
  <c r="AR1190" i="1"/>
  <c r="AS1182" i="1"/>
  <c r="AR1182" i="1"/>
  <c r="AS1174" i="1"/>
  <c r="AR1174" i="1"/>
  <c r="AS1170" i="1"/>
  <c r="AR1170" i="1"/>
  <c r="AS1158" i="1"/>
  <c r="AR1158" i="1"/>
  <c r="AS1150" i="1"/>
  <c r="AR1150" i="1"/>
  <c r="AS1142" i="1"/>
  <c r="AR1142" i="1"/>
  <c r="AS1134" i="1"/>
  <c r="AR1134" i="1"/>
  <c r="AS1126" i="1"/>
  <c r="AR1126" i="1"/>
  <c r="AS1118" i="1"/>
  <c r="AR1118" i="1"/>
  <c r="AS1110" i="1"/>
  <c r="AR1110" i="1"/>
  <c r="AS1106" i="1"/>
  <c r="AR1106" i="1"/>
  <c r="AS1094" i="1"/>
  <c r="AR1094" i="1"/>
  <c r="AS1086" i="1"/>
  <c r="AR1086" i="1"/>
  <c r="AS1078" i="1"/>
  <c r="AR1078" i="1"/>
  <c r="AS1070" i="1"/>
  <c r="AR1070" i="1"/>
  <c r="AS1062" i="1"/>
  <c r="AR1062" i="1"/>
  <c r="AS1022" i="1"/>
  <c r="AR1022" i="1"/>
  <c r="AR1569" i="1"/>
  <c r="AS1569" i="1"/>
  <c r="AR1565" i="1"/>
  <c r="AS1565" i="1"/>
  <c r="AR1561" i="1"/>
  <c r="AS1561" i="1"/>
  <c r="AR1557" i="1"/>
  <c r="AS1557" i="1"/>
  <c r="AR1553" i="1"/>
  <c r="AS1553" i="1"/>
  <c r="AR1549" i="1"/>
  <c r="AS1549" i="1"/>
  <c r="AR1545" i="1"/>
  <c r="AS1545" i="1"/>
  <c r="AR1541" i="1"/>
  <c r="AS1541" i="1"/>
  <c r="AR1537" i="1"/>
  <c r="AS1537" i="1"/>
  <c r="AR1533" i="1"/>
  <c r="AS1533" i="1"/>
  <c r="AR1529" i="1"/>
  <c r="AS1529" i="1"/>
  <c r="AR1525" i="1"/>
  <c r="AS1525" i="1"/>
  <c r="AR1521" i="1"/>
  <c r="AS1521" i="1"/>
  <c r="AR1517" i="1"/>
  <c r="AS1517" i="1"/>
  <c r="AR1513" i="1"/>
  <c r="AS1513" i="1"/>
  <c r="AR1509" i="1"/>
  <c r="AS1509" i="1"/>
  <c r="AR1505" i="1"/>
  <c r="AS1505" i="1"/>
  <c r="AR1501" i="1"/>
  <c r="AS1501" i="1"/>
  <c r="AR1497" i="1"/>
  <c r="AS1497" i="1"/>
  <c r="AR1493" i="1"/>
  <c r="AS1493" i="1"/>
  <c r="AR1489" i="1"/>
  <c r="AS1489" i="1"/>
  <c r="AR1485" i="1"/>
  <c r="AS1485" i="1"/>
  <c r="AR1481" i="1"/>
  <c r="AS1481" i="1"/>
  <c r="AR1477" i="1"/>
  <c r="AS1477" i="1"/>
  <c r="AR1473" i="1"/>
  <c r="AS1473" i="1"/>
  <c r="AR1469" i="1"/>
  <c r="AS1469" i="1"/>
  <c r="AR1465" i="1"/>
  <c r="AS1465" i="1"/>
  <c r="AR1461" i="1"/>
  <c r="AS1461" i="1"/>
  <c r="AR1457" i="1"/>
  <c r="AS1457" i="1"/>
  <c r="AR1453" i="1"/>
  <c r="AS1453" i="1"/>
  <c r="AR1449" i="1"/>
  <c r="AS1449" i="1"/>
  <c r="AR1445" i="1"/>
  <c r="AS1445" i="1"/>
  <c r="AR1441" i="1"/>
  <c r="AS1441" i="1"/>
  <c r="AR1437" i="1"/>
  <c r="AS1437" i="1"/>
  <c r="AR1433" i="1"/>
  <c r="AS1433" i="1"/>
  <c r="AR1429" i="1"/>
  <c r="AS1429" i="1"/>
  <c r="AR1425" i="1"/>
  <c r="AS1425" i="1"/>
  <c r="AR1421" i="1"/>
  <c r="AS1421" i="1"/>
  <c r="AR1417" i="1"/>
  <c r="AS1417" i="1"/>
  <c r="AR1413" i="1"/>
  <c r="AS1413" i="1"/>
  <c r="AR1409" i="1"/>
  <c r="AS1409" i="1"/>
  <c r="AR1405" i="1"/>
  <c r="AS1405" i="1"/>
  <c r="AR1401" i="1"/>
  <c r="AS1401" i="1"/>
  <c r="AR1397" i="1"/>
  <c r="AS1397" i="1"/>
  <c r="AR1393" i="1"/>
  <c r="AS1393" i="1"/>
  <c r="AR1389" i="1"/>
  <c r="AS1389" i="1"/>
  <c r="AR1385" i="1"/>
  <c r="AS1385" i="1"/>
  <c r="AR1381" i="1"/>
  <c r="AS1381" i="1"/>
  <c r="AR1377" i="1"/>
  <c r="AS1377" i="1"/>
  <c r="AR1373" i="1"/>
  <c r="AS1373" i="1"/>
  <c r="AR1369" i="1"/>
  <c r="AS1369" i="1"/>
  <c r="AR1365" i="1"/>
  <c r="AS1365" i="1"/>
  <c r="AR1361" i="1"/>
  <c r="AS1361" i="1"/>
  <c r="AR1357" i="1"/>
  <c r="AS1357" i="1"/>
  <c r="AR1353" i="1"/>
  <c r="AS1353" i="1"/>
  <c r="AR1349" i="1"/>
  <c r="AS1349" i="1"/>
  <c r="AR1345" i="1"/>
  <c r="AS1345" i="1"/>
  <c r="AR1341" i="1"/>
  <c r="AS1341" i="1"/>
  <c r="AR1337" i="1"/>
  <c r="AS1337" i="1"/>
  <c r="AR1333" i="1"/>
  <c r="AS1333" i="1"/>
  <c r="AR1329" i="1"/>
  <c r="AS1329" i="1"/>
  <c r="AR1325" i="1"/>
  <c r="AS1325" i="1"/>
  <c r="AR1321" i="1"/>
  <c r="AS1321" i="1"/>
  <c r="AR1317" i="1"/>
  <c r="AS1317" i="1"/>
  <c r="AR1313" i="1"/>
  <c r="AS1313" i="1"/>
  <c r="AR1309" i="1"/>
  <c r="AS1309" i="1"/>
  <c r="AR1305" i="1"/>
  <c r="AS1305" i="1"/>
  <c r="AR1301" i="1"/>
  <c r="AS1301" i="1"/>
  <c r="AR1297" i="1"/>
  <c r="AS1297" i="1"/>
  <c r="AR1293" i="1"/>
  <c r="AS1293" i="1"/>
  <c r="AR1289" i="1"/>
  <c r="AS1289" i="1"/>
  <c r="AR1285" i="1"/>
  <c r="AS1285" i="1"/>
  <c r="AR1281" i="1"/>
  <c r="AS1281" i="1"/>
  <c r="AR1277" i="1"/>
  <c r="AS1277" i="1"/>
  <c r="AR1273" i="1"/>
  <c r="AS1273" i="1"/>
  <c r="AR1269" i="1"/>
  <c r="AS1269" i="1"/>
  <c r="AR1265" i="1"/>
  <c r="AS1265" i="1"/>
  <c r="AR1261" i="1"/>
  <c r="AS1261" i="1"/>
  <c r="AR1257" i="1"/>
  <c r="AS1257" i="1"/>
  <c r="AR1253" i="1"/>
  <c r="AS1253" i="1"/>
  <c r="AR1249" i="1"/>
  <c r="AS1249" i="1"/>
  <c r="AR1245" i="1"/>
  <c r="AS1245" i="1"/>
  <c r="AR1241" i="1"/>
  <c r="AS1241" i="1"/>
  <c r="AR1237" i="1"/>
  <c r="AS1237" i="1"/>
  <c r="AR1233" i="1"/>
  <c r="AS1233" i="1"/>
  <c r="AR1229" i="1"/>
  <c r="AS1229" i="1"/>
  <c r="AR1225" i="1"/>
  <c r="AS1225" i="1"/>
  <c r="AR1221" i="1"/>
  <c r="AS1221" i="1"/>
  <c r="AR1217" i="1"/>
  <c r="AS1217" i="1"/>
  <c r="AR1213" i="1"/>
  <c r="AS1213" i="1"/>
  <c r="AR1209" i="1"/>
  <c r="AS1209" i="1"/>
  <c r="AR1205" i="1"/>
  <c r="AS1205" i="1"/>
  <c r="AR1201" i="1"/>
  <c r="AS1201" i="1"/>
  <c r="AR1197" i="1"/>
  <c r="AS1197" i="1"/>
  <c r="AR1193" i="1"/>
  <c r="AS1193" i="1"/>
  <c r="AR1189" i="1"/>
  <c r="AS1189" i="1"/>
  <c r="AR1185" i="1"/>
  <c r="AS1185" i="1"/>
  <c r="AR1181" i="1"/>
  <c r="AS1181" i="1"/>
  <c r="AR1177" i="1"/>
  <c r="AS1177" i="1"/>
  <c r="AR1173" i="1"/>
  <c r="AS1173" i="1"/>
  <c r="AR1169" i="1"/>
  <c r="AS1169" i="1"/>
  <c r="AR1165" i="1"/>
  <c r="AS1165" i="1"/>
  <c r="AR1161" i="1"/>
  <c r="AS1161" i="1"/>
  <c r="AR1157" i="1"/>
  <c r="AS1157" i="1"/>
  <c r="AR1153" i="1"/>
  <c r="AS1153" i="1"/>
  <c r="AR1149" i="1"/>
  <c r="AS1149" i="1"/>
  <c r="AR1145" i="1"/>
  <c r="AS1145" i="1"/>
  <c r="AR1141" i="1"/>
  <c r="AS1141" i="1"/>
  <c r="AR1137" i="1"/>
  <c r="AS1137" i="1"/>
  <c r="AR1133" i="1"/>
  <c r="AS1133" i="1"/>
  <c r="AR1129" i="1"/>
  <c r="AS1129" i="1"/>
  <c r="AR1125" i="1"/>
  <c r="AS1125" i="1"/>
  <c r="AR1121" i="1"/>
  <c r="AS1121" i="1"/>
  <c r="AR1117" i="1"/>
  <c r="AS1117" i="1"/>
  <c r="AR1113" i="1"/>
  <c r="AS1113" i="1"/>
  <c r="AR1109" i="1"/>
  <c r="AS1109" i="1"/>
  <c r="AR1105" i="1"/>
  <c r="AS1105" i="1"/>
  <c r="AR1101" i="1"/>
  <c r="AS1101" i="1"/>
  <c r="AR1097" i="1"/>
  <c r="AS1097" i="1"/>
  <c r="AR1093" i="1"/>
  <c r="AS1093" i="1"/>
  <c r="AR1089" i="1"/>
  <c r="AS1089" i="1"/>
  <c r="AR1085" i="1"/>
  <c r="AS1085" i="1"/>
  <c r="AR1081" i="1"/>
  <c r="AS1081" i="1"/>
  <c r="AR1077" i="1"/>
  <c r="AS1077" i="1"/>
  <c r="AR1073" i="1"/>
  <c r="AS1073" i="1"/>
  <c r="AR1069" i="1"/>
  <c r="AS1069" i="1"/>
  <c r="AR1065" i="1"/>
  <c r="AS1065" i="1"/>
  <c r="AR1061" i="1"/>
  <c r="AS1061" i="1"/>
  <c r="AR1057" i="1"/>
  <c r="AS1057" i="1"/>
  <c r="AR1053" i="1"/>
  <c r="AS1053" i="1"/>
  <c r="AR1049" i="1"/>
  <c r="AS1049" i="1"/>
  <c r="AR1045" i="1"/>
  <c r="AS1045" i="1"/>
  <c r="AR1041" i="1"/>
  <c r="AS1041" i="1"/>
  <c r="AR1037" i="1"/>
  <c r="AS1037" i="1"/>
  <c r="AR1033" i="1"/>
  <c r="AS1033" i="1"/>
  <c r="AR1029" i="1"/>
  <c r="AS1029" i="1"/>
  <c r="AR1025" i="1"/>
  <c r="AS1025" i="1"/>
  <c r="AR1021" i="1"/>
  <c r="AS1021" i="1"/>
  <c r="AR1017" i="1"/>
  <c r="AS1017" i="1"/>
  <c r="AR1013" i="1"/>
  <c r="AS1013" i="1"/>
  <c r="AR1009" i="1"/>
  <c r="AS1009" i="1"/>
  <c r="AR1005" i="1"/>
  <c r="AS1005" i="1"/>
  <c r="AR1001" i="1"/>
  <c r="AS1001" i="1"/>
  <c r="AR997" i="1"/>
  <c r="AS997" i="1"/>
  <c r="AR993" i="1"/>
  <c r="AS993" i="1"/>
  <c r="AR989" i="1"/>
  <c r="AS989" i="1"/>
  <c r="AR985" i="1"/>
  <c r="AS985" i="1"/>
  <c r="AR981" i="1"/>
  <c r="AS981" i="1"/>
  <c r="AR977" i="1"/>
  <c r="AS977" i="1"/>
  <c r="AR973" i="1"/>
  <c r="AS973" i="1"/>
  <c r="AR969" i="1"/>
  <c r="AS969" i="1"/>
  <c r="AR965" i="1"/>
  <c r="AS965" i="1"/>
  <c r="AR961" i="1"/>
  <c r="AS961" i="1"/>
  <c r="AR957" i="1"/>
  <c r="AS957" i="1"/>
  <c r="AR953" i="1"/>
  <c r="AS953" i="1"/>
  <c r="AR949" i="1"/>
  <c r="AS949" i="1"/>
  <c r="AR945" i="1"/>
  <c r="AS945" i="1"/>
  <c r="AR941" i="1"/>
  <c r="AS941" i="1"/>
  <c r="AR937" i="1"/>
  <c r="AS937" i="1"/>
  <c r="AR933" i="1"/>
  <c r="AS933" i="1"/>
  <c r="AR929" i="1"/>
  <c r="AS929" i="1"/>
  <c r="AR925" i="1"/>
  <c r="AS925" i="1"/>
  <c r="AR921" i="1"/>
  <c r="AS921" i="1"/>
  <c r="AR917" i="1"/>
  <c r="AS917" i="1"/>
  <c r="AR913" i="1"/>
  <c r="AS913" i="1"/>
  <c r="AR909" i="1"/>
  <c r="AS909" i="1"/>
  <c r="AR905" i="1"/>
  <c r="AS905" i="1"/>
  <c r="AR901" i="1"/>
  <c r="AS901" i="1"/>
  <c r="AR897" i="1"/>
  <c r="AS897" i="1"/>
  <c r="AR893" i="1"/>
  <c r="AS893" i="1"/>
  <c r="AR889" i="1"/>
  <c r="AS889" i="1"/>
  <c r="AR885" i="1"/>
  <c r="AS885" i="1"/>
  <c r="AR881" i="1"/>
  <c r="AS881" i="1"/>
  <c r="AR877" i="1"/>
  <c r="AS877" i="1"/>
  <c r="AR873" i="1"/>
  <c r="AS873" i="1"/>
  <c r="AR869" i="1"/>
  <c r="AS869" i="1"/>
  <c r="AR865" i="1"/>
  <c r="AS865" i="1"/>
  <c r="AR861" i="1"/>
  <c r="AS861" i="1"/>
  <c r="AR857" i="1"/>
  <c r="AS857" i="1"/>
  <c r="AR853" i="1"/>
  <c r="AS853" i="1"/>
  <c r="AR849" i="1"/>
  <c r="AS849" i="1"/>
  <c r="AR845" i="1"/>
  <c r="AS845" i="1"/>
  <c r="AR841" i="1"/>
  <c r="AS841" i="1"/>
  <c r="AR837" i="1"/>
  <c r="AS837" i="1"/>
  <c r="AR833" i="1"/>
  <c r="AS833" i="1"/>
  <c r="AR829" i="1"/>
  <c r="AS829" i="1"/>
  <c r="AR825" i="1"/>
  <c r="AS825" i="1"/>
  <c r="AR821" i="1"/>
  <c r="AS821" i="1"/>
  <c r="AR817" i="1"/>
  <c r="AS817" i="1"/>
  <c r="AR813" i="1"/>
  <c r="AS813" i="1"/>
  <c r="AR809" i="1"/>
  <c r="AS809" i="1"/>
  <c r="AR805" i="1"/>
  <c r="AS805" i="1"/>
  <c r="AR801" i="1"/>
  <c r="AS801" i="1"/>
  <c r="AR797" i="1"/>
  <c r="AS797" i="1"/>
  <c r="AR793" i="1"/>
  <c r="AS793" i="1"/>
  <c r="AR789" i="1"/>
  <c r="AS789" i="1"/>
  <c r="AR785" i="1"/>
  <c r="AS785" i="1"/>
  <c r="AR781" i="1"/>
  <c r="AS781" i="1"/>
  <c r="AR777" i="1"/>
  <c r="AS777" i="1"/>
  <c r="AR773" i="1"/>
  <c r="AS773" i="1"/>
  <c r="AR769" i="1"/>
  <c r="AS769" i="1"/>
  <c r="AR765" i="1"/>
  <c r="AS765" i="1"/>
  <c r="AR761" i="1"/>
  <c r="AS761" i="1"/>
  <c r="AR757" i="1"/>
  <c r="AS757" i="1"/>
  <c r="AR753" i="1"/>
  <c r="AS753" i="1"/>
  <c r="AR749" i="1"/>
  <c r="AS749" i="1"/>
  <c r="AR745" i="1"/>
  <c r="AS745" i="1"/>
  <c r="AR741" i="1"/>
  <c r="AS741" i="1"/>
  <c r="AR733" i="1"/>
  <c r="AS733" i="1"/>
  <c r="AR729" i="1"/>
  <c r="AS729" i="1"/>
  <c r="AR725" i="1"/>
  <c r="AS725" i="1"/>
  <c r="AR721" i="1"/>
  <c r="AS721" i="1"/>
  <c r="AR717" i="1"/>
  <c r="AS717" i="1"/>
  <c r="AR713" i="1"/>
  <c r="AS713" i="1"/>
  <c r="AR709" i="1"/>
  <c r="AS709" i="1"/>
  <c r="AR705" i="1"/>
  <c r="AS705" i="1"/>
  <c r="AR701" i="1"/>
  <c r="AS701" i="1"/>
  <c r="AR697" i="1"/>
  <c r="AS697" i="1"/>
  <c r="AR693" i="1"/>
  <c r="AS693" i="1"/>
  <c r="AR689" i="1"/>
  <c r="AS689" i="1"/>
  <c r="AR685" i="1"/>
  <c r="AS685" i="1"/>
  <c r="AR681" i="1"/>
  <c r="AS681" i="1"/>
  <c r="AR677" i="1"/>
  <c r="AS677" i="1"/>
  <c r="AR673" i="1"/>
  <c r="AS673" i="1"/>
  <c r="AR669" i="1"/>
  <c r="AS669" i="1"/>
  <c r="AR665" i="1"/>
  <c r="AS665" i="1"/>
  <c r="AR661" i="1"/>
  <c r="AS661" i="1"/>
  <c r="AR657" i="1"/>
  <c r="AS657" i="1"/>
  <c r="AR653" i="1"/>
  <c r="AS653" i="1"/>
  <c r="AR649" i="1"/>
  <c r="AS649" i="1"/>
  <c r="AR645" i="1"/>
  <c r="AS645" i="1"/>
  <c r="AR641" i="1"/>
  <c r="AS641" i="1"/>
  <c r="AR637" i="1"/>
  <c r="AS637" i="1"/>
  <c r="AR633" i="1"/>
  <c r="AS633" i="1"/>
  <c r="AR629" i="1"/>
  <c r="AS629" i="1"/>
  <c r="AR625" i="1"/>
  <c r="AS625" i="1"/>
  <c r="AR621" i="1"/>
  <c r="AS621" i="1"/>
  <c r="AR617" i="1"/>
  <c r="AS617" i="1"/>
  <c r="AR613" i="1"/>
  <c r="AS613" i="1"/>
  <c r="AR609" i="1"/>
  <c r="AS609" i="1"/>
  <c r="AR605" i="1"/>
  <c r="AS605" i="1"/>
  <c r="AR601" i="1"/>
  <c r="AS601" i="1"/>
  <c r="AR597" i="1"/>
  <c r="AS597" i="1"/>
  <c r="AR593" i="1"/>
  <c r="AS593" i="1"/>
  <c r="AR589" i="1"/>
  <c r="AS589" i="1"/>
  <c r="AR585" i="1"/>
  <c r="AS585" i="1"/>
  <c r="AR581" i="1"/>
  <c r="AS581" i="1"/>
  <c r="AR577" i="1"/>
  <c r="AS577" i="1"/>
  <c r="AR573" i="1"/>
  <c r="AS573" i="1"/>
  <c r="AR569" i="1"/>
  <c r="AS569" i="1"/>
  <c r="AR565" i="1"/>
  <c r="AS565" i="1"/>
  <c r="AR561" i="1"/>
  <c r="AS561" i="1"/>
  <c r="AR557" i="1"/>
  <c r="AS557" i="1"/>
  <c r="AR553" i="1"/>
  <c r="AS553" i="1"/>
  <c r="AR549" i="1"/>
  <c r="AS549" i="1"/>
  <c r="AR545" i="1"/>
  <c r="AS545" i="1"/>
  <c r="AR541" i="1"/>
  <c r="AS541" i="1"/>
  <c r="AR537" i="1"/>
  <c r="AS537" i="1"/>
  <c r="AR533" i="1"/>
  <c r="AS533" i="1"/>
  <c r="AR529" i="1"/>
  <c r="AS529" i="1"/>
  <c r="AR525" i="1"/>
  <c r="AS525" i="1"/>
  <c r="AR521" i="1"/>
  <c r="AS521" i="1"/>
  <c r="AR517" i="1"/>
  <c r="AS517" i="1"/>
  <c r="AR513" i="1"/>
  <c r="AS513" i="1"/>
  <c r="AR509" i="1"/>
  <c r="AS509" i="1"/>
  <c r="AR505" i="1"/>
  <c r="AS505" i="1"/>
  <c r="AR501" i="1"/>
  <c r="AS501" i="1"/>
  <c r="AR497" i="1"/>
  <c r="AS497" i="1"/>
  <c r="AR493" i="1"/>
  <c r="AS493" i="1"/>
  <c r="AR489" i="1"/>
  <c r="AS489" i="1"/>
  <c r="AR485" i="1"/>
  <c r="AS485" i="1"/>
  <c r="AR481" i="1"/>
  <c r="AS481" i="1"/>
  <c r="AR477" i="1"/>
  <c r="AS477" i="1"/>
  <c r="AR473" i="1"/>
  <c r="AS473" i="1"/>
  <c r="AR469" i="1"/>
  <c r="AS469" i="1"/>
  <c r="AR465" i="1"/>
  <c r="AS465" i="1"/>
  <c r="AR461" i="1"/>
  <c r="AS461" i="1"/>
  <c r="AR457" i="1"/>
  <c r="AS457" i="1"/>
  <c r="AR453" i="1"/>
  <c r="AS453" i="1"/>
  <c r="AS449" i="1"/>
  <c r="AR449" i="1"/>
  <c r="AR445" i="1"/>
  <c r="AS445" i="1"/>
  <c r="AS441" i="1"/>
  <c r="AR441" i="1"/>
  <c r="AR437" i="1"/>
  <c r="AS437" i="1"/>
  <c r="AS433" i="1"/>
  <c r="AR433" i="1"/>
  <c r="AR429" i="1"/>
  <c r="AS429" i="1"/>
  <c r="AS425" i="1"/>
  <c r="AR425" i="1"/>
  <c r="AR421" i="1"/>
  <c r="AS421" i="1"/>
  <c r="AS417" i="1"/>
  <c r="AR417" i="1"/>
  <c r="AR413" i="1"/>
  <c r="AS413" i="1"/>
  <c r="AR409" i="1"/>
  <c r="AS409" i="1"/>
  <c r="AR405" i="1"/>
  <c r="AS405" i="1"/>
  <c r="AR401" i="1"/>
  <c r="AS401" i="1"/>
  <c r="AR397" i="1"/>
  <c r="AS397" i="1"/>
  <c r="AR393" i="1"/>
  <c r="AS393" i="1"/>
  <c r="AS389" i="1"/>
  <c r="AR389" i="1"/>
  <c r="AS385" i="1"/>
  <c r="AR385" i="1"/>
  <c r="AR381" i="1"/>
  <c r="AS381" i="1"/>
  <c r="AS377" i="1"/>
  <c r="AR377" i="1"/>
  <c r="AR373" i="1"/>
  <c r="AS373" i="1"/>
  <c r="AR369" i="1"/>
  <c r="AS369" i="1"/>
  <c r="AR365" i="1"/>
  <c r="AS365" i="1"/>
  <c r="AS361" i="1"/>
  <c r="AR361" i="1"/>
  <c r="AR357" i="1"/>
  <c r="AS357" i="1"/>
  <c r="AR353" i="1"/>
  <c r="AS353" i="1"/>
  <c r="AR349" i="1"/>
  <c r="AS349" i="1"/>
  <c r="AS345" i="1"/>
  <c r="AR345" i="1"/>
  <c r="AR341" i="1"/>
  <c r="AS341" i="1"/>
  <c r="AR337" i="1"/>
  <c r="AS337" i="1"/>
  <c r="AR333" i="1"/>
  <c r="AS333" i="1"/>
  <c r="AS329" i="1"/>
  <c r="AR329" i="1"/>
  <c r="AR325" i="1"/>
  <c r="AS325" i="1"/>
  <c r="AR321" i="1"/>
  <c r="AS321" i="1"/>
  <c r="AR317" i="1"/>
  <c r="AS317" i="1"/>
  <c r="AR313" i="1"/>
  <c r="AS313" i="1"/>
  <c r="AR309" i="1"/>
  <c r="AS309" i="1"/>
  <c r="AS305" i="1"/>
  <c r="AR305" i="1"/>
  <c r="AS301" i="1"/>
  <c r="AR301" i="1"/>
  <c r="AS297" i="1"/>
  <c r="AR297" i="1"/>
  <c r="AS293" i="1"/>
  <c r="AR293" i="1"/>
  <c r="AR289" i="1"/>
  <c r="AS289" i="1"/>
  <c r="AR285" i="1"/>
  <c r="AS285" i="1"/>
  <c r="AR281" i="1"/>
  <c r="AS281" i="1"/>
  <c r="AS277" i="1"/>
  <c r="AR277" i="1"/>
  <c r="AR273" i="1"/>
  <c r="AS273" i="1"/>
  <c r="AR269" i="1"/>
  <c r="AS269" i="1"/>
  <c r="AR265" i="1"/>
  <c r="AS265" i="1"/>
  <c r="AS261" i="1"/>
  <c r="AR261" i="1"/>
  <c r="AR257" i="1"/>
  <c r="AS257" i="1"/>
  <c r="AR253" i="1"/>
  <c r="AS253" i="1"/>
  <c r="AR249" i="1"/>
  <c r="AS249" i="1"/>
  <c r="AS245" i="1"/>
  <c r="AR245" i="1"/>
  <c r="AR241" i="1"/>
  <c r="AS241" i="1"/>
  <c r="AO1552" i="1"/>
  <c r="AP1549" i="1"/>
  <c r="AP1537" i="1"/>
  <c r="AP1521" i="1"/>
  <c r="AO1512" i="1"/>
  <c r="AP1509" i="1"/>
  <c r="AP1492" i="1"/>
  <c r="AO1485" i="1"/>
  <c r="AO1467" i="1"/>
  <c r="AO1453" i="1"/>
  <c r="AO1444" i="1"/>
  <c r="AO1435" i="1"/>
  <c r="AP1429" i="1"/>
  <c r="AO1391" i="1"/>
  <c r="AP1381" i="1"/>
  <c r="AP1376" i="1"/>
  <c r="AO1344" i="1"/>
  <c r="AO1319" i="1"/>
  <c r="AO1308" i="1"/>
  <c r="AO1299" i="1"/>
  <c r="AO1245" i="1"/>
  <c r="AP1240" i="1"/>
  <c r="AP1237" i="1"/>
  <c r="AP1228" i="1"/>
  <c r="AO1225" i="1"/>
  <c r="AP1211" i="1"/>
  <c r="AP1208" i="1"/>
  <c r="AP1188" i="1"/>
  <c r="AO1164" i="1"/>
  <c r="AP1155" i="1"/>
  <c r="AO1142" i="1"/>
  <c r="AO1118" i="1"/>
  <c r="AP1090" i="1"/>
  <c r="AO1090" i="1"/>
  <c r="AP1079" i="1"/>
  <c r="AO1020" i="1"/>
  <c r="AO1001" i="1"/>
  <c r="AP1001" i="1"/>
  <c r="AO865" i="1"/>
  <c r="AP865" i="1"/>
  <c r="AO809" i="1"/>
  <c r="AP809" i="1"/>
  <c r="AO715" i="1"/>
  <c r="AP715" i="1"/>
  <c r="AO659" i="1"/>
  <c r="AP659" i="1"/>
  <c r="AP611" i="1"/>
  <c r="AO611" i="1"/>
  <c r="AP595" i="1"/>
  <c r="AO595" i="1"/>
  <c r="AO432" i="1"/>
  <c r="AP432" i="1"/>
  <c r="AO400" i="1"/>
  <c r="AP400" i="1"/>
  <c r="AP392" i="1"/>
  <c r="AO392" i="1"/>
  <c r="AP364" i="1"/>
  <c r="AO364" i="1"/>
  <c r="AP344" i="1"/>
  <c r="AO344" i="1"/>
  <c r="AP314" i="1"/>
  <c r="AO314" i="1"/>
  <c r="AP222" i="1"/>
  <c r="AO222" i="1"/>
  <c r="AO200" i="1"/>
  <c r="AP200" i="1"/>
  <c r="AS1566" i="1"/>
  <c r="AR1566" i="1"/>
  <c r="AS1550" i="1"/>
  <c r="AR1550" i="1"/>
  <c r="AS1538" i="1"/>
  <c r="AR1538" i="1"/>
  <c r="AS1526" i="1"/>
  <c r="AR1526" i="1"/>
  <c r="AS1510" i="1"/>
  <c r="AR1510" i="1"/>
  <c r="AS1498" i="1"/>
  <c r="AR1498" i="1"/>
  <c r="AS1482" i="1"/>
  <c r="AR1482" i="1"/>
  <c r="AS1466" i="1"/>
  <c r="AR1466" i="1"/>
  <c r="AS1454" i="1"/>
  <c r="AR1454" i="1"/>
  <c r="AS1438" i="1"/>
  <c r="AR1438" i="1"/>
  <c r="AS1418" i="1"/>
  <c r="AR1418" i="1"/>
  <c r="AS1402" i="1"/>
  <c r="AR1402" i="1"/>
  <c r="AS1378" i="1"/>
  <c r="AR1378" i="1"/>
  <c r="AS1564" i="1"/>
  <c r="AR1564" i="1"/>
  <c r="AS1560" i="1"/>
  <c r="AR1560" i="1"/>
  <c r="AS1556" i="1"/>
  <c r="AR1556" i="1"/>
  <c r="AS1552" i="1"/>
  <c r="AR1552" i="1"/>
  <c r="AS1548" i="1"/>
  <c r="AR1548" i="1"/>
  <c r="AS1544" i="1"/>
  <c r="AR1544" i="1"/>
  <c r="AS1540" i="1"/>
  <c r="AR1540" i="1"/>
  <c r="AS1536" i="1"/>
  <c r="AR1536" i="1"/>
  <c r="AS1532" i="1"/>
  <c r="AR1532" i="1"/>
  <c r="AS1528" i="1"/>
  <c r="AR1528" i="1"/>
  <c r="AS1524" i="1"/>
  <c r="AR1524" i="1"/>
  <c r="AS1520" i="1"/>
  <c r="AR1520" i="1"/>
  <c r="AS1516" i="1"/>
  <c r="AR1516" i="1"/>
  <c r="AS1512" i="1"/>
  <c r="AR1512" i="1"/>
  <c r="AS1508" i="1"/>
  <c r="AR1508" i="1"/>
  <c r="AS1504" i="1"/>
  <c r="AR1504" i="1"/>
  <c r="AS1500" i="1"/>
  <c r="AR1500" i="1"/>
  <c r="AS1496" i="1"/>
  <c r="AR1496" i="1"/>
  <c r="AS1492" i="1"/>
  <c r="AR1492" i="1"/>
  <c r="AS1488" i="1"/>
  <c r="AR1488" i="1"/>
  <c r="AS1484" i="1"/>
  <c r="AR1484" i="1"/>
  <c r="AS1480" i="1"/>
  <c r="AR1480" i="1"/>
  <c r="AS1476" i="1"/>
  <c r="AR1476" i="1"/>
  <c r="AS1472" i="1"/>
  <c r="AR1472" i="1"/>
  <c r="AS1468" i="1"/>
  <c r="AR1468" i="1"/>
  <c r="AS1464" i="1"/>
  <c r="AR1464" i="1"/>
  <c r="AS1460" i="1"/>
  <c r="AR1460" i="1"/>
  <c r="AS1456" i="1"/>
  <c r="AR1456" i="1"/>
  <c r="AS1452" i="1"/>
  <c r="AR1452" i="1"/>
  <c r="AS1448" i="1"/>
  <c r="AR1448" i="1"/>
  <c r="AS1444" i="1"/>
  <c r="AR1444" i="1"/>
  <c r="AS1440" i="1"/>
  <c r="AR1440" i="1"/>
  <c r="AS1436" i="1"/>
  <c r="AR1436" i="1"/>
  <c r="AS1432" i="1"/>
  <c r="AR1432" i="1"/>
  <c r="AS1428" i="1"/>
  <c r="AR1428" i="1"/>
  <c r="AS1424" i="1"/>
  <c r="AR1424" i="1"/>
  <c r="AS1420" i="1"/>
  <c r="AR1420" i="1"/>
  <c r="AS1416" i="1"/>
  <c r="AR1416" i="1"/>
  <c r="AS1412" i="1"/>
  <c r="AR1412" i="1"/>
  <c r="AS1408" i="1"/>
  <c r="AR1408" i="1"/>
  <c r="AS1404" i="1"/>
  <c r="AR1404" i="1"/>
  <c r="AS1400" i="1"/>
  <c r="AR1400" i="1"/>
  <c r="AS1396" i="1"/>
  <c r="AR1396" i="1"/>
  <c r="AS1392" i="1"/>
  <c r="AR1392" i="1"/>
  <c r="AS1388" i="1"/>
  <c r="AR1388" i="1"/>
  <c r="AS1384" i="1"/>
  <c r="AR1384" i="1"/>
  <c r="AS1380" i="1"/>
  <c r="AR1380" i="1"/>
  <c r="AS1376" i="1"/>
  <c r="AR1376" i="1"/>
  <c r="AS1372" i="1"/>
  <c r="AR1372" i="1"/>
  <c r="AS1368" i="1"/>
  <c r="AR1368" i="1"/>
  <c r="AS1364" i="1"/>
  <c r="AR1364" i="1"/>
  <c r="AS1360" i="1"/>
  <c r="AR1360" i="1"/>
  <c r="AS1356" i="1"/>
  <c r="AR1356" i="1"/>
  <c r="AS1352" i="1"/>
  <c r="AR1352" i="1"/>
  <c r="AS1348" i="1"/>
  <c r="AR1348" i="1"/>
  <c r="AS1344" i="1"/>
  <c r="AR1344" i="1"/>
  <c r="AS1340" i="1"/>
  <c r="AR1340" i="1"/>
  <c r="AS1336" i="1"/>
  <c r="AR1336" i="1"/>
  <c r="AS1332" i="1"/>
  <c r="AR1332" i="1"/>
  <c r="AS1328" i="1"/>
  <c r="AR1328" i="1"/>
  <c r="AS1324" i="1"/>
  <c r="AR1324" i="1"/>
  <c r="AS1320" i="1"/>
  <c r="AR1320" i="1"/>
  <c r="AS1316" i="1"/>
  <c r="AR1316" i="1"/>
  <c r="AS1312" i="1"/>
  <c r="AR1312" i="1"/>
  <c r="AR1308" i="1"/>
  <c r="AS1308" i="1"/>
  <c r="AR1304" i="1"/>
  <c r="AS1304" i="1"/>
  <c r="AR1300" i="1"/>
  <c r="AS1300" i="1"/>
  <c r="AR1296" i="1"/>
  <c r="AS1296" i="1"/>
  <c r="AR1292" i="1"/>
  <c r="AS1292" i="1"/>
  <c r="AR1288" i="1"/>
  <c r="AS1288" i="1"/>
  <c r="AR1284" i="1"/>
  <c r="AS1284" i="1"/>
  <c r="AR1280" i="1"/>
  <c r="AS1280" i="1"/>
  <c r="AR1276" i="1"/>
  <c r="AS1276" i="1"/>
  <c r="AR1272" i="1"/>
  <c r="AS1272" i="1"/>
  <c r="AR1268" i="1"/>
  <c r="AS1268" i="1"/>
  <c r="AS1264" i="1"/>
  <c r="AR1264" i="1"/>
  <c r="AS1260" i="1"/>
  <c r="AR1260" i="1"/>
  <c r="AS1256" i="1"/>
  <c r="AR1256" i="1"/>
  <c r="AR1252" i="1"/>
  <c r="AS1252" i="1"/>
  <c r="AS1248" i="1"/>
  <c r="AR1248" i="1"/>
  <c r="AS1244" i="1"/>
  <c r="AR1244" i="1"/>
  <c r="AS1240" i="1"/>
  <c r="AR1240" i="1"/>
  <c r="AR1236" i="1"/>
  <c r="AS1236" i="1"/>
  <c r="AR1232" i="1"/>
  <c r="AS1232" i="1"/>
  <c r="AS1228" i="1"/>
  <c r="AR1228" i="1"/>
  <c r="AR1224" i="1"/>
  <c r="AS1224" i="1"/>
  <c r="AR1220" i="1"/>
  <c r="AS1220" i="1"/>
  <c r="AR1216" i="1"/>
  <c r="AS1216" i="1"/>
  <c r="AR1212" i="1"/>
  <c r="AS1212" i="1"/>
  <c r="AR1208" i="1"/>
  <c r="AS1208" i="1"/>
  <c r="AR1204" i="1"/>
  <c r="AS1204" i="1"/>
  <c r="AR1200" i="1"/>
  <c r="AS1200" i="1"/>
  <c r="AR1196" i="1"/>
  <c r="AS1196" i="1"/>
  <c r="AR1192" i="1"/>
  <c r="AS1192" i="1"/>
  <c r="AR1188" i="1"/>
  <c r="AS1188" i="1"/>
  <c r="AR1184" i="1"/>
  <c r="AS1184" i="1"/>
  <c r="AR1180" i="1"/>
  <c r="AS1180" i="1"/>
  <c r="AR1176" i="1"/>
  <c r="AS1176" i="1"/>
  <c r="AR1172" i="1"/>
  <c r="AS1172" i="1"/>
  <c r="AR1168" i="1"/>
  <c r="AS1168" i="1"/>
  <c r="AR1164" i="1"/>
  <c r="AS1164" i="1"/>
  <c r="AR1160" i="1"/>
  <c r="AS1160" i="1"/>
  <c r="AR1156" i="1"/>
  <c r="AS1156" i="1"/>
  <c r="AR1152" i="1"/>
  <c r="AS1152" i="1"/>
  <c r="AR1148" i="1"/>
  <c r="AS1148" i="1"/>
  <c r="AR1144" i="1"/>
  <c r="AS1144" i="1"/>
  <c r="AR1140" i="1"/>
  <c r="AS1140" i="1"/>
  <c r="AR1136" i="1"/>
  <c r="AS1136" i="1"/>
  <c r="AR1132" i="1"/>
  <c r="AS1132" i="1"/>
  <c r="AR1128" i="1"/>
  <c r="AS1128" i="1"/>
  <c r="AR1124" i="1"/>
  <c r="AS1124" i="1"/>
  <c r="AR1120" i="1"/>
  <c r="AS1120" i="1"/>
  <c r="AR1116" i="1"/>
  <c r="AS1116" i="1"/>
  <c r="AR1112" i="1"/>
  <c r="AS1112" i="1"/>
  <c r="AR1108" i="1"/>
  <c r="AS1108" i="1"/>
  <c r="AR1104" i="1"/>
  <c r="AS1104" i="1"/>
  <c r="AR1100" i="1"/>
  <c r="AS1100" i="1"/>
  <c r="AR1096" i="1"/>
  <c r="AS1096" i="1"/>
  <c r="AR1092" i="1"/>
  <c r="AS1092" i="1"/>
  <c r="AR1088" i="1"/>
  <c r="AS1088" i="1"/>
  <c r="AR1084" i="1"/>
  <c r="AS1084" i="1"/>
  <c r="AR1080" i="1"/>
  <c r="AS1080" i="1"/>
  <c r="AR1076" i="1"/>
  <c r="AS1076" i="1"/>
  <c r="AR1072" i="1"/>
  <c r="AS1072" i="1"/>
  <c r="AR1068" i="1"/>
  <c r="AS1068" i="1"/>
  <c r="AR1064" i="1"/>
  <c r="AS1064" i="1"/>
  <c r="AR1060" i="1"/>
  <c r="AS1060" i="1"/>
  <c r="AS1056" i="1"/>
  <c r="AR1056" i="1"/>
  <c r="AS1052" i="1"/>
  <c r="AR1052" i="1"/>
  <c r="AS1048" i="1"/>
  <c r="AR1048" i="1"/>
  <c r="AS1044" i="1"/>
  <c r="AR1044" i="1"/>
  <c r="AS1040" i="1"/>
  <c r="AR1040" i="1"/>
  <c r="AS1036" i="1"/>
  <c r="AR1036" i="1"/>
  <c r="AS1032" i="1"/>
  <c r="AR1032" i="1"/>
  <c r="AS1028" i="1"/>
  <c r="AR1028" i="1"/>
  <c r="AS1024" i="1"/>
  <c r="AR1024" i="1"/>
  <c r="AS1020" i="1"/>
  <c r="AR1020" i="1"/>
  <c r="AS1016" i="1"/>
  <c r="AR1016" i="1"/>
  <c r="AS1012" i="1"/>
  <c r="AR1012" i="1"/>
  <c r="AR1008" i="1"/>
  <c r="AS1008" i="1"/>
  <c r="AR1004" i="1"/>
  <c r="AS1004" i="1"/>
  <c r="AR1000" i="1"/>
  <c r="AS1000" i="1"/>
  <c r="AR996" i="1"/>
  <c r="AS996" i="1"/>
  <c r="AR992" i="1"/>
  <c r="AS992" i="1"/>
  <c r="AR988" i="1"/>
  <c r="AS988" i="1"/>
  <c r="AR984" i="1"/>
  <c r="AS984" i="1"/>
  <c r="AR980" i="1"/>
  <c r="AS980" i="1"/>
  <c r="AR976" i="1"/>
  <c r="AS976" i="1"/>
  <c r="AR972" i="1"/>
  <c r="AS972" i="1"/>
  <c r="AR968" i="1"/>
  <c r="AS968" i="1"/>
  <c r="AS964" i="1"/>
  <c r="AR964" i="1"/>
  <c r="AR960" i="1"/>
  <c r="AS960" i="1"/>
  <c r="AR956" i="1"/>
  <c r="AS956" i="1"/>
  <c r="AR952" i="1"/>
  <c r="AS952" i="1"/>
  <c r="AS948" i="1"/>
  <c r="AR948" i="1"/>
  <c r="AR944" i="1"/>
  <c r="AS944" i="1"/>
  <c r="AR940" i="1"/>
  <c r="AS940" i="1"/>
  <c r="AR936" i="1"/>
  <c r="AS936" i="1"/>
  <c r="AS932" i="1"/>
  <c r="AR932" i="1"/>
  <c r="AS928" i="1"/>
  <c r="AR928" i="1"/>
  <c r="AS924" i="1"/>
  <c r="AR924" i="1"/>
  <c r="AR920" i="1"/>
  <c r="AS920" i="1"/>
  <c r="AS916" i="1"/>
  <c r="AR916" i="1"/>
  <c r="AR912" i="1"/>
  <c r="AS912" i="1"/>
  <c r="AS908" i="1"/>
  <c r="AR908" i="1"/>
  <c r="AS904" i="1"/>
  <c r="AR904" i="1"/>
  <c r="AS900" i="1"/>
  <c r="AR900" i="1"/>
  <c r="AS896" i="1"/>
  <c r="AR896" i="1"/>
  <c r="AS892" i="1"/>
  <c r="AR892" i="1"/>
  <c r="AS888" i="1"/>
  <c r="AR888" i="1"/>
  <c r="AR884" i="1"/>
  <c r="AS884" i="1"/>
  <c r="AR880" i="1"/>
  <c r="AS880" i="1"/>
  <c r="AR876" i="1"/>
  <c r="AS876" i="1"/>
  <c r="AS872" i="1"/>
  <c r="AR872" i="1"/>
  <c r="AS868" i="1"/>
  <c r="AR868" i="1"/>
  <c r="AS864" i="1"/>
  <c r="AR864" i="1"/>
  <c r="AS860" i="1"/>
  <c r="AR860" i="1"/>
  <c r="AS856" i="1"/>
  <c r="AR856" i="1"/>
  <c r="AS852" i="1"/>
  <c r="AR852" i="1"/>
  <c r="AS848" i="1"/>
  <c r="AR848" i="1"/>
  <c r="AS844" i="1"/>
  <c r="AR844" i="1"/>
  <c r="AS840" i="1"/>
  <c r="AR840" i="1"/>
  <c r="AS836" i="1"/>
  <c r="AR836" i="1"/>
  <c r="AR832" i="1"/>
  <c r="AS832" i="1"/>
  <c r="AR828" i="1"/>
  <c r="AS828" i="1"/>
  <c r="AR824" i="1"/>
  <c r="AS824" i="1"/>
  <c r="AR820" i="1"/>
  <c r="AS820" i="1"/>
  <c r="AR816" i="1"/>
  <c r="AS816" i="1"/>
  <c r="AR812" i="1"/>
  <c r="AS812" i="1"/>
  <c r="AR808" i="1"/>
  <c r="AS808" i="1"/>
  <c r="AR804" i="1"/>
  <c r="AS804" i="1"/>
  <c r="AR800" i="1"/>
  <c r="AS800" i="1"/>
  <c r="AS796" i="1"/>
  <c r="AR796" i="1"/>
  <c r="AS792" i="1"/>
  <c r="AR792" i="1"/>
  <c r="AS788" i="1"/>
  <c r="AR788" i="1"/>
  <c r="AS784" i="1"/>
  <c r="AR784" i="1"/>
  <c r="AR780" i="1"/>
  <c r="AS780" i="1"/>
  <c r="AS776" i="1"/>
  <c r="AR776" i="1"/>
  <c r="AS772" i="1"/>
  <c r="AR772" i="1"/>
  <c r="AR768" i="1"/>
  <c r="AS768" i="1"/>
  <c r="AR764" i="1"/>
  <c r="AS764" i="1"/>
  <c r="AR760" i="1"/>
  <c r="AS760" i="1"/>
  <c r="AR756" i="1"/>
  <c r="AS756" i="1"/>
  <c r="AR752" i="1"/>
  <c r="AS752" i="1"/>
  <c r="AR748" i="1"/>
  <c r="AS748" i="1"/>
  <c r="AR744" i="1"/>
  <c r="AS744" i="1"/>
  <c r="AR740" i="1"/>
  <c r="AS740" i="1"/>
  <c r="AR736" i="1"/>
  <c r="AS736" i="1"/>
  <c r="AR732" i="1"/>
  <c r="AS732" i="1"/>
  <c r="AR728" i="1"/>
  <c r="AS728" i="1"/>
  <c r="AR724" i="1"/>
  <c r="AS724" i="1"/>
  <c r="AR720" i="1"/>
  <c r="AS720" i="1"/>
  <c r="AR716" i="1"/>
  <c r="AS716" i="1"/>
  <c r="AR712" i="1"/>
  <c r="AS712" i="1"/>
  <c r="AS708" i="1"/>
  <c r="AR708" i="1"/>
  <c r="AR704" i="1"/>
  <c r="AS704" i="1"/>
  <c r="AR700" i="1"/>
  <c r="AS700" i="1"/>
  <c r="AR696" i="1"/>
  <c r="AS696" i="1"/>
  <c r="AS692" i="1"/>
  <c r="AR692" i="1"/>
  <c r="AR688" i="1"/>
  <c r="AS688" i="1"/>
  <c r="AR684" i="1"/>
  <c r="AS684" i="1"/>
  <c r="AR680" i="1"/>
  <c r="AS680" i="1"/>
  <c r="AS676" i="1"/>
  <c r="AR676" i="1"/>
  <c r="AS672" i="1"/>
  <c r="AR672" i="1"/>
  <c r="AS668" i="1"/>
  <c r="AR668" i="1"/>
  <c r="AR664" i="1"/>
  <c r="AS664" i="1"/>
  <c r="AR660" i="1"/>
  <c r="AS660" i="1"/>
  <c r="AR656" i="1"/>
  <c r="AS656" i="1"/>
  <c r="AR652" i="1"/>
  <c r="AS652" i="1"/>
  <c r="AR648" i="1"/>
  <c r="AS648" i="1"/>
  <c r="AR644" i="1"/>
  <c r="AS644" i="1"/>
  <c r="AR640" i="1"/>
  <c r="AS640" i="1"/>
  <c r="AR636" i="1"/>
  <c r="AS636" i="1"/>
  <c r="AR632" i="1"/>
  <c r="AS632" i="1"/>
  <c r="AR628" i="1"/>
  <c r="AS628" i="1"/>
  <c r="AR624" i="1"/>
  <c r="AS624" i="1"/>
  <c r="AS620" i="1"/>
  <c r="AR620" i="1"/>
  <c r="AR616" i="1"/>
  <c r="AS616" i="1"/>
  <c r="AR612" i="1"/>
  <c r="AS612" i="1"/>
  <c r="AR608" i="1"/>
  <c r="AS608" i="1"/>
  <c r="AS604" i="1"/>
  <c r="AR604" i="1"/>
  <c r="AR600" i="1"/>
  <c r="AS600" i="1"/>
  <c r="AR596" i="1"/>
  <c r="AS596" i="1"/>
  <c r="AR592" i="1"/>
  <c r="AS592" i="1"/>
  <c r="AR588" i="1"/>
  <c r="AS588" i="1"/>
  <c r="AS584" i="1"/>
  <c r="AR584" i="1"/>
  <c r="AR580" i="1"/>
  <c r="AS580" i="1"/>
  <c r="AR576" i="1"/>
  <c r="AS576" i="1"/>
  <c r="AR572" i="1"/>
  <c r="AS572" i="1"/>
  <c r="AS568" i="1"/>
  <c r="AR568" i="1"/>
  <c r="AR564" i="1"/>
  <c r="AS564" i="1"/>
  <c r="AR560" i="1"/>
  <c r="AS560" i="1"/>
  <c r="AR556" i="1"/>
  <c r="AS556" i="1"/>
  <c r="AS552" i="1"/>
  <c r="AR552" i="1"/>
  <c r="AR548" i="1"/>
  <c r="AS548" i="1"/>
  <c r="AR544" i="1"/>
  <c r="AS544" i="1"/>
  <c r="AR540" i="1"/>
  <c r="AS540" i="1"/>
  <c r="AS536" i="1"/>
  <c r="AR536" i="1"/>
  <c r="AR532" i="1"/>
  <c r="AS532" i="1"/>
  <c r="AR528" i="1"/>
  <c r="AS528" i="1"/>
  <c r="AR524" i="1"/>
  <c r="AS524" i="1"/>
  <c r="AR520" i="1"/>
  <c r="AS520" i="1"/>
  <c r="AR516" i="1"/>
  <c r="AS516" i="1"/>
  <c r="AS512" i="1"/>
  <c r="AR512" i="1"/>
  <c r="AS508" i="1"/>
  <c r="AR508" i="1"/>
  <c r="AR504" i="1"/>
  <c r="AS504" i="1"/>
  <c r="AR500" i="1"/>
  <c r="AS500" i="1"/>
  <c r="AR496" i="1"/>
  <c r="AS496" i="1"/>
  <c r="AS492" i="1"/>
  <c r="AR492" i="1"/>
  <c r="AR488" i="1"/>
  <c r="AS488" i="1"/>
  <c r="AR484" i="1"/>
  <c r="AS484" i="1"/>
  <c r="AR480" i="1"/>
  <c r="AS480" i="1"/>
  <c r="AS476" i="1"/>
  <c r="AR476" i="1"/>
  <c r="AR472" i="1"/>
  <c r="AS472" i="1"/>
  <c r="AR468" i="1"/>
  <c r="AS468" i="1"/>
  <c r="AR464" i="1"/>
  <c r="AS464" i="1"/>
  <c r="AS460" i="1"/>
  <c r="AR460" i="1"/>
  <c r="AR456" i="1"/>
  <c r="AS456" i="1"/>
  <c r="AR452" i="1"/>
  <c r="AS452" i="1"/>
  <c r="AS444" i="1"/>
  <c r="AR444" i="1"/>
  <c r="AS436" i="1"/>
  <c r="AR436" i="1"/>
  <c r="AS428" i="1"/>
  <c r="AR428" i="1"/>
  <c r="AR236" i="1"/>
  <c r="AS236" i="1"/>
  <c r="AR228" i="1"/>
  <c r="AS228" i="1"/>
  <c r="AR224" i="1"/>
  <c r="AS224" i="1"/>
  <c r="AR220" i="1"/>
  <c r="AS220" i="1"/>
  <c r="AR216" i="1"/>
  <c r="AS216" i="1"/>
  <c r="AR212" i="1"/>
  <c r="AS212" i="1"/>
  <c r="AR188" i="1"/>
  <c r="AS188" i="1"/>
  <c r="AR184" i="1"/>
  <c r="AS184" i="1"/>
  <c r="AR180" i="1"/>
  <c r="AS180" i="1"/>
  <c r="AR176" i="1"/>
  <c r="AS176" i="1"/>
  <c r="AS172" i="1"/>
  <c r="AR172" i="1"/>
  <c r="AR164" i="1"/>
  <c r="AS164" i="1"/>
  <c r="AR160" i="1"/>
  <c r="AS160" i="1"/>
  <c r="AR156" i="1"/>
  <c r="AS156" i="1"/>
  <c r="AR152" i="1"/>
  <c r="AS152" i="1"/>
  <c r="AR148" i="1"/>
  <c r="AS148" i="1"/>
  <c r="AR144" i="1"/>
  <c r="AS144" i="1"/>
  <c r="AR140" i="1"/>
  <c r="AS140" i="1"/>
  <c r="AS136" i="1"/>
  <c r="AR136" i="1"/>
  <c r="AR132" i="1"/>
  <c r="AS132" i="1"/>
  <c r="AR128" i="1"/>
  <c r="AS128" i="1"/>
  <c r="AR124" i="1"/>
  <c r="AS124" i="1"/>
  <c r="AR120" i="1"/>
  <c r="AS120" i="1"/>
  <c r="AS116" i="1"/>
  <c r="AR116" i="1"/>
  <c r="AS112" i="1"/>
  <c r="AR112" i="1"/>
  <c r="AS108" i="1"/>
  <c r="AR108" i="1"/>
  <c r="AS104" i="1"/>
  <c r="AR104" i="1"/>
  <c r="AS100" i="1"/>
  <c r="AR100" i="1"/>
  <c r="AR96" i="1"/>
  <c r="AS96" i="1"/>
  <c r="AS92" i="1"/>
  <c r="AR92" i="1"/>
  <c r="AS88" i="1"/>
  <c r="AR88" i="1"/>
  <c r="AS84" i="1"/>
  <c r="AR84" i="1"/>
  <c r="AS80" i="1"/>
  <c r="AR80" i="1"/>
  <c r="AS76" i="1"/>
  <c r="AR76" i="1"/>
  <c r="AS72" i="1"/>
  <c r="AR72" i="1"/>
  <c r="AS68" i="1"/>
  <c r="AR68" i="1"/>
  <c r="AS64" i="1"/>
  <c r="AR64" i="1"/>
  <c r="AS60" i="1"/>
  <c r="AR60" i="1"/>
  <c r="AS56" i="1"/>
  <c r="AR56" i="1"/>
  <c r="AS52" i="1"/>
  <c r="AR52" i="1"/>
  <c r="AS48" i="1"/>
  <c r="AR48" i="1"/>
  <c r="AS44" i="1"/>
  <c r="AR44" i="1"/>
  <c r="AS40" i="1"/>
  <c r="AR40" i="1"/>
  <c r="AS36" i="1"/>
  <c r="AR36" i="1"/>
  <c r="AS32" i="1"/>
  <c r="AR32" i="1"/>
  <c r="AS28" i="1"/>
  <c r="AR28" i="1"/>
  <c r="AS24" i="1"/>
  <c r="AR24" i="1"/>
  <c r="AS20" i="1"/>
  <c r="AR20" i="1"/>
  <c r="AS16" i="1"/>
  <c r="AR16" i="1"/>
  <c r="AS12" i="1"/>
  <c r="AR12" i="1"/>
  <c r="AS8" i="1"/>
  <c r="AR8" i="1"/>
  <c r="AS4" i="1"/>
  <c r="AR4" i="1"/>
  <c r="AP1476" i="1"/>
  <c r="AP1417" i="1"/>
  <c r="AP1405" i="1"/>
  <c r="AP1337" i="1"/>
  <c r="AP1128" i="1"/>
  <c r="AO1093" i="1"/>
  <c r="AP1093" i="1"/>
  <c r="AP1036" i="1"/>
  <c r="AO1036" i="1"/>
  <c r="AP1028" i="1"/>
  <c r="AP1004" i="1"/>
  <c r="AO1004" i="1"/>
  <c r="AO853" i="1"/>
  <c r="AP853" i="1"/>
  <c r="AP745" i="1"/>
  <c r="AO745" i="1"/>
  <c r="AP671" i="1"/>
  <c r="AO671" i="1"/>
  <c r="AO623" i="1"/>
  <c r="AP623" i="1"/>
  <c r="AP463" i="1"/>
  <c r="AO463" i="1"/>
  <c r="AP328" i="1"/>
  <c r="AO328" i="1"/>
  <c r="AP298" i="1"/>
  <c r="AO298" i="1"/>
  <c r="AP260" i="1"/>
  <c r="AO260" i="1"/>
  <c r="AP238" i="1"/>
  <c r="AO238" i="1"/>
  <c r="AO191" i="1"/>
  <c r="AP191" i="1"/>
  <c r="AR3" i="1"/>
  <c r="AS3" i="1"/>
  <c r="AS1554" i="1"/>
  <c r="AR1554" i="1"/>
  <c r="AS1534" i="1"/>
  <c r="AR1534" i="1"/>
  <c r="AS1522" i="1"/>
  <c r="AR1522" i="1"/>
  <c r="AS1506" i="1"/>
  <c r="AR1506" i="1"/>
  <c r="AS1486" i="1"/>
  <c r="AR1486" i="1"/>
  <c r="AS1474" i="1"/>
  <c r="AR1474" i="1"/>
  <c r="AS1458" i="1"/>
  <c r="AR1458" i="1"/>
  <c r="AS1442" i="1"/>
  <c r="AR1442" i="1"/>
  <c r="AS1426" i="1"/>
  <c r="AR1426" i="1"/>
  <c r="AS1414" i="1"/>
  <c r="AR1414" i="1"/>
  <c r="AS1386" i="1"/>
  <c r="AR1386" i="1"/>
  <c r="AS1568" i="1"/>
  <c r="AR1568" i="1"/>
  <c r="AS447" i="1"/>
  <c r="AR447" i="1"/>
  <c r="AS439" i="1"/>
  <c r="AR439" i="1"/>
  <c r="AS431" i="1"/>
  <c r="AR431" i="1"/>
  <c r="AS411" i="1"/>
  <c r="AR411" i="1"/>
  <c r="AS407" i="1"/>
  <c r="AR407" i="1"/>
  <c r="AS403" i="1"/>
  <c r="AR403" i="1"/>
  <c r="AS399" i="1"/>
  <c r="AR399" i="1"/>
  <c r="AS395" i="1"/>
  <c r="AR395" i="1"/>
  <c r="AS387" i="1"/>
  <c r="AR387" i="1"/>
  <c r="AS323" i="1"/>
  <c r="AR323" i="1"/>
  <c r="AS311" i="1"/>
  <c r="AR311" i="1"/>
  <c r="AS303" i="1"/>
  <c r="AR303" i="1"/>
  <c r="AS299" i="1"/>
  <c r="AR299" i="1"/>
  <c r="AS295" i="1"/>
  <c r="AR295" i="1"/>
  <c r="AR235" i="1"/>
  <c r="AS235" i="1"/>
  <c r="AS231" i="1"/>
  <c r="AR231" i="1"/>
  <c r="AS227" i="1"/>
  <c r="AR227" i="1"/>
  <c r="AS223" i="1"/>
  <c r="AR223" i="1"/>
  <c r="AS219" i="1"/>
  <c r="AR219" i="1"/>
  <c r="AR215" i="1"/>
  <c r="AS215" i="1"/>
  <c r="AR211" i="1"/>
  <c r="AS211" i="1"/>
  <c r="AR207" i="1"/>
  <c r="AS207" i="1"/>
  <c r="AR203" i="1"/>
  <c r="AS203" i="1"/>
  <c r="AR199" i="1"/>
  <c r="AS199" i="1"/>
  <c r="AR195" i="1"/>
  <c r="AS195" i="1"/>
  <c r="AR191" i="1"/>
  <c r="AS191" i="1"/>
  <c r="AR187" i="1"/>
  <c r="AS187" i="1"/>
  <c r="AR183" i="1"/>
  <c r="AS183" i="1"/>
  <c r="AR179" i="1"/>
  <c r="AS179" i="1"/>
  <c r="AR175" i="1"/>
  <c r="AS175" i="1"/>
  <c r="AR171" i="1"/>
  <c r="AS171" i="1"/>
  <c r="AR167" i="1"/>
  <c r="AS167" i="1"/>
  <c r="AR163" i="1"/>
  <c r="AS163" i="1"/>
  <c r="AR159" i="1"/>
  <c r="AS159" i="1"/>
  <c r="AR155" i="1"/>
  <c r="AS155" i="1"/>
  <c r="AR151" i="1"/>
  <c r="AS151" i="1"/>
  <c r="AR147" i="1"/>
  <c r="AS147" i="1"/>
  <c r="AS143" i="1"/>
  <c r="AR143" i="1"/>
  <c r="AR139" i="1"/>
  <c r="AS139" i="1"/>
  <c r="AR135" i="1"/>
  <c r="AS135" i="1"/>
  <c r="AR131" i="1"/>
  <c r="AS131" i="1"/>
  <c r="AR127" i="1"/>
  <c r="AS127" i="1"/>
  <c r="AR123" i="1"/>
  <c r="AS123" i="1"/>
  <c r="AR119" i="1"/>
  <c r="AS119" i="1"/>
  <c r="AR115" i="1"/>
  <c r="AS115" i="1"/>
  <c r="AR111" i="1"/>
  <c r="AS111" i="1"/>
  <c r="AR107" i="1"/>
  <c r="AS107" i="1"/>
  <c r="AR103" i="1"/>
  <c r="AS103" i="1"/>
  <c r="AR99" i="1"/>
  <c r="AS99" i="1"/>
  <c r="AR95" i="1"/>
  <c r="AS95" i="1"/>
  <c r="AR91" i="1"/>
  <c r="AS91" i="1"/>
  <c r="AR87" i="1"/>
  <c r="AS87" i="1"/>
  <c r="AR83" i="1"/>
  <c r="AS83" i="1"/>
  <c r="AR79" i="1"/>
  <c r="AS79" i="1"/>
  <c r="AR75" i="1"/>
  <c r="AS75" i="1"/>
  <c r="AR71" i="1"/>
  <c r="AS71" i="1"/>
  <c r="AR67" i="1"/>
  <c r="AS67" i="1"/>
  <c r="AR63" i="1"/>
  <c r="AS63" i="1"/>
  <c r="AR59" i="1"/>
  <c r="AS59" i="1"/>
  <c r="AR55" i="1"/>
  <c r="AS55" i="1"/>
  <c r="AR51" i="1"/>
  <c r="AS51" i="1"/>
  <c r="AR47" i="1"/>
  <c r="AS47" i="1"/>
  <c r="AR43" i="1"/>
  <c r="AS43" i="1"/>
  <c r="AR39" i="1"/>
  <c r="AS39" i="1"/>
  <c r="AR35" i="1"/>
  <c r="AS35" i="1"/>
  <c r="AR31" i="1"/>
  <c r="AS31" i="1"/>
  <c r="AR27" i="1"/>
  <c r="AS27" i="1"/>
  <c r="AR23" i="1"/>
  <c r="AS23" i="1"/>
  <c r="AR19" i="1"/>
  <c r="AS19" i="1"/>
  <c r="AR15" i="1"/>
  <c r="AS15" i="1"/>
  <c r="AR11" i="1"/>
  <c r="AS11" i="1"/>
  <c r="AR7" i="1"/>
  <c r="AS7" i="1"/>
  <c r="AO1556" i="1"/>
  <c r="AP1553" i="1"/>
  <c r="AP1544" i="1"/>
  <c r="AP1528" i="1"/>
  <c r="AO1520" i="1"/>
  <c r="AP1517" i="1"/>
  <c r="AO1504" i="1"/>
  <c r="AP1501" i="1"/>
  <c r="AO1448" i="1"/>
  <c r="AP1445" i="1"/>
  <c r="AO1428" i="1"/>
  <c r="AO1419" i="1"/>
  <c r="AO1388" i="1"/>
  <c r="AO1375" i="1"/>
  <c r="AO1345" i="1"/>
  <c r="AP1309" i="1"/>
  <c r="AO1271" i="1"/>
  <c r="AP1256" i="1"/>
  <c r="AO1253" i="1"/>
  <c r="AO1244" i="1"/>
  <c r="AP1241" i="1"/>
  <c r="AP1236" i="1"/>
  <c r="AO1196" i="1"/>
  <c r="AP1156" i="1"/>
  <c r="AO1139" i="1"/>
  <c r="AO1134" i="1"/>
  <c r="AO1102" i="1"/>
  <c r="AP1095" i="1"/>
  <c r="AP1070" i="1"/>
  <c r="AO1070" i="1"/>
  <c r="AO1052" i="1"/>
  <c r="AO1038" i="1"/>
  <c r="AO1006" i="1"/>
  <c r="AO993" i="1"/>
  <c r="AP993" i="1"/>
  <c r="AO989" i="1"/>
  <c r="AP989" i="1"/>
  <c r="AO985" i="1"/>
  <c r="AP985" i="1"/>
  <c r="AO981" i="1"/>
  <c r="AP981" i="1"/>
  <c r="AO977" i="1"/>
  <c r="AP977" i="1"/>
  <c r="AO969" i="1"/>
  <c r="AP969" i="1"/>
  <c r="AO961" i="1"/>
  <c r="AP961" i="1"/>
  <c r="AO953" i="1"/>
  <c r="AP953" i="1"/>
  <c r="AO945" i="1"/>
  <c r="AP945" i="1"/>
  <c r="AO937" i="1"/>
  <c r="AP937" i="1"/>
  <c r="AO929" i="1"/>
  <c r="AP929" i="1"/>
  <c r="AO921" i="1"/>
  <c r="AP921" i="1"/>
  <c r="AO913" i="1"/>
  <c r="AP913" i="1"/>
  <c r="AO905" i="1"/>
  <c r="AP905" i="1"/>
  <c r="AO897" i="1"/>
  <c r="AP897" i="1"/>
  <c r="AO889" i="1"/>
  <c r="AP889" i="1"/>
  <c r="AP856" i="1"/>
  <c r="AO856" i="1"/>
  <c r="AP787" i="1"/>
  <c r="AO787" i="1"/>
  <c r="AO679" i="1"/>
  <c r="AP679" i="1"/>
  <c r="AO635" i="1"/>
  <c r="AP635" i="1"/>
  <c r="AP597" i="1"/>
  <c r="AO597" i="1"/>
  <c r="AO488" i="1"/>
  <c r="AP488" i="1"/>
  <c r="AP346" i="1"/>
  <c r="AO346" i="1"/>
  <c r="AP312" i="1"/>
  <c r="AO312" i="1"/>
  <c r="AP276" i="1"/>
  <c r="AO276" i="1"/>
  <c r="AP244" i="1"/>
  <c r="AO244" i="1"/>
  <c r="AP220" i="1"/>
  <c r="AO220" i="1"/>
  <c r="AP194" i="1"/>
  <c r="AO194" i="1"/>
  <c r="AO92" i="1"/>
  <c r="AO66" i="1"/>
  <c r="AP63" i="1"/>
  <c r="AO50" i="1"/>
  <c r="AP47" i="1"/>
  <c r="AO34" i="1"/>
  <c r="AP31" i="1"/>
  <c r="AP127" i="1"/>
  <c r="AP108" i="1"/>
  <c r="AP94" i="1"/>
  <c r="AP54" i="1"/>
  <c r="AP22" i="1"/>
  <c r="AO976" i="1"/>
  <c r="AP973" i="1"/>
  <c r="AO968" i="1"/>
  <c r="AP965" i="1"/>
  <c r="AO960" i="1"/>
  <c r="AP957" i="1"/>
  <c r="AO952" i="1"/>
  <c r="AP949" i="1"/>
  <c r="AO944" i="1"/>
  <c r="AP941" i="1"/>
  <c r="AO936" i="1"/>
  <c r="AP933" i="1"/>
  <c r="AO928" i="1"/>
  <c r="AP925" i="1"/>
  <c r="AO920" i="1"/>
  <c r="AP917" i="1"/>
  <c r="AO912" i="1"/>
  <c r="AP909" i="1"/>
  <c r="AO904" i="1"/>
  <c r="AP901" i="1"/>
  <c r="AO896" i="1"/>
  <c r="AP893" i="1"/>
  <c r="AP877" i="1"/>
  <c r="AO864" i="1"/>
  <c r="AO782" i="1"/>
  <c r="AO761" i="1"/>
  <c r="AO749" i="1"/>
  <c r="AP520" i="1"/>
  <c r="AP409" i="1"/>
  <c r="AO396" i="1"/>
  <c r="AP393" i="1"/>
  <c r="AP380" i="1"/>
  <c r="AO250" i="1"/>
  <c r="AO232" i="1"/>
  <c r="AO216" i="1"/>
  <c r="AR1263" i="1"/>
  <c r="AS1263" i="1"/>
  <c r="AR1239" i="1"/>
  <c r="AS1239" i="1"/>
  <c r="AR1227" i="1"/>
  <c r="AS1227" i="1"/>
  <c r="AR1223" i="1"/>
  <c r="AS1223" i="1"/>
  <c r="AR1219" i="1"/>
  <c r="AS1219" i="1"/>
  <c r="AR1215" i="1"/>
  <c r="AS1215" i="1"/>
  <c r="AR1211" i="1"/>
  <c r="AS1211" i="1"/>
  <c r="AR1207" i="1"/>
  <c r="AS1207" i="1"/>
  <c r="AR1203" i="1"/>
  <c r="AS1203" i="1"/>
  <c r="AR1199" i="1"/>
  <c r="AS1199" i="1"/>
  <c r="AR1195" i="1"/>
  <c r="AS1195" i="1"/>
  <c r="AR1191" i="1"/>
  <c r="AS1191" i="1"/>
  <c r="AR1187" i="1"/>
  <c r="AS1187" i="1"/>
  <c r="AR1183" i="1"/>
  <c r="AS1183" i="1"/>
  <c r="AR1179" i="1"/>
  <c r="AS1179" i="1"/>
  <c r="AR1175" i="1"/>
  <c r="AS1175" i="1"/>
  <c r="AR1171" i="1"/>
  <c r="AS1171" i="1"/>
  <c r="AR1167" i="1"/>
  <c r="AS1167" i="1"/>
  <c r="AR1163" i="1"/>
  <c r="AS1163" i="1"/>
  <c r="AR1159" i="1"/>
  <c r="AS1159" i="1"/>
  <c r="AR1155" i="1"/>
  <c r="AS1155" i="1"/>
  <c r="AR1151" i="1"/>
  <c r="AS1151" i="1"/>
  <c r="AR1147" i="1"/>
  <c r="AS1147" i="1"/>
  <c r="AR1143" i="1"/>
  <c r="AS1143" i="1"/>
  <c r="AR1139" i="1"/>
  <c r="AS1139" i="1"/>
  <c r="AR1135" i="1"/>
  <c r="AS1135" i="1"/>
  <c r="AR1131" i="1"/>
  <c r="AS1131" i="1"/>
  <c r="AR1127" i="1"/>
  <c r="AS1127" i="1"/>
  <c r="AR1123" i="1"/>
  <c r="AS1123" i="1"/>
  <c r="AR1119" i="1"/>
  <c r="AS1119" i="1"/>
  <c r="AR1115" i="1"/>
  <c r="AS1115" i="1"/>
  <c r="AR1111" i="1"/>
  <c r="AS1111" i="1"/>
  <c r="AR1107" i="1"/>
  <c r="AS1107" i="1"/>
  <c r="AR1103" i="1"/>
  <c r="AS1103" i="1"/>
  <c r="AR1099" i="1"/>
  <c r="AS1099" i="1"/>
  <c r="AR1095" i="1"/>
  <c r="AS1095" i="1"/>
  <c r="AR1091" i="1"/>
  <c r="AS1091" i="1"/>
  <c r="AR1087" i="1"/>
  <c r="AS1087" i="1"/>
  <c r="AR1083" i="1"/>
  <c r="AS1083" i="1"/>
  <c r="AR1079" i="1"/>
  <c r="AS1079" i="1"/>
  <c r="AR1075" i="1"/>
  <c r="AS1075" i="1"/>
  <c r="AR1071" i="1"/>
  <c r="AS1071" i="1"/>
  <c r="AR1067" i="1"/>
  <c r="AS1067" i="1"/>
  <c r="AR1063" i="1"/>
  <c r="AS1063" i="1"/>
  <c r="AR1059" i="1"/>
  <c r="AS1059" i="1"/>
  <c r="AR1055" i="1"/>
  <c r="AS1055" i="1"/>
  <c r="AR1051" i="1"/>
  <c r="AS1051" i="1"/>
  <c r="AR1047" i="1"/>
  <c r="AS1047" i="1"/>
  <c r="AR1043" i="1"/>
  <c r="AS1043" i="1"/>
  <c r="AR1039" i="1"/>
  <c r="AS1039" i="1"/>
  <c r="AR1035" i="1"/>
  <c r="AS1035" i="1"/>
  <c r="AR1031" i="1"/>
  <c r="AS1031" i="1"/>
  <c r="AR1027" i="1"/>
  <c r="AS1027" i="1"/>
  <c r="AR1023" i="1"/>
  <c r="AS1023" i="1"/>
  <c r="AR1019" i="1"/>
  <c r="AS1019" i="1"/>
  <c r="AR1015" i="1"/>
  <c r="AS1015" i="1"/>
  <c r="AR1011" i="1"/>
  <c r="AS1011" i="1"/>
  <c r="AR1007" i="1"/>
  <c r="AS1007" i="1"/>
  <c r="AR1003" i="1"/>
  <c r="AS1003" i="1"/>
  <c r="AR999" i="1"/>
  <c r="AS999" i="1"/>
  <c r="AR995" i="1"/>
  <c r="AS995" i="1"/>
  <c r="AR991" i="1"/>
  <c r="AS991" i="1"/>
  <c r="AR987" i="1"/>
  <c r="AS987" i="1"/>
  <c r="AR983" i="1"/>
  <c r="AS983" i="1"/>
  <c r="AR979" i="1"/>
  <c r="AS979" i="1"/>
  <c r="AR975" i="1"/>
  <c r="AS975" i="1"/>
  <c r="AR971" i="1"/>
  <c r="AS971" i="1"/>
  <c r="AR967" i="1"/>
  <c r="AS967" i="1"/>
  <c r="AR951" i="1"/>
  <c r="AS951" i="1"/>
  <c r="AR935" i="1"/>
  <c r="AS935" i="1"/>
  <c r="AR911" i="1"/>
  <c r="AS911" i="1"/>
  <c r="AR895" i="1"/>
  <c r="AS895" i="1"/>
  <c r="AR891" i="1"/>
  <c r="AS891" i="1"/>
  <c r="AR887" i="1"/>
  <c r="AS887" i="1"/>
  <c r="AR883" i="1"/>
  <c r="AS883" i="1"/>
  <c r="AR827" i="1"/>
  <c r="AS827" i="1"/>
  <c r="AR823" i="1"/>
  <c r="AS823" i="1"/>
  <c r="AR819" i="1"/>
  <c r="AS819" i="1"/>
  <c r="AR815" i="1"/>
  <c r="AS815" i="1"/>
  <c r="AR811" i="1"/>
  <c r="AS811" i="1"/>
  <c r="AR807" i="1"/>
  <c r="AS807" i="1"/>
  <c r="AR803" i="1"/>
  <c r="AS803" i="1"/>
  <c r="AR799" i="1"/>
  <c r="AS799" i="1"/>
  <c r="AR767" i="1"/>
  <c r="AS767" i="1"/>
  <c r="AR763" i="1"/>
  <c r="AS763" i="1"/>
  <c r="AR759" i="1"/>
  <c r="AS759" i="1"/>
  <c r="AR1247" i="1"/>
  <c r="AS1247" i="1"/>
  <c r="AR1243" i="1"/>
  <c r="AS1243" i="1"/>
  <c r="AR1235" i="1"/>
  <c r="AS1235" i="1"/>
  <c r="AR1231" i="1"/>
  <c r="AS1231" i="1"/>
  <c r="AS1567" i="1"/>
  <c r="AS1563" i="1"/>
  <c r="AS1559" i="1"/>
  <c r="AS1555" i="1"/>
  <c r="AS1551" i="1"/>
  <c r="AS1547" i="1"/>
  <c r="AS1543" i="1"/>
  <c r="AS1539" i="1"/>
  <c r="AS1535" i="1"/>
  <c r="AS1531" i="1"/>
  <c r="AS1527" i="1"/>
  <c r="AS1523" i="1"/>
  <c r="AS1519" i="1"/>
  <c r="AS1515" i="1"/>
  <c r="AS1511" i="1"/>
  <c r="AS1507" i="1"/>
  <c r="AS1503" i="1"/>
  <c r="AS1499" i="1"/>
  <c r="AS1495" i="1"/>
  <c r="AS1491" i="1"/>
  <c r="AS1487" i="1"/>
  <c r="AS1483" i="1"/>
  <c r="AS1479" i="1"/>
  <c r="AS1475" i="1"/>
  <c r="AS1471" i="1"/>
  <c r="AS1467" i="1"/>
  <c r="AS1463" i="1"/>
  <c r="AS1459" i="1"/>
  <c r="AS1455" i="1"/>
  <c r="AS1451" i="1"/>
  <c r="AS1447" i="1"/>
  <c r="AS1443" i="1"/>
  <c r="AS1439" i="1"/>
  <c r="AS1435" i="1"/>
  <c r="AS1431" i="1"/>
  <c r="AS1427" i="1"/>
  <c r="AS1423" i="1"/>
  <c r="AS1419" i="1"/>
  <c r="AS1415" i="1"/>
  <c r="AS1411" i="1"/>
  <c r="AS1407" i="1"/>
  <c r="AS1403" i="1"/>
  <c r="AS1399" i="1"/>
  <c r="AS1395" i="1"/>
  <c r="AS1391" i="1"/>
  <c r="AS1387" i="1"/>
  <c r="AS1383" i="1"/>
  <c r="AS1379" i="1"/>
  <c r="AS1375" i="1"/>
  <c r="AS1371" i="1"/>
  <c r="AS1367" i="1"/>
  <c r="AS1363" i="1"/>
  <c r="AS1359" i="1"/>
  <c r="AS1355" i="1"/>
  <c r="AS1351" i="1"/>
  <c r="AS1347" i="1"/>
  <c r="AS1343" i="1"/>
  <c r="AS1339" i="1"/>
  <c r="AS1335" i="1"/>
  <c r="AS1331" i="1"/>
  <c r="AS1327" i="1"/>
  <c r="AS1323" i="1"/>
  <c r="AS1319" i="1"/>
  <c r="AS1315" i="1"/>
  <c r="AS1311" i="1"/>
  <c r="AS1307" i="1"/>
  <c r="AS1303" i="1"/>
  <c r="AS1299" i="1"/>
  <c r="AS1295" i="1"/>
  <c r="AS1291" i="1"/>
  <c r="AS1287" i="1"/>
  <c r="AS1283" i="1"/>
  <c r="AS1279" i="1"/>
  <c r="AS1275" i="1"/>
  <c r="AS1271" i="1"/>
  <c r="AS1267" i="1"/>
  <c r="AR1251" i="1"/>
  <c r="AS1251" i="1"/>
  <c r="AR1259" i="1"/>
  <c r="AS1259" i="1"/>
  <c r="AR1255" i="1"/>
  <c r="AS1255" i="1"/>
  <c r="AS1262" i="1"/>
  <c r="AS1254" i="1"/>
  <c r="AR966" i="1"/>
  <c r="AS966" i="1"/>
  <c r="AR955" i="1"/>
  <c r="AS955" i="1"/>
  <c r="AR939" i="1"/>
  <c r="AS939" i="1"/>
  <c r="AR915" i="1"/>
  <c r="AS915" i="1"/>
  <c r="AR899" i="1"/>
  <c r="AS899" i="1"/>
  <c r="AR863" i="1"/>
  <c r="AS863" i="1"/>
  <c r="AR859" i="1"/>
  <c r="AS859" i="1"/>
  <c r="AR855" i="1"/>
  <c r="AS855" i="1"/>
  <c r="AR851" i="1"/>
  <c r="AS851" i="1"/>
  <c r="AR847" i="1"/>
  <c r="AS847" i="1"/>
  <c r="AR839" i="1"/>
  <c r="AS839" i="1"/>
  <c r="AR755" i="1"/>
  <c r="AS755" i="1"/>
  <c r="AR751" i="1"/>
  <c r="AS751" i="1"/>
  <c r="AR747" i="1"/>
  <c r="AS747" i="1"/>
  <c r="AR743" i="1"/>
  <c r="AS743" i="1"/>
  <c r="AR739" i="1"/>
  <c r="AS739" i="1"/>
  <c r="AR959" i="1"/>
  <c r="AS959" i="1"/>
  <c r="AR943" i="1"/>
  <c r="AS943" i="1"/>
  <c r="AR927" i="1"/>
  <c r="AS927" i="1"/>
  <c r="AR923" i="1"/>
  <c r="AS923" i="1"/>
  <c r="AR919" i="1"/>
  <c r="AS919" i="1"/>
  <c r="AR903" i="1"/>
  <c r="AS903" i="1"/>
  <c r="AR843" i="1"/>
  <c r="AS843" i="1"/>
  <c r="AR835" i="1"/>
  <c r="AS835" i="1"/>
  <c r="AR963" i="1"/>
  <c r="AS963" i="1"/>
  <c r="AR947" i="1"/>
  <c r="AS947" i="1"/>
  <c r="AR931" i="1"/>
  <c r="AS931" i="1"/>
  <c r="AR907" i="1"/>
  <c r="AS907" i="1"/>
  <c r="AR879" i="1"/>
  <c r="AS879" i="1"/>
  <c r="AR875" i="1"/>
  <c r="AS875" i="1"/>
  <c r="AR871" i="1"/>
  <c r="AS871" i="1"/>
  <c r="AR867" i="1"/>
  <c r="AS867" i="1"/>
  <c r="AR831" i="1"/>
  <c r="AS831" i="1"/>
  <c r="AR795" i="1"/>
  <c r="AS795" i="1"/>
  <c r="AR791" i="1"/>
  <c r="AS791" i="1"/>
  <c r="AR787" i="1"/>
  <c r="AS787" i="1"/>
  <c r="AR783" i="1"/>
  <c r="AS783" i="1"/>
  <c r="AR779" i="1"/>
  <c r="AS779" i="1"/>
  <c r="AR775" i="1"/>
  <c r="AS775" i="1"/>
  <c r="AR771" i="1"/>
  <c r="AS771" i="1"/>
  <c r="AS962" i="1"/>
  <c r="AS958" i="1"/>
  <c r="AS954" i="1"/>
  <c r="AS950" i="1"/>
  <c r="AS946" i="1"/>
  <c r="AS942" i="1"/>
  <c r="AS938" i="1"/>
  <c r="AS934" i="1"/>
  <c r="AS930" i="1"/>
  <c r="AS914" i="1"/>
  <c r="AS910" i="1"/>
  <c r="AS906" i="1"/>
  <c r="AS882" i="1"/>
  <c r="AS878" i="1"/>
  <c r="AS866" i="1"/>
  <c r="AR416" i="1"/>
  <c r="AS416" i="1"/>
  <c r="AR376" i="1"/>
  <c r="AS376" i="1"/>
  <c r="AR360" i="1"/>
  <c r="AS360" i="1"/>
  <c r="AR344" i="1"/>
  <c r="AS344" i="1"/>
  <c r="AR328" i="1"/>
  <c r="AS328" i="1"/>
  <c r="AR304" i="1"/>
  <c r="AS304" i="1"/>
  <c r="AR300" i="1"/>
  <c r="AS300" i="1"/>
  <c r="AR296" i="1"/>
  <c r="AS296" i="1"/>
  <c r="AR292" i="1"/>
  <c r="AS292" i="1"/>
  <c r="AR276" i="1"/>
  <c r="AS276" i="1"/>
  <c r="AR260" i="1"/>
  <c r="AS260" i="1"/>
  <c r="AR244" i="1"/>
  <c r="AS244" i="1"/>
  <c r="AR209" i="1"/>
  <c r="AS209" i="1"/>
  <c r="AR193" i="1"/>
  <c r="AS193" i="1"/>
  <c r="AR173" i="1"/>
  <c r="AS173" i="1"/>
  <c r="AR141" i="1"/>
  <c r="AS141" i="1"/>
  <c r="AR133" i="1"/>
  <c r="AS133" i="1"/>
  <c r="AR129" i="1"/>
  <c r="AS129" i="1"/>
  <c r="AR125" i="1"/>
  <c r="AS125" i="1"/>
  <c r="AR121" i="1"/>
  <c r="AS121" i="1"/>
  <c r="AR101" i="1"/>
  <c r="AS101" i="1"/>
  <c r="AR93" i="1"/>
  <c r="AS93" i="1"/>
  <c r="AR89" i="1"/>
  <c r="AS89" i="1"/>
  <c r="AS710" i="1"/>
  <c r="AS706" i="1"/>
  <c r="AS702" i="1"/>
  <c r="AS698" i="1"/>
  <c r="AS694" i="1"/>
  <c r="AS690" i="1"/>
  <c r="AS686" i="1"/>
  <c r="AS682" i="1"/>
  <c r="AS678" i="1"/>
  <c r="AS666" i="1"/>
  <c r="AS658" i="1"/>
  <c r="AS626" i="1"/>
  <c r="AS622" i="1"/>
  <c r="AS618" i="1"/>
  <c r="AS614" i="1"/>
  <c r="AS610" i="1"/>
  <c r="AS606" i="1"/>
  <c r="AS602" i="1"/>
  <c r="AS594" i="1"/>
  <c r="AS590" i="1"/>
  <c r="AS586" i="1"/>
  <c r="AS582" i="1"/>
  <c r="AS578" i="1"/>
  <c r="AS574" i="1"/>
  <c r="AS570" i="1"/>
  <c r="AS566" i="1"/>
  <c r="AS562" i="1"/>
  <c r="AS558" i="1"/>
  <c r="AS554" i="1"/>
  <c r="AS550" i="1"/>
  <c r="AS546" i="1"/>
  <c r="AS542" i="1"/>
  <c r="AS538" i="1"/>
  <c r="AS534" i="1"/>
  <c r="AS522" i="1"/>
  <c r="AS518" i="1"/>
  <c r="AS514" i="1"/>
  <c r="AS510" i="1"/>
  <c r="AS506" i="1"/>
  <c r="AS502" i="1"/>
  <c r="AS498" i="1"/>
  <c r="AS494" i="1"/>
  <c r="AS490" i="1"/>
  <c r="AS486" i="1"/>
  <c r="AS482" i="1"/>
  <c r="AS478" i="1"/>
  <c r="AS474" i="1"/>
  <c r="AS470" i="1"/>
  <c r="AS466" i="1"/>
  <c r="AS462" i="1"/>
  <c r="AS458" i="1"/>
  <c r="AS454" i="1"/>
  <c r="AS448" i="1"/>
  <c r="AS440" i="1"/>
  <c r="AS432" i="1"/>
  <c r="AS424" i="1"/>
  <c r="AR420" i="1"/>
  <c r="AS420" i="1"/>
  <c r="AR380" i="1"/>
  <c r="AS380" i="1"/>
  <c r="AR364" i="1"/>
  <c r="AS364" i="1"/>
  <c r="AR348" i="1"/>
  <c r="AS348" i="1"/>
  <c r="AR332" i="1"/>
  <c r="AS332" i="1"/>
  <c r="AR312" i="1"/>
  <c r="AS312" i="1"/>
  <c r="AR308" i="1"/>
  <c r="AS308" i="1"/>
  <c r="AR280" i="1"/>
  <c r="AS280" i="1"/>
  <c r="AR264" i="1"/>
  <c r="AS264" i="1"/>
  <c r="AR248" i="1"/>
  <c r="AS248" i="1"/>
  <c r="AS735" i="1"/>
  <c r="AS731" i="1"/>
  <c r="AS727" i="1"/>
  <c r="AS723" i="1"/>
  <c r="AS719" i="1"/>
  <c r="AS715" i="1"/>
  <c r="AS711" i="1"/>
  <c r="AS707" i="1"/>
  <c r="AS703" i="1"/>
  <c r="AS699" i="1"/>
  <c r="AS695" i="1"/>
  <c r="AS691" i="1"/>
  <c r="AS687" i="1"/>
  <c r="AS683" i="1"/>
  <c r="AS679" i="1"/>
  <c r="AS675" i="1"/>
  <c r="AS671" i="1"/>
  <c r="AS667" i="1"/>
  <c r="AS663" i="1"/>
  <c r="AS659" i="1"/>
  <c r="AS655" i="1"/>
  <c r="AS651" i="1"/>
  <c r="AS647" i="1"/>
  <c r="AS643" i="1"/>
  <c r="AS639" i="1"/>
  <c r="AS635" i="1"/>
  <c r="AS631" i="1"/>
  <c r="AS627" i="1"/>
  <c r="AS623" i="1"/>
  <c r="AS619" i="1"/>
  <c r="AS615" i="1"/>
  <c r="AS611" i="1"/>
  <c r="AS607" i="1"/>
  <c r="AS603" i="1"/>
  <c r="AS599" i="1"/>
  <c r="AS595" i="1"/>
  <c r="AS591" i="1"/>
  <c r="AS587" i="1"/>
  <c r="AS583" i="1"/>
  <c r="AS579" i="1"/>
  <c r="AS575" i="1"/>
  <c r="AS571" i="1"/>
  <c r="AS567" i="1"/>
  <c r="AS563" i="1"/>
  <c r="AS559" i="1"/>
  <c r="AS555" i="1"/>
  <c r="AS551" i="1"/>
  <c r="AS547" i="1"/>
  <c r="AS543" i="1"/>
  <c r="AS539" i="1"/>
  <c r="AS535" i="1"/>
  <c r="AS531" i="1"/>
  <c r="AS527" i="1"/>
  <c r="AS523" i="1"/>
  <c r="AS519" i="1"/>
  <c r="AS515" i="1"/>
  <c r="AS511" i="1"/>
  <c r="AS507" i="1"/>
  <c r="AS503" i="1"/>
  <c r="AS499" i="1"/>
  <c r="AS495" i="1"/>
  <c r="AS491" i="1"/>
  <c r="AS487" i="1"/>
  <c r="AS483" i="1"/>
  <c r="AS479" i="1"/>
  <c r="AS475" i="1"/>
  <c r="AS471" i="1"/>
  <c r="AS467" i="1"/>
  <c r="AS463" i="1"/>
  <c r="AS459" i="1"/>
  <c r="AS455" i="1"/>
  <c r="AR451" i="1"/>
  <c r="AS446" i="1"/>
  <c r="AR443" i="1"/>
  <c r="AS438" i="1"/>
  <c r="AR435" i="1"/>
  <c r="AS430" i="1"/>
  <c r="AR427" i="1"/>
  <c r="AR388" i="1"/>
  <c r="AS388" i="1"/>
  <c r="AR384" i="1"/>
  <c r="AS384" i="1"/>
  <c r="AR368" i="1"/>
  <c r="AS368" i="1"/>
  <c r="AR352" i="1"/>
  <c r="AS352" i="1"/>
  <c r="AR336" i="1"/>
  <c r="AS336" i="1"/>
  <c r="AR316" i="1"/>
  <c r="AS316" i="1"/>
  <c r="AR284" i="1"/>
  <c r="AS284" i="1"/>
  <c r="AR268" i="1"/>
  <c r="AS268" i="1"/>
  <c r="AR252" i="1"/>
  <c r="AS252" i="1"/>
  <c r="AR412" i="1"/>
  <c r="AS412" i="1"/>
  <c r="AR408" i="1"/>
  <c r="AS408" i="1"/>
  <c r="AR404" i="1"/>
  <c r="AS404" i="1"/>
  <c r="AR400" i="1"/>
  <c r="AS400" i="1"/>
  <c r="AR396" i="1"/>
  <c r="AS396" i="1"/>
  <c r="AR392" i="1"/>
  <c r="AS392" i="1"/>
  <c r="AR372" i="1"/>
  <c r="AS372" i="1"/>
  <c r="AR356" i="1"/>
  <c r="AS356" i="1"/>
  <c r="AR340" i="1"/>
  <c r="AS340" i="1"/>
  <c r="AR324" i="1"/>
  <c r="AS324" i="1"/>
  <c r="AR320" i="1"/>
  <c r="AS320" i="1"/>
  <c r="AR288" i="1"/>
  <c r="AS288" i="1"/>
  <c r="AR272" i="1"/>
  <c r="AS272" i="1"/>
  <c r="AR256" i="1"/>
  <c r="AS256" i="1"/>
  <c r="AR240" i="1"/>
  <c r="AS240" i="1"/>
  <c r="AS423" i="1"/>
  <c r="AS419" i="1"/>
  <c r="AS415" i="1"/>
  <c r="AS391" i="1"/>
  <c r="AS383" i="1"/>
  <c r="AS379" i="1"/>
  <c r="AS375" i="1"/>
  <c r="AS371" i="1"/>
  <c r="AS367" i="1"/>
  <c r="AS363" i="1"/>
  <c r="AS359" i="1"/>
  <c r="AS355" i="1"/>
  <c r="AS351" i="1"/>
  <c r="AS347" i="1"/>
  <c r="AS343" i="1"/>
  <c r="AS339" i="1"/>
  <c r="AS335" i="1"/>
  <c r="AS331" i="1"/>
  <c r="AS327" i="1"/>
  <c r="AS319" i="1"/>
  <c r="AS315" i="1"/>
  <c r="AS307" i="1"/>
  <c r="AS291" i="1"/>
  <c r="AS287" i="1"/>
  <c r="AS283" i="1"/>
  <c r="AS279" i="1"/>
  <c r="AS275" i="1"/>
  <c r="AS271" i="1"/>
  <c r="AS267" i="1"/>
  <c r="AS263" i="1"/>
  <c r="AS259" i="1"/>
  <c r="AS255" i="1"/>
  <c r="AS251" i="1"/>
  <c r="AS247" i="1"/>
  <c r="AS243" i="1"/>
  <c r="AS239" i="1"/>
  <c r="AR213" i="1"/>
  <c r="AS213" i="1"/>
  <c r="AR197" i="1"/>
  <c r="AS197" i="1"/>
  <c r="AR177" i="1"/>
  <c r="AS177" i="1"/>
  <c r="AR169" i="1"/>
  <c r="AS169" i="1"/>
  <c r="AR137" i="1"/>
  <c r="AS137" i="1"/>
  <c r="AR117" i="1"/>
  <c r="AS117" i="1"/>
  <c r="AR113" i="1"/>
  <c r="AS113" i="1"/>
  <c r="AR109" i="1"/>
  <c r="AS109" i="1"/>
  <c r="AR105" i="1"/>
  <c r="AS105" i="1"/>
  <c r="AR85" i="1"/>
  <c r="AS85" i="1"/>
  <c r="AR81" i="1"/>
  <c r="AS81" i="1"/>
  <c r="AR77" i="1"/>
  <c r="AS77" i="1"/>
  <c r="AR73" i="1"/>
  <c r="AS73" i="1"/>
  <c r="AR69" i="1"/>
  <c r="AS69" i="1"/>
  <c r="AR65" i="1"/>
  <c r="AS65" i="1"/>
  <c r="AR61" i="1"/>
  <c r="AS61" i="1"/>
  <c r="AR57" i="1"/>
  <c r="AS57" i="1"/>
  <c r="AR53" i="1"/>
  <c r="AS53" i="1"/>
  <c r="AR49" i="1"/>
  <c r="AS49" i="1"/>
  <c r="AR45" i="1"/>
  <c r="AS45" i="1"/>
  <c r="AR41" i="1"/>
  <c r="AS41" i="1"/>
  <c r="AR37" i="1"/>
  <c r="AS37" i="1"/>
  <c r="AR33" i="1"/>
  <c r="AS33" i="1"/>
  <c r="AR29" i="1"/>
  <c r="AS29" i="1"/>
  <c r="AR25" i="1"/>
  <c r="AS25" i="1"/>
  <c r="AR21" i="1"/>
  <c r="AS21" i="1"/>
  <c r="AR17" i="1"/>
  <c r="AS17" i="1"/>
  <c r="AR13" i="1"/>
  <c r="AS13" i="1"/>
  <c r="AR9" i="1"/>
  <c r="AS9" i="1"/>
  <c r="AR5" i="1"/>
  <c r="AS5" i="1"/>
  <c r="AR229" i="1"/>
  <c r="AS229" i="1"/>
  <c r="AR225" i="1"/>
  <c r="AS225" i="1"/>
  <c r="AR221" i="1"/>
  <c r="AS221" i="1"/>
  <c r="AR217" i="1"/>
  <c r="AS217" i="1"/>
  <c r="AR201" i="1"/>
  <c r="AS201" i="1"/>
  <c r="AR189" i="1"/>
  <c r="AS189" i="1"/>
  <c r="AR185" i="1"/>
  <c r="AS185" i="1"/>
  <c r="AR181" i="1"/>
  <c r="AS181" i="1"/>
  <c r="AR237" i="1"/>
  <c r="AS237" i="1"/>
  <c r="AR233" i="1"/>
  <c r="AS233" i="1"/>
  <c r="AR205" i="1"/>
  <c r="AS205" i="1"/>
  <c r="AR165" i="1"/>
  <c r="AS165" i="1"/>
  <c r="AR161" i="1"/>
  <c r="AS161" i="1"/>
  <c r="AR157" i="1"/>
  <c r="AS157" i="1"/>
  <c r="AR153" i="1"/>
  <c r="AS153" i="1"/>
  <c r="AR149" i="1"/>
  <c r="AS149" i="1"/>
  <c r="AR145" i="1"/>
  <c r="AS145" i="1"/>
  <c r="AR97" i="1"/>
  <c r="AS97" i="1"/>
  <c r="AS232" i="1"/>
  <c r="AS208" i="1"/>
  <c r="AS204" i="1"/>
  <c r="AS200" i="1"/>
  <c r="AS196" i="1"/>
  <c r="AS192" i="1"/>
  <c r="AS168" i="1"/>
  <c r="AR737" i="1"/>
  <c r="AP3" i="1"/>
  <c r="AO1515" i="1"/>
  <c r="AO1513" i="1"/>
  <c r="AO1508" i="1"/>
  <c r="AP1505" i="1"/>
  <c r="AO1500" i="1"/>
  <c r="AP1497" i="1"/>
  <c r="AO1491" i="1"/>
  <c r="AO1480" i="1"/>
  <c r="AP1477" i="1"/>
  <c r="AP1472" i="1"/>
  <c r="AO1469" i="1"/>
  <c r="AP1461" i="1"/>
  <c r="AP1456" i="1"/>
  <c r="AO1451" i="1"/>
  <c r="AO1449" i="1"/>
  <c r="AO1423" i="1"/>
  <c r="AO1416" i="1"/>
  <c r="AO1409" i="1"/>
  <c r="AO1404" i="1"/>
  <c r="AP1401" i="1"/>
  <c r="AP1396" i="1"/>
  <c r="AO1373" i="1"/>
  <c r="AO1364" i="1"/>
  <c r="AO1355" i="1"/>
  <c r="AO1353" i="1"/>
  <c r="AO1348" i="1"/>
  <c r="AO1341" i="1"/>
  <c r="AO1316" i="1"/>
  <c r="AO1303" i="1"/>
  <c r="AO1296" i="1"/>
  <c r="AP1293" i="1"/>
  <c r="AP1288" i="1"/>
  <c r="AO1285" i="1"/>
  <c r="AP1277" i="1"/>
  <c r="AP1272" i="1"/>
  <c r="AO1267" i="1"/>
  <c r="AO1265" i="1"/>
  <c r="AO1233" i="1"/>
  <c r="AO1227" i="1"/>
  <c r="AO1221" i="1"/>
  <c r="AO1216" i="1"/>
  <c r="AP1147" i="1"/>
  <c r="AP1144" i="1"/>
  <c r="AO1132" i="1"/>
  <c r="AO1124" i="1"/>
  <c r="AO1116" i="1"/>
  <c r="AO1108" i="1"/>
  <c r="AO1100" i="1"/>
  <c r="AO1086" i="1"/>
  <c r="AP1077" i="1"/>
  <c r="AO1074" i="1"/>
  <c r="AO1072" i="1"/>
  <c r="AP1063" i="1"/>
  <c r="AO1034" i="1"/>
  <c r="AO1032" i="1"/>
  <c r="AO1024" i="1"/>
  <c r="AO1012" i="1"/>
  <c r="AO1002" i="1"/>
  <c r="AO998" i="1"/>
  <c r="AO994" i="1"/>
  <c r="AO990" i="1"/>
  <c r="AO986" i="1"/>
  <c r="AO982" i="1"/>
  <c r="AO978" i="1"/>
  <c r="AO974" i="1"/>
  <c r="AO970" i="1"/>
  <c r="AO966" i="1"/>
  <c r="AO962" i="1"/>
  <c r="AO958" i="1"/>
  <c r="AO954" i="1"/>
  <c r="AO950" i="1"/>
  <c r="AO946" i="1"/>
  <c r="AO942" i="1"/>
  <c r="AO938" i="1"/>
  <c r="AO934" i="1"/>
  <c r="AO930" i="1"/>
  <c r="AO926" i="1"/>
  <c r="AO922" i="1"/>
  <c r="AO918" i="1"/>
  <c r="AO914" i="1"/>
  <c r="AO910" i="1"/>
  <c r="AO906" i="1"/>
  <c r="AO902" i="1"/>
  <c r="AP898" i="1"/>
  <c r="AO898" i="1"/>
  <c r="AP890" i="1"/>
  <c r="AO890" i="1"/>
  <c r="AO857" i="1"/>
  <c r="AP857" i="1"/>
  <c r="AP837" i="1"/>
  <c r="AP825" i="1"/>
  <c r="AO805" i="1"/>
  <c r="AP805" i="1"/>
  <c r="AP801" i="1"/>
  <c r="AP777" i="1"/>
  <c r="AO777" i="1"/>
  <c r="AP770" i="1"/>
  <c r="AO765" i="1"/>
  <c r="AO757" i="1"/>
  <c r="AP751" i="1"/>
  <c r="AO743" i="1"/>
  <c r="AO737" i="1"/>
  <c r="AO735" i="1"/>
  <c r="AO713" i="1"/>
  <c r="AP707" i="1"/>
  <c r="AP695" i="1"/>
  <c r="AO683" i="1"/>
  <c r="AP683" i="1"/>
  <c r="AO869" i="1"/>
  <c r="AP869" i="1"/>
  <c r="AO821" i="1"/>
  <c r="AP821" i="1"/>
  <c r="AO780" i="1"/>
  <c r="AP780" i="1"/>
  <c r="AP721" i="1"/>
  <c r="AO721" i="1"/>
  <c r="AP689" i="1"/>
  <c r="AO689" i="1"/>
  <c r="AP894" i="1"/>
  <c r="AO894" i="1"/>
  <c r="AO885" i="1"/>
  <c r="AP885" i="1"/>
  <c r="AP824" i="1"/>
  <c r="AO824" i="1"/>
  <c r="AO792" i="1"/>
  <c r="AP792" i="1"/>
  <c r="AP753" i="1"/>
  <c r="AO753" i="1"/>
  <c r="AO731" i="1"/>
  <c r="AP731" i="1"/>
  <c r="AP709" i="1"/>
  <c r="AO709" i="1"/>
  <c r="AP888" i="1"/>
  <c r="AO888" i="1"/>
  <c r="AO845" i="1"/>
  <c r="AP845" i="1"/>
  <c r="AO763" i="1"/>
  <c r="AP763" i="1"/>
  <c r="AP741" i="1"/>
  <c r="AO741" i="1"/>
  <c r="AO661" i="1"/>
  <c r="AO639" i="1"/>
  <c r="AO631" i="1"/>
  <c r="AO583" i="1"/>
  <c r="AP580" i="1"/>
  <c r="AP536" i="1"/>
  <c r="AP492" i="1"/>
  <c r="AO468" i="1"/>
  <c r="AO448" i="1"/>
  <c r="AP445" i="1"/>
  <c r="AP416" i="1"/>
  <c r="AO408" i="1"/>
  <c r="AP405" i="1"/>
  <c r="AP385" i="1"/>
  <c r="AO376" i="1"/>
  <c r="AO350" i="1"/>
  <c r="AO348" i="1"/>
  <c r="AO334" i="1"/>
  <c r="AO332" i="1"/>
  <c r="AO318" i="1"/>
  <c r="AO316" i="1"/>
  <c r="AO302" i="1"/>
  <c r="AO300" i="1"/>
  <c r="AP288" i="1"/>
  <c r="AO274" i="1"/>
  <c r="AO272" i="1"/>
  <c r="AO258" i="1"/>
  <c r="AO256" i="1"/>
  <c r="AO242" i="1"/>
  <c r="AO230" i="1"/>
  <c r="AO228" i="1"/>
  <c r="AO214" i="1"/>
  <c r="AO206" i="1"/>
  <c r="AO198" i="1"/>
  <c r="AP182" i="1"/>
  <c r="AP166" i="1"/>
  <c r="AP163" i="1"/>
  <c r="AP147" i="1"/>
  <c r="AO144" i="1"/>
  <c r="AP131" i="1"/>
  <c r="AP99" i="1"/>
  <c r="AO96" i="1"/>
  <c r="AP88" i="1"/>
  <c r="AP75" i="1"/>
  <c r="AO62" i="1"/>
  <c r="AP59" i="1"/>
  <c r="AO46" i="1"/>
  <c r="AP43" i="1"/>
  <c r="AO30" i="1"/>
  <c r="AP27" i="1"/>
  <c r="AO18" i="1"/>
  <c r="AP15" i="1"/>
  <c r="AP6" i="1"/>
  <c r="AP568" i="1"/>
  <c r="AP524" i="1"/>
  <c r="AO645" i="1"/>
  <c r="AO625" i="1"/>
  <c r="AP556" i="1"/>
  <c r="AO458" i="1"/>
  <c r="AO1529" i="1"/>
  <c r="AP1529" i="1"/>
  <c r="AO1468" i="1"/>
  <c r="AP1468" i="1"/>
  <c r="AP1379" i="1"/>
  <c r="AO1379" i="1"/>
  <c r="AO1361" i="1"/>
  <c r="AP1361" i="1"/>
  <c r="AO1356" i="1"/>
  <c r="AP1356" i="1"/>
  <c r="AP1307" i="1"/>
  <c r="AO1307" i="1"/>
  <c r="AO1257" i="1"/>
  <c r="AP1257" i="1"/>
  <c r="AP1231" i="1"/>
  <c r="AO1231" i="1"/>
  <c r="AO1168" i="1"/>
  <c r="AP1168" i="1"/>
  <c r="AP1094" i="1"/>
  <c r="AO1094" i="1"/>
  <c r="AP1078" i="1"/>
  <c r="AO1078" i="1"/>
  <c r="AO547" i="1"/>
  <c r="AP547" i="1"/>
  <c r="AO528" i="1"/>
  <c r="AP528" i="1"/>
  <c r="AP78" i="1"/>
  <c r="AO78" i="1"/>
  <c r="AP68" i="1"/>
  <c r="AO68" i="1"/>
  <c r="AP52" i="1"/>
  <c r="AO52" i="1"/>
  <c r="AP36" i="1"/>
  <c r="AO36" i="1"/>
  <c r="AP20" i="1"/>
  <c r="AO20" i="1"/>
  <c r="AO1564" i="1"/>
  <c r="AP1564" i="1"/>
  <c r="AO1532" i="1"/>
  <c r="AP1532" i="1"/>
  <c r="AO1493" i="1"/>
  <c r="AP1493" i="1"/>
  <c r="AO1488" i="1"/>
  <c r="AP1488" i="1"/>
  <c r="AO1397" i="1"/>
  <c r="AP1397" i="1"/>
  <c r="AO1392" i="1"/>
  <c r="AP1392" i="1"/>
  <c r="AO1325" i="1"/>
  <c r="AP1325" i="1"/>
  <c r="AO1320" i="1"/>
  <c r="AP1320" i="1"/>
  <c r="AO1248" i="1"/>
  <c r="AP1248" i="1"/>
  <c r="AO1195" i="1"/>
  <c r="AP1195" i="1"/>
  <c r="AO1180" i="1"/>
  <c r="AP1180" i="1"/>
  <c r="AO1096" i="1"/>
  <c r="AP1096" i="1"/>
  <c r="AO1080" i="1"/>
  <c r="AP1080" i="1"/>
  <c r="AO1064" i="1"/>
  <c r="AP1064" i="1"/>
  <c r="AO1048" i="1"/>
  <c r="AP1048" i="1"/>
  <c r="AP858" i="1"/>
  <c r="AO858" i="1"/>
  <c r="AP826" i="1"/>
  <c r="AO826" i="1"/>
  <c r="AP793" i="1"/>
  <c r="AO793" i="1"/>
  <c r="AP779" i="1"/>
  <c r="AO779" i="1"/>
  <c r="AO776" i="1"/>
  <c r="AP776" i="1"/>
  <c r="AP701" i="1"/>
  <c r="AO701" i="1"/>
  <c r="AP669" i="1"/>
  <c r="AO669" i="1"/>
  <c r="AP637" i="1"/>
  <c r="AO637" i="1"/>
  <c r="AP605" i="1"/>
  <c r="AO605" i="1"/>
  <c r="AP575" i="1"/>
  <c r="AO575" i="1"/>
  <c r="AO560" i="1"/>
  <c r="AP560" i="1"/>
  <c r="AO476" i="1"/>
  <c r="AP476" i="1"/>
  <c r="AO440" i="1"/>
  <c r="AP440" i="1"/>
  <c r="AO433" i="1"/>
  <c r="AP433" i="1"/>
  <c r="AP370" i="1"/>
  <c r="AO370" i="1"/>
  <c r="AO349" i="1"/>
  <c r="AP349" i="1"/>
  <c r="AO333" i="1"/>
  <c r="AP333" i="1"/>
  <c r="AO317" i="1"/>
  <c r="AP317" i="1"/>
  <c r="AO301" i="1"/>
  <c r="AP301" i="1"/>
  <c r="AO273" i="1"/>
  <c r="AP273" i="1"/>
  <c r="AO257" i="1"/>
  <c r="AP257" i="1"/>
  <c r="AO241" i="1"/>
  <c r="AP241" i="1"/>
  <c r="AO229" i="1"/>
  <c r="AP229" i="1"/>
  <c r="AO213" i="1"/>
  <c r="AP213" i="1"/>
  <c r="AO205" i="1"/>
  <c r="AP205" i="1"/>
  <c r="AO197" i="1"/>
  <c r="AP197" i="1"/>
  <c r="AP124" i="1"/>
  <c r="AO124" i="1"/>
  <c r="AO87" i="1"/>
  <c r="AP87" i="1"/>
  <c r="AP72" i="1"/>
  <c r="AO72" i="1"/>
  <c r="AP56" i="1"/>
  <c r="AO56" i="1"/>
  <c r="AP40" i="1"/>
  <c r="AO40" i="1"/>
  <c r="AP24" i="1"/>
  <c r="AO24" i="1"/>
  <c r="AO1561" i="1"/>
  <c r="AP1561" i="1"/>
  <c r="AP1459" i="1"/>
  <c r="AO1459" i="1"/>
  <c r="AO1441" i="1"/>
  <c r="AP1441" i="1"/>
  <c r="AO1436" i="1"/>
  <c r="AP1436" i="1"/>
  <c r="AP1427" i="1"/>
  <c r="AO1427" i="1"/>
  <c r="AO1289" i="1"/>
  <c r="AP1289" i="1"/>
  <c r="AO1284" i="1"/>
  <c r="AP1284" i="1"/>
  <c r="AP1275" i="1"/>
  <c r="AO1275" i="1"/>
  <c r="AO1252" i="1"/>
  <c r="AP1252" i="1"/>
  <c r="AP1062" i="1"/>
  <c r="AO1062" i="1"/>
  <c r="AP882" i="1"/>
  <c r="AO882" i="1"/>
  <c r="AP791" i="1"/>
  <c r="AO791" i="1"/>
  <c r="AP774" i="1"/>
  <c r="AO774" i="1"/>
  <c r="AO572" i="1"/>
  <c r="AP572" i="1"/>
  <c r="AO465" i="1"/>
  <c r="AP465" i="1"/>
  <c r="AO1545" i="1"/>
  <c r="AP1545" i="1"/>
  <c r="AO1496" i="1"/>
  <c r="AP1496" i="1"/>
  <c r="AO1484" i="1"/>
  <c r="AP1484" i="1"/>
  <c r="AP1475" i="1"/>
  <c r="AO1475" i="1"/>
  <c r="AO1457" i="1"/>
  <c r="AP1457" i="1"/>
  <c r="AO1452" i="1"/>
  <c r="AP1452" i="1"/>
  <c r="AP1443" i="1"/>
  <c r="AO1443" i="1"/>
  <c r="AO1425" i="1"/>
  <c r="AP1425" i="1"/>
  <c r="AO1420" i="1"/>
  <c r="AP1420" i="1"/>
  <c r="AO1377" i="1"/>
  <c r="AP1377" i="1"/>
  <c r="AO1372" i="1"/>
  <c r="AP1372" i="1"/>
  <c r="AP1363" i="1"/>
  <c r="AO1363" i="1"/>
  <c r="AO1305" i="1"/>
  <c r="AP1305" i="1"/>
  <c r="AO1300" i="1"/>
  <c r="AP1300" i="1"/>
  <c r="AP1291" i="1"/>
  <c r="AO1291" i="1"/>
  <c r="AO1273" i="1"/>
  <c r="AP1273" i="1"/>
  <c r="AO1268" i="1"/>
  <c r="AP1268" i="1"/>
  <c r="AP1259" i="1"/>
  <c r="AO1259" i="1"/>
  <c r="AO1235" i="1"/>
  <c r="AP1235" i="1"/>
  <c r="AO1229" i="1"/>
  <c r="AP1229" i="1"/>
  <c r="AO1200" i="1"/>
  <c r="AP1200" i="1"/>
  <c r="AO1131" i="1"/>
  <c r="AP1131" i="1"/>
  <c r="AO1123" i="1"/>
  <c r="AP1123" i="1"/>
  <c r="AO1115" i="1"/>
  <c r="AP1115" i="1"/>
  <c r="AO1107" i="1"/>
  <c r="AP1107" i="1"/>
  <c r="AO1026" i="1"/>
  <c r="AO1010" i="1"/>
  <c r="AO872" i="1"/>
  <c r="AP866" i="1"/>
  <c r="AO866" i="1"/>
  <c r="AO840" i="1"/>
  <c r="AP834" i="1"/>
  <c r="AO834" i="1"/>
  <c r="AO808" i="1"/>
  <c r="AP802" i="1"/>
  <c r="AO802" i="1"/>
  <c r="AO784" i="1"/>
  <c r="AP784" i="1"/>
  <c r="AP781" i="1"/>
  <c r="AO781" i="1"/>
  <c r="AO778" i="1"/>
  <c r="AP778" i="1"/>
  <c r="AP769" i="1"/>
  <c r="AO769" i="1"/>
  <c r="AO764" i="1"/>
  <c r="AP764" i="1"/>
  <c r="AO742" i="1"/>
  <c r="AP742" i="1"/>
  <c r="AO732" i="1"/>
  <c r="AP732" i="1"/>
  <c r="AO705" i="1"/>
  <c r="AO673" i="1"/>
  <c r="AO641" i="1"/>
  <c r="AO609" i="1"/>
  <c r="AO588" i="1"/>
  <c r="AP588" i="1"/>
  <c r="AO508" i="1"/>
  <c r="AP508" i="1"/>
  <c r="AO483" i="1"/>
  <c r="AP483" i="1"/>
  <c r="AO479" i="1"/>
  <c r="AP479" i="1"/>
  <c r="AP455" i="1"/>
  <c r="AO455" i="1"/>
  <c r="AO421" i="1"/>
  <c r="AP421" i="1"/>
  <c r="AO417" i="1"/>
  <c r="AP417" i="1"/>
  <c r="AO353" i="1"/>
  <c r="AP353" i="1"/>
  <c r="AO337" i="1"/>
  <c r="AP337" i="1"/>
  <c r="AO321" i="1"/>
  <c r="AP321" i="1"/>
  <c r="AO305" i="1"/>
  <c r="AP305" i="1"/>
  <c r="AO289" i="1"/>
  <c r="AP289" i="1"/>
  <c r="AO277" i="1"/>
  <c r="AP277" i="1"/>
  <c r="AO261" i="1"/>
  <c r="AP261" i="1"/>
  <c r="AO245" i="1"/>
  <c r="AP245" i="1"/>
  <c r="AO233" i="1"/>
  <c r="AP233" i="1"/>
  <c r="AO217" i="1"/>
  <c r="AP217" i="1"/>
  <c r="AO1473" i="1"/>
  <c r="AP1473" i="1"/>
  <c r="AP1046" i="1"/>
  <c r="AO1046" i="1"/>
  <c r="AP850" i="1"/>
  <c r="AO850" i="1"/>
  <c r="AP818" i="1"/>
  <c r="AO818" i="1"/>
  <c r="AO543" i="1"/>
  <c r="AP543" i="1"/>
  <c r="AP462" i="1"/>
  <c r="AO462" i="1"/>
  <c r="AO1568" i="1"/>
  <c r="AP1565" i="1"/>
  <c r="AO1548" i="1"/>
  <c r="AP1548" i="1"/>
  <c r="AO1536" i="1"/>
  <c r="AP1533" i="1"/>
  <c r="AO1516" i="1"/>
  <c r="AP1516" i="1"/>
  <c r="AO1489" i="1"/>
  <c r="AO1471" i="1"/>
  <c r="AO1464" i="1"/>
  <c r="AO1439" i="1"/>
  <c r="AO1432" i="1"/>
  <c r="AO1408" i="1"/>
  <c r="AP1399" i="1"/>
  <c r="AO1399" i="1"/>
  <c r="AO1393" i="1"/>
  <c r="AO1384" i="1"/>
  <c r="AO1359" i="1"/>
  <c r="AO1352" i="1"/>
  <c r="AO1336" i="1"/>
  <c r="AP1327" i="1"/>
  <c r="AO1327" i="1"/>
  <c r="AO1321" i="1"/>
  <c r="AO1312" i="1"/>
  <c r="AO1287" i="1"/>
  <c r="AO1280" i="1"/>
  <c r="AO1255" i="1"/>
  <c r="AO1249" i="1"/>
  <c r="AO1223" i="1"/>
  <c r="AO1212" i="1"/>
  <c r="AP1212" i="1"/>
  <c r="AP1187" i="1"/>
  <c r="AO1172" i="1"/>
  <c r="AO1163" i="1"/>
  <c r="AP1163" i="1"/>
  <c r="AO1148" i="1"/>
  <c r="AP1148" i="1"/>
  <c r="AP1098" i="1"/>
  <c r="AO1098" i="1"/>
  <c r="AO1092" i="1"/>
  <c r="AP1082" i="1"/>
  <c r="AO1082" i="1"/>
  <c r="AO1076" i="1"/>
  <c r="AP1066" i="1"/>
  <c r="AO1066" i="1"/>
  <c r="AO1060" i="1"/>
  <c r="AP1050" i="1"/>
  <c r="AO1050" i="1"/>
  <c r="AO1044" i="1"/>
  <c r="AO1030" i="1"/>
  <c r="AO1014" i="1"/>
  <c r="AO880" i="1"/>
  <c r="AP874" i="1"/>
  <c r="AO874" i="1"/>
  <c r="AO848" i="1"/>
  <c r="AP842" i="1"/>
  <c r="AO842" i="1"/>
  <c r="AO816" i="1"/>
  <c r="AP810" i="1"/>
  <c r="AO810" i="1"/>
  <c r="AO786" i="1"/>
  <c r="AO783" i="1"/>
  <c r="AP783" i="1"/>
  <c r="AO771" i="1"/>
  <c r="AP771" i="1"/>
  <c r="AP766" i="1"/>
  <c r="AO766" i="1"/>
  <c r="AO756" i="1"/>
  <c r="AP756" i="1"/>
  <c r="AO734" i="1"/>
  <c r="AP734" i="1"/>
  <c r="AO724" i="1"/>
  <c r="AP724" i="1"/>
  <c r="AP685" i="1"/>
  <c r="AO685" i="1"/>
  <c r="AP653" i="1"/>
  <c r="AO653" i="1"/>
  <c r="AP621" i="1"/>
  <c r="AO621" i="1"/>
  <c r="AP591" i="1"/>
  <c r="AO591" i="1"/>
  <c r="AP577" i="1"/>
  <c r="AO577" i="1"/>
  <c r="AO540" i="1"/>
  <c r="AP540" i="1"/>
  <c r="AO515" i="1"/>
  <c r="AP515" i="1"/>
  <c r="AO511" i="1"/>
  <c r="AP511" i="1"/>
  <c r="AO496" i="1"/>
  <c r="AP496" i="1"/>
  <c r="AP460" i="1"/>
  <c r="AO460" i="1"/>
  <c r="AO457" i="1"/>
  <c r="AP457" i="1"/>
  <c r="AP1557" i="1"/>
  <c r="AP1541" i="1"/>
  <c r="AP1525" i="1"/>
  <c r="AO1511" i="1"/>
  <c r="AO1507" i="1"/>
  <c r="AO1503" i="1"/>
  <c r="AO1479" i="1"/>
  <c r="AO1463" i="1"/>
  <c r="AO1447" i="1"/>
  <c r="AO1431" i="1"/>
  <c r="AO1403" i="1"/>
  <c r="AO1383" i="1"/>
  <c r="AO1367" i="1"/>
  <c r="AO1331" i="1"/>
  <c r="AO1311" i="1"/>
  <c r="AO1295" i="1"/>
  <c r="AO1279" i="1"/>
  <c r="AO1263" i="1"/>
  <c r="AO1243" i="1"/>
  <c r="AO1239" i="1"/>
  <c r="AP1224" i="1"/>
  <c r="AP1220" i="1"/>
  <c r="AP1203" i="1"/>
  <c r="AP1171" i="1"/>
  <c r="AP1129" i="1"/>
  <c r="AP1121" i="1"/>
  <c r="AP1113" i="1"/>
  <c r="AP1105" i="1"/>
  <c r="AP1091" i="1"/>
  <c r="AP1089" i="1"/>
  <c r="AP1075" i="1"/>
  <c r="AP1073" i="1"/>
  <c r="AP1059" i="1"/>
  <c r="AP1057" i="1"/>
  <c r="AP1043" i="1"/>
  <c r="AP1041" i="1"/>
  <c r="AP1037" i="1"/>
  <c r="AP1033" i="1"/>
  <c r="AP1029" i="1"/>
  <c r="AP1025" i="1"/>
  <c r="AP1021" i="1"/>
  <c r="AP1017" i="1"/>
  <c r="AP1013" i="1"/>
  <c r="AP1009" i="1"/>
  <c r="AP1005" i="1"/>
  <c r="AO884" i="1"/>
  <c r="AO876" i="1"/>
  <c r="AO868" i="1"/>
  <c r="AO860" i="1"/>
  <c r="AO852" i="1"/>
  <c r="AO844" i="1"/>
  <c r="AO836" i="1"/>
  <c r="AO828" i="1"/>
  <c r="AO820" i="1"/>
  <c r="AO812" i="1"/>
  <c r="AO804" i="1"/>
  <c r="AO796" i="1"/>
  <c r="AP796" i="1"/>
  <c r="AO789" i="1"/>
  <c r="AP772" i="1"/>
  <c r="AO758" i="1"/>
  <c r="AP758" i="1"/>
  <c r="AO748" i="1"/>
  <c r="AP748" i="1"/>
  <c r="AO726" i="1"/>
  <c r="AP726" i="1"/>
  <c r="AO716" i="1"/>
  <c r="AP716" i="1"/>
  <c r="AO697" i="1"/>
  <c r="AO681" i="1"/>
  <c r="AO665" i="1"/>
  <c r="AO649" i="1"/>
  <c r="AO633" i="1"/>
  <c r="AO617" i="1"/>
  <c r="AO601" i="1"/>
  <c r="AO563" i="1"/>
  <c r="AP563" i="1"/>
  <c r="AO559" i="1"/>
  <c r="AP559" i="1"/>
  <c r="AO531" i="1"/>
  <c r="AP531" i="1"/>
  <c r="AO527" i="1"/>
  <c r="AP527" i="1"/>
  <c r="AO499" i="1"/>
  <c r="AP499" i="1"/>
  <c r="AO495" i="1"/>
  <c r="AP495" i="1"/>
  <c r="AO453" i="1"/>
  <c r="AP453" i="1"/>
  <c r="AO450" i="1"/>
  <c r="AO155" i="1"/>
  <c r="AP155" i="1"/>
  <c r="AP151" i="1"/>
  <c r="AO142" i="1"/>
  <c r="AP142" i="1"/>
  <c r="AO132" i="1"/>
  <c r="AP132" i="1"/>
  <c r="AO107" i="1"/>
  <c r="AP107" i="1"/>
  <c r="AO86" i="1"/>
  <c r="AP86" i="1"/>
  <c r="AP886" i="1"/>
  <c r="AO886" i="1"/>
  <c r="AP878" i="1"/>
  <c r="AO878" i="1"/>
  <c r="AP870" i="1"/>
  <c r="AO870" i="1"/>
  <c r="AP862" i="1"/>
  <c r="AO862" i="1"/>
  <c r="AP854" i="1"/>
  <c r="AO854" i="1"/>
  <c r="AP846" i="1"/>
  <c r="AO846" i="1"/>
  <c r="AP838" i="1"/>
  <c r="AO838" i="1"/>
  <c r="AP830" i="1"/>
  <c r="AO830" i="1"/>
  <c r="AP822" i="1"/>
  <c r="AO822" i="1"/>
  <c r="AP814" i="1"/>
  <c r="AO814" i="1"/>
  <c r="AP806" i="1"/>
  <c r="AO806" i="1"/>
  <c r="AP798" i="1"/>
  <c r="AO798" i="1"/>
  <c r="AO750" i="1"/>
  <c r="AP750" i="1"/>
  <c r="AO740" i="1"/>
  <c r="AP740" i="1"/>
  <c r="AO718" i="1"/>
  <c r="AP718" i="1"/>
  <c r="AP585" i="1"/>
  <c r="AO585" i="1"/>
  <c r="AO544" i="1"/>
  <c r="AP544" i="1"/>
  <c r="AO512" i="1"/>
  <c r="AP512" i="1"/>
  <c r="AO480" i="1"/>
  <c r="AP480" i="1"/>
  <c r="AO452" i="1"/>
  <c r="AP452" i="1"/>
  <c r="AP158" i="1"/>
  <c r="AO158" i="1"/>
  <c r="AO154" i="1"/>
  <c r="AP154" i="1"/>
  <c r="AO790" i="1"/>
  <c r="AP788" i="1"/>
  <c r="AO785" i="1"/>
  <c r="AO773" i="1"/>
  <c r="AP768" i="1"/>
  <c r="AP708" i="1"/>
  <c r="AP704" i="1"/>
  <c r="AP700" i="1"/>
  <c r="AP696" i="1"/>
  <c r="AP692" i="1"/>
  <c r="AP688" i="1"/>
  <c r="AP684" i="1"/>
  <c r="AP680" i="1"/>
  <c r="AP676" i="1"/>
  <c r="AP672" i="1"/>
  <c r="AP668" i="1"/>
  <c r="AP664" i="1"/>
  <c r="AP660" i="1"/>
  <c r="AP656" i="1"/>
  <c r="AP652" i="1"/>
  <c r="AP648" i="1"/>
  <c r="AP644" i="1"/>
  <c r="AP640" i="1"/>
  <c r="AP636" i="1"/>
  <c r="AP632" i="1"/>
  <c r="AP628" i="1"/>
  <c r="AP624" i="1"/>
  <c r="AP620" i="1"/>
  <c r="AP616" i="1"/>
  <c r="AP612" i="1"/>
  <c r="AP608" i="1"/>
  <c r="AP604" i="1"/>
  <c r="AP600" i="1"/>
  <c r="AP596" i="1"/>
  <c r="AP592" i="1"/>
  <c r="AO587" i="1"/>
  <c r="AP584" i="1"/>
  <c r="AO579" i="1"/>
  <c r="AP576" i="1"/>
  <c r="AO571" i="1"/>
  <c r="AP571" i="1"/>
  <c r="AP564" i="1"/>
  <c r="AO555" i="1"/>
  <c r="AP555" i="1"/>
  <c r="AP548" i="1"/>
  <c r="AO539" i="1"/>
  <c r="AP539" i="1"/>
  <c r="AP532" i="1"/>
  <c r="AO523" i="1"/>
  <c r="AP523" i="1"/>
  <c r="AP516" i="1"/>
  <c r="AO507" i="1"/>
  <c r="AP507" i="1"/>
  <c r="AP500" i="1"/>
  <c r="AO491" i="1"/>
  <c r="AP491" i="1"/>
  <c r="AP484" i="1"/>
  <c r="AO475" i="1"/>
  <c r="AP475" i="1"/>
  <c r="AO464" i="1"/>
  <c r="AP464" i="1"/>
  <c r="AO459" i="1"/>
  <c r="AP459" i="1"/>
  <c r="AO444" i="1"/>
  <c r="AP441" i="1"/>
  <c r="AP424" i="1"/>
  <c r="AO424" i="1"/>
  <c r="AO420" i="1"/>
  <c r="AP420" i="1"/>
  <c r="AO186" i="1"/>
  <c r="AP186" i="1"/>
  <c r="AO174" i="1"/>
  <c r="AP171" i="1"/>
  <c r="AO115" i="1"/>
  <c r="AP115" i="1"/>
  <c r="AO106" i="1"/>
  <c r="AP106" i="1"/>
  <c r="AO91" i="1"/>
  <c r="AP91" i="1"/>
  <c r="AP76" i="1"/>
  <c r="AO76" i="1"/>
  <c r="AP60" i="1"/>
  <c r="AO60" i="1"/>
  <c r="AP44" i="1"/>
  <c r="AO44" i="1"/>
  <c r="AP28" i="1"/>
  <c r="AO28" i="1"/>
  <c r="AP589" i="1"/>
  <c r="AO589" i="1"/>
  <c r="AP581" i="1"/>
  <c r="AO581" i="1"/>
  <c r="AP573" i="1"/>
  <c r="AO573" i="1"/>
  <c r="AO567" i="1"/>
  <c r="AP567" i="1"/>
  <c r="AO551" i="1"/>
  <c r="AP551" i="1"/>
  <c r="AO535" i="1"/>
  <c r="AP535" i="1"/>
  <c r="AO519" i="1"/>
  <c r="AP519" i="1"/>
  <c r="AO503" i="1"/>
  <c r="AP503" i="1"/>
  <c r="AO487" i="1"/>
  <c r="AP487" i="1"/>
  <c r="AO471" i="1"/>
  <c r="AP471" i="1"/>
  <c r="AO437" i="1"/>
  <c r="AP437" i="1"/>
  <c r="AO167" i="1"/>
  <c r="AP167" i="1"/>
  <c r="AO143" i="1"/>
  <c r="AP143" i="1"/>
  <c r="AO136" i="1"/>
  <c r="AP136" i="1"/>
  <c r="AP130" i="1"/>
  <c r="AO130" i="1"/>
  <c r="AO111" i="1"/>
  <c r="AP111" i="1"/>
  <c r="AP64" i="1"/>
  <c r="AO64" i="1"/>
  <c r="AP48" i="1"/>
  <c r="AO48" i="1"/>
  <c r="AP32" i="1"/>
  <c r="AO32" i="1"/>
  <c r="AO569" i="1"/>
  <c r="AO565" i="1"/>
  <c r="AO561" i="1"/>
  <c r="AO557" i="1"/>
  <c r="AO553" i="1"/>
  <c r="AO549" i="1"/>
  <c r="AO545" i="1"/>
  <c r="AO541" i="1"/>
  <c r="AO537" i="1"/>
  <c r="AO533" i="1"/>
  <c r="AO529" i="1"/>
  <c r="AO525" i="1"/>
  <c r="AO521" i="1"/>
  <c r="AO517" i="1"/>
  <c r="AO513" i="1"/>
  <c r="AO509" i="1"/>
  <c r="AO505" i="1"/>
  <c r="AO501" i="1"/>
  <c r="AO497" i="1"/>
  <c r="AO493" i="1"/>
  <c r="AO489" i="1"/>
  <c r="AO485" i="1"/>
  <c r="AO481" i="1"/>
  <c r="AO477" i="1"/>
  <c r="AO473" i="1"/>
  <c r="AO469" i="1"/>
  <c r="AO466" i="1"/>
  <c r="AO454" i="1"/>
  <c r="AP449" i="1"/>
  <c r="AO401" i="1"/>
  <c r="AP401" i="1"/>
  <c r="AO388" i="1"/>
  <c r="AP388" i="1"/>
  <c r="AO381" i="1"/>
  <c r="AP381" i="1"/>
  <c r="AO357" i="1"/>
  <c r="AP357" i="1"/>
  <c r="AO341" i="1"/>
  <c r="AP341" i="1"/>
  <c r="AO325" i="1"/>
  <c r="AP325" i="1"/>
  <c r="AO309" i="1"/>
  <c r="AP309" i="1"/>
  <c r="AO293" i="1"/>
  <c r="AP293" i="1"/>
  <c r="AO281" i="1"/>
  <c r="AP281" i="1"/>
  <c r="AO265" i="1"/>
  <c r="AP265" i="1"/>
  <c r="AO249" i="1"/>
  <c r="AP249" i="1"/>
  <c r="AO237" i="1"/>
  <c r="AP237" i="1"/>
  <c r="AO221" i="1"/>
  <c r="AP221" i="1"/>
  <c r="AO209" i="1"/>
  <c r="AP209" i="1"/>
  <c r="AO201" i="1"/>
  <c r="AP201" i="1"/>
  <c r="AO190" i="1"/>
  <c r="AP187" i="1"/>
  <c r="AO170" i="1"/>
  <c r="AP170" i="1"/>
  <c r="AO150" i="1"/>
  <c r="AP150" i="1"/>
  <c r="AP138" i="1"/>
  <c r="AO138" i="1"/>
  <c r="AO128" i="1"/>
  <c r="AP128" i="1"/>
  <c r="AO102" i="1"/>
  <c r="AP102" i="1"/>
  <c r="AO82" i="1"/>
  <c r="AO16" i="1"/>
  <c r="AO12" i="1"/>
  <c r="AO8" i="1"/>
  <c r="AO4" i="1"/>
  <c r="AO404" i="1"/>
  <c r="AP404" i="1"/>
  <c r="AO384" i="1"/>
  <c r="AP384" i="1"/>
  <c r="AO360" i="1"/>
  <c r="AP360" i="1"/>
  <c r="AO345" i="1"/>
  <c r="AP345" i="1"/>
  <c r="AO329" i="1"/>
  <c r="AP329" i="1"/>
  <c r="AO313" i="1"/>
  <c r="AP313" i="1"/>
  <c r="AO297" i="1"/>
  <c r="AP297" i="1"/>
  <c r="AO285" i="1"/>
  <c r="AP285" i="1"/>
  <c r="AO269" i="1"/>
  <c r="AP269" i="1"/>
  <c r="AO253" i="1"/>
  <c r="AP253" i="1"/>
  <c r="AO225" i="1"/>
  <c r="AP225" i="1"/>
  <c r="AO183" i="1"/>
  <c r="AP183" i="1"/>
  <c r="AO146" i="1"/>
  <c r="AP146" i="1"/>
  <c r="AO140" i="1"/>
  <c r="AP140" i="1"/>
  <c r="AP134" i="1"/>
  <c r="AO134" i="1"/>
  <c r="AO119" i="1"/>
  <c r="AP119" i="1"/>
  <c r="AO95" i="1"/>
  <c r="AP95" i="1"/>
  <c r="AO84" i="1"/>
  <c r="AP84" i="1"/>
  <c r="AP413" i="1"/>
  <c r="AO386" i="1"/>
  <c r="AP377" i="1"/>
  <c r="AP373" i="1"/>
  <c r="AP369" i="1"/>
  <c r="AP195" i="1"/>
  <c r="AP179" i="1"/>
  <c r="AO152" i="1"/>
  <c r="AO148" i="1"/>
  <c r="AO114" i="1"/>
  <c r="AO104" i="1"/>
  <c r="AO100" i="1"/>
  <c r="AO98" i="1"/>
  <c r="AP79" i="1"/>
  <c r="AP19" i="1"/>
  <c r="AP1567" i="1"/>
  <c r="AO1566" i="1"/>
  <c r="AP1563" i="1"/>
  <c r="AO1562" i="1"/>
  <c r="AP1559" i="1"/>
  <c r="AO1558" i="1"/>
  <c r="AP1555" i="1"/>
  <c r="AO1554" i="1"/>
  <c r="AP1551" i="1"/>
  <c r="AO1550" i="1"/>
  <c r="AP1547" i="1"/>
  <c r="AO1546" i="1"/>
  <c r="AP1543" i="1"/>
  <c r="AO1542" i="1"/>
  <c r="AP1539" i="1"/>
  <c r="AO1538" i="1"/>
  <c r="AP1535" i="1"/>
  <c r="AO1534" i="1"/>
  <c r="AP1531" i="1"/>
  <c r="AO1530" i="1"/>
  <c r="AP1527" i="1"/>
  <c r="AO1526" i="1"/>
  <c r="AP1523" i="1"/>
  <c r="AO1522" i="1"/>
  <c r="AP1519" i="1"/>
  <c r="AO1518" i="1"/>
  <c r="AO1514" i="1"/>
  <c r="AO1510" i="1"/>
  <c r="AO1506" i="1"/>
  <c r="AO1502" i="1"/>
  <c r="AP1499" i="1"/>
  <c r="AO1498" i="1"/>
  <c r="AP1495" i="1"/>
  <c r="AO1494" i="1"/>
  <c r="AO1490" i="1"/>
  <c r="AP1487" i="1"/>
  <c r="AO1486" i="1"/>
  <c r="AO1482" i="1"/>
  <c r="AO1478" i="1"/>
  <c r="AO1474" i="1"/>
  <c r="AO1470" i="1"/>
  <c r="AO1466" i="1"/>
  <c r="AO1462" i="1"/>
  <c r="AO1458" i="1"/>
  <c r="AO1454" i="1"/>
  <c r="AO1450" i="1"/>
  <c r="AO1446" i="1"/>
  <c r="AO1442" i="1"/>
  <c r="AO1438" i="1"/>
  <c r="AO1434" i="1"/>
  <c r="AO1430" i="1"/>
  <c r="AO1426" i="1"/>
  <c r="AO1422" i="1"/>
  <c r="AO1418" i="1"/>
  <c r="AP1415" i="1"/>
  <c r="AO1414" i="1"/>
  <c r="AP1411" i="1"/>
  <c r="AO1410" i="1"/>
  <c r="AP1407" i="1"/>
  <c r="AO1406" i="1"/>
  <c r="AO1402" i="1"/>
  <c r="AO1398" i="1"/>
  <c r="AO1394" i="1"/>
  <c r="AO1390" i="1"/>
  <c r="AP1387" i="1"/>
  <c r="AO1386" i="1"/>
  <c r="AO1382" i="1"/>
  <c r="AO1378" i="1"/>
  <c r="AO1374" i="1"/>
  <c r="AO1370" i="1"/>
  <c r="AO1366" i="1"/>
  <c r="AO1362" i="1"/>
  <c r="AO1358" i="1"/>
  <c r="AO1354" i="1"/>
  <c r="AP1351" i="1"/>
  <c r="AO1350" i="1"/>
  <c r="AP1347" i="1"/>
  <c r="AO1346" i="1"/>
  <c r="AP1343" i="1"/>
  <c r="AO1342" i="1"/>
  <c r="AP1339" i="1"/>
  <c r="AO1338" i="1"/>
  <c r="AP1335" i="1"/>
  <c r="AO1334" i="1"/>
  <c r="AO1330" i="1"/>
  <c r="AO1326" i="1"/>
  <c r="AO1322" i="1"/>
  <c r="AO1318" i="1"/>
  <c r="AP1315" i="1"/>
  <c r="AO1314" i="1"/>
  <c r="AO1310" i="1"/>
  <c r="AO1306" i="1"/>
  <c r="AO1302" i="1"/>
  <c r="AO1298" i="1"/>
  <c r="AO1294" i="1"/>
  <c r="AO1290" i="1"/>
  <c r="AO1286" i="1"/>
  <c r="AO1282" i="1"/>
  <c r="AO1278" i="1"/>
  <c r="AO1274" i="1"/>
  <c r="AO1270" i="1"/>
  <c r="AO1266" i="1"/>
  <c r="AO1262" i="1"/>
  <c r="AO1258" i="1"/>
  <c r="AO1254" i="1"/>
  <c r="AP1251" i="1"/>
  <c r="AO1250" i="1"/>
  <c r="AO1246" i="1"/>
  <c r="AO1242" i="1"/>
  <c r="AP1232" i="1"/>
  <c r="AP1230" i="1"/>
  <c r="AP1207" i="1"/>
  <c r="AO1207" i="1"/>
  <c r="AP1202" i="1"/>
  <c r="AO1202" i="1"/>
  <c r="AP1238" i="1"/>
  <c r="AO1213" i="1"/>
  <c r="AP1213" i="1"/>
  <c r="AP1199" i="1"/>
  <c r="AO1199" i="1"/>
  <c r="AP1194" i="1"/>
  <c r="AO1194" i="1"/>
  <c r="AP1226" i="1"/>
  <c r="AO1226" i="1"/>
  <c r="AP1222" i="1"/>
  <c r="AO1222" i="1"/>
  <c r="AP1218" i="1"/>
  <c r="AO1218" i="1"/>
  <c r="AO1205" i="1"/>
  <c r="AP1205" i="1"/>
  <c r="AP1191" i="1"/>
  <c r="AO1191" i="1"/>
  <c r="AP1215" i="1"/>
  <c r="AO1215" i="1"/>
  <c r="AP1210" i="1"/>
  <c r="AO1210" i="1"/>
  <c r="AO1197" i="1"/>
  <c r="AP1197" i="1"/>
  <c r="AP1189" i="1"/>
  <c r="AO1186" i="1"/>
  <c r="AO1183" i="1"/>
  <c r="AP1181" i="1"/>
  <c r="AO1178" i="1"/>
  <c r="AO1175" i="1"/>
  <c r="AP1173" i="1"/>
  <c r="AO1170" i="1"/>
  <c r="AO1167" i="1"/>
  <c r="AP1165" i="1"/>
  <c r="AO1162" i="1"/>
  <c r="AO1159" i="1"/>
  <c r="AP1157" i="1"/>
  <c r="AO1154" i="1"/>
  <c r="AO1151" i="1"/>
  <c r="AP1149" i="1"/>
  <c r="AO1146" i="1"/>
  <c r="AO1143" i="1"/>
  <c r="AP1141" i="1"/>
  <c r="AO1138" i="1"/>
  <c r="AO1135" i="1"/>
  <c r="AP1133" i="1"/>
  <c r="AO1130" i="1"/>
  <c r="AO1127" i="1"/>
  <c r="AP1125" i="1"/>
  <c r="AO1122" i="1"/>
  <c r="AO1119" i="1"/>
  <c r="AP1117" i="1"/>
  <c r="AO1114" i="1"/>
  <c r="AO1111" i="1"/>
  <c r="AP1109" i="1"/>
  <c r="AO1106" i="1"/>
  <c r="AP1099" i="1"/>
  <c r="AP1097" i="1"/>
  <c r="AP1083" i="1"/>
  <c r="AP1081" i="1"/>
  <c r="AP1067" i="1"/>
  <c r="AP1065" i="1"/>
  <c r="AP1051" i="1"/>
  <c r="AP1049" i="1"/>
  <c r="AO760" i="1"/>
  <c r="AP760" i="1"/>
  <c r="AO744" i="1"/>
  <c r="AP744" i="1"/>
  <c r="AO728" i="1"/>
  <c r="AP728" i="1"/>
  <c r="AO712" i="1"/>
  <c r="AP712" i="1"/>
  <c r="AO710" i="1"/>
  <c r="AP710" i="1"/>
  <c r="AO706" i="1"/>
  <c r="AP706" i="1"/>
  <c r="AO702" i="1"/>
  <c r="AP702" i="1"/>
  <c r="AO698" i="1"/>
  <c r="AP698" i="1"/>
  <c r="AO694" i="1"/>
  <c r="AP694" i="1"/>
  <c r="AO690" i="1"/>
  <c r="AP690" i="1"/>
  <c r="AO686" i="1"/>
  <c r="AP686" i="1"/>
  <c r="AO682" i="1"/>
  <c r="AP682" i="1"/>
  <c r="AO678" i="1"/>
  <c r="AP678" i="1"/>
  <c r="AO674" i="1"/>
  <c r="AP674" i="1"/>
  <c r="AO670" i="1"/>
  <c r="AP670" i="1"/>
  <c r="AO666" i="1"/>
  <c r="AP666" i="1"/>
  <c r="AO662" i="1"/>
  <c r="AP662" i="1"/>
  <c r="AO658" i="1"/>
  <c r="AP658" i="1"/>
  <c r="AO654" i="1"/>
  <c r="AP654" i="1"/>
  <c r="AO650" i="1"/>
  <c r="AP650" i="1"/>
  <c r="AO646" i="1"/>
  <c r="AP646" i="1"/>
  <c r="AO642" i="1"/>
  <c r="AP642" i="1"/>
  <c r="AO638" i="1"/>
  <c r="AP638" i="1"/>
  <c r="AO634" i="1"/>
  <c r="AP634" i="1"/>
  <c r="AO630" i="1"/>
  <c r="AP630" i="1"/>
  <c r="AO626" i="1"/>
  <c r="AP626" i="1"/>
  <c r="AO622" i="1"/>
  <c r="AP622" i="1"/>
  <c r="AO618" i="1"/>
  <c r="AP618" i="1"/>
  <c r="AO614" i="1"/>
  <c r="AP614" i="1"/>
  <c r="AO610" i="1"/>
  <c r="AP610" i="1"/>
  <c r="AO606" i="1"/>
  <c r="AP606" i="1"/>
  <c r="AO602" i="1"/>
  <c r="AP602" i="1"/>
  <c r="AO598" i="1"/>
  <c r="AP598" i="1"/>
  <c r="AO594" i="1"/>
  <c r="AP594" i="1"/>
  <c r="AO590" i="1"/>
  <c r="AP590" i="1"/>
  <c r="AO586" i="1"/>
  <c r="AP586" i="1"/>
  <c r="AO582" i="1"/>
  <c r="AP582" i="1"/>
  <c r="AO578" i="1"/>
  <c r="AP578" i="1"/>
  <c r="AO574" i="1"/>
  <c r="AP574" i="1"/>
  <c r="AO570" i="1"/>
  <c r="AP570" i="1"/>
  <c r="AO566" i="1"/>
  <c r="AP566" i="1"/>
  <c r="AO562" i="1"/>
  <c r="AP562" i="1"/>
  <c r="AO558" i="1"/>
  <c r="AP558" i="1"/>
  <c r="AO554" i="1"/>
  <c r="AP554" i="1"/>
  <c r="AO550" i="1"/>
  <c r="AP550" i="1"/>
  <c r="AO546" i="1"/>
  <c r="AP546" i="1"/>
  <c r="AO542" i="1"/>
  <c r="AP542" i="1"/>
  <c r="AO538" i="1"/>
  <c r="AP538" i="1"/>
  <c r="AO534" i="1"/>
  <c r="AP534" i="1"/>
  <c r="AO530" i="1"/>
  <c r="AP530" i="1"/>
  <c r="AO526" i="1"/>
  <c r="AP526" i="1"/>
  <c r="AO522" i="1"/>
  <c r="AP522" i="1"/>
  <c r="AO518" i="1"/>
  <c r="AP518" i="1"/>
  <c r="AO514" i="1"/>
  <c r="AP514" i="1"/>
  <c r="AO510" i="1"/>
  <c r="AP510" i="1"/>
  <c r="AO506" i="1"/>
  <c r="AP506" i="1"/>
  <c r="AO502" i="1"/>
  <c r="AP502" i="1"/>
  <c r="AO498" i="1"/>
  <c r="AP498" i="1"/>
  <c r="AO494" i="1"/>
  <c r="AP494" i="1"/>
  <c r="AO490" i="1"/>
  <c r="AP490" i="1"/>
  <c r="AO486" i="1"/>
  <c r="AP486" i="1"/>
  <c r="AO482" i="1"/>
  <c r="AP482" i="1"/>
  <c r="AO478" i="1"/>
  <c r="AP478" i="1"/>
  <c r="AO474" i="1"/>
  <c r="AP474" i="1"/>
  <c r="AO470" i="1"/>
  <c r="AP470" i="1"/>
  <c r="AO439" i="1"/>
  <c r="AP439" i="1"/>
  <c r="AO423" i="1"/>
  <c r="AP423" i="1"/>
  <c r="AO407" i="1"/>
  <c r="AP407" i="1"/>
  <c r="AO391" i="1"/>
  <c r="AP391" i="1"/>
  <c r="AO363" i="1"/>
  <c r="AP363" i="1"/>
  <c r="AO189" i="1"/>
  <c r="AP189" i="1"/>
  <c r="AO173" i="1"/>
  <c r="AP173" i="1"/>
  <c r="AO157" i="1"/>
  <c r="AP157" i="1"/>
  <c r="AO125" i="1"/>
  <c r="AP125" i="1"/>
  <c r="AO81" i="1"/>
  <c r="AP81" i="1"/>
  <c r="AO77" i="1"/>
  <c r="AP77" i="1"/>
  <c r="AO762" i="1"/>
  <c r="AP762" i="1"/>
  <c r="AO746" i="1"/>
  <c r="AP746" i="1"/>
  <c r="AO730" i="1"/>
  <c r="AP730" i="1"/>
  <c r="AO714" i="1"/>
  <c r="AP714" i="1"/>
  <c r="AP1217" i="1"/>
  <c r="AO1214" i="1"/>
  <c r="AP1209" i="1"/>
  <c r="AO1206" i="1"/>
  <c r="AP1201" i="1"/>
  <c r="AO1198" i="1"/>
  <c r="AP1193" i="1"/>
  <c r="AO1190" i="1"/>
  <c r="AP1185" i="1"/>
  <c r="AO1182" i="1"/>
  <c r="AP1177" i="1"/>
  <c r="AO1174" i="1"/>
  <c r="AP1169" i="1"/>
  <c r="AO1166" i="1"/>
  <c r="AP1161" i="1"/>
  <c r="AO1158" i="1"/>
  <c r="AP1153" i="1"/>
  <c r="AO1150" i="1"/>
  <c r="AP1145" i="1"/>
  <c r="AP1137" i="1"/>
  <c r="AP1103" i="1"/>
  <c r="AP1101" i="1"/>
  <c r="AP1087" i="1"/>
  <c r="AP1085" i="1"/>
  <c r="AP1071" i="1"/>
  <c r="AP1069" i="1"/>
  <c r="AP1055" i="1"/>
  <c r="AP1053" i="1"/>
  <c r="AO1039" i="1"/>
  <c r="AP1039" i="1"/>
  <c r="AO1035" i="1"/>
  <c r="AP1035" i="1"/>
  <c r="AO1031" i="1"/>
  <c r="AP1031" i="1"/>
  <c r="AO1027" i="1"/>
  <c r="AP1027" i="1"/>
  <c r="AO1023" i="1"/>
  <c r="AP1023" i="1"/>
  <c r="AO1019" i="1"/>
  <c r="AP1019" i="1"/>
  <c r="AO1015" i="1"/>
  <c r="AP1015" i="1"/>
  <c r="AO1011" i="1"/>
  <c r="AP1011" i="1"/>
  <c r="AO1007" i="1"/>
  <c r="AP1007" i="1"/>
  <c r="AO1003" i="1"/>
  <c r="AP1003" i="1"/>
  <c r="AO999" i="1"/>
  <c r="AP999" i="1"/>
  <c r="AO995" i="1"/>
  <c r="AP995" i="1"/>
  <c r="AO991" i="1"/>
  <c r="AP991" i="1"/>
  <c r="AO987" i="1"/>
  <c r="AP987" i="1"/>
  <c r="AO983" i="1"/>
  <c r="AP983" i="1"/>
  <c r="AO979" i="1"/>
  <c r="AP979" i="1"/>
  <c r="AO975" i="1"/>
  <c r="AP975" i="1"/>
  <c r="AO971" i="1"/>
  <c r="AP971" i="1"/>
  <c r="AO967" i="1"/>
  <c r="AP967" i="1"/>
  <c r="AO963" i="1"/>
  <c r="AP963" i="1"/>
  <c r="AO959" i="1"/>
  <c r="AP959" i="1"/>
  <c r="AO955" i="1"/>
  <c r="AP955" i="1"/>
  <c r="AO951" i="1"/>
  <c r="AP951" i="1"/>
  <c r="AO947" i="1"/>
  <c r="AP947" i="1"/>
  <c r="AO943" i="1"/>
  <c r="AP943" i="1"/>
  <c r="AO939" i="1"/>
  <c r="AP939" i="1"/>
  <c r="AO935" i="1"/>
  <c r="AP935" i="1"/>
  <c r="AO931" i="1"/>
  <c r="AP931" i="1"/>
  <c r="AO927" i="1"/>
  <c r="AP927" i="1"/>
  <c r="AO923" i="1"/>
  <c r="AP923" i="1"/>
  <c r="AO919" i="1"/>
  <c r="AP919" i="1"/>
  <c r="AO915" i="1"/>
  <c r="AP915" i="1"/>
  <c r="AO911" i="1"/>
  <c r="AP911" i="1"/>
  <c r="AO907" i="1"/>
  <c r="AP907" i="1"/>
  <c r="AO903" i="1"/>
  <c r="AP903" i="1"/>
  <c r="AO899" i="1"/>
  <c r="AP899" i="1"/>
  <c r="AO895" i="1"/>
  <c r="AP895" i="1"/>
  <c r="AO891" i="1"/>
  <c r="AP891" i="1"/>
  <c r="AO887" i="1"/>
  <c r="AP887" i="1"/>
  <c r="AO883" i="1"/>
  <c r="AP883" i="1"/>
  <c r="AO879" i="1"/>
  <c r="AP879" i="1"/>
  <c r="AO875" i="1"/>
  <c r="AP875" i="1"/>
  <c r="AO871" i="1"/>
  <c r="AP871" i="1"/>
  <c r="AO867" i="1"/>
  <c r="AP867" i="1"/>
  <c r="AO863" i="1"/>
  <c r="AP863" i="1"/>
  <c r="AO859" i="1"/>
  <c r="AP859" i="1"/>
  <c r="AO855" i="1"/>
  <c r="AP855" i="1"/>
  <c r="AO851" i="1"/>
  <c r="AP851" i="1"/>
  <c r="AO847" i="1"/>
  <c r="AP847" i="1"/>
  <c r="AO843" i="1"/>
  <c r="AP843" i="1"/>
  <c r="AO839" i="1"/>
  <c r="AP839" i="1"/>
  <c r="AO835" i="1"/>
  <c r="AP835" i="1"/>
  <c r="AO831" i="1"/>
  <c r="AP831" i="1"/>
  <c r="AO827" i="1"/>
  <c r="AP827" i="1"/>
  <c r="AO823" i="1"/>
  <c r="AP823" i="1"/>
  <c r="AO819" i="1"/>
  <c r="AP819" i="1"/>
  <c r="AO815" i="1"/>
  <c r="AP815" i="1"/>
  <c r="AO811" i="1"/>
  <c r="AP811" i="1"/>
  <c r="AO807" i="1"/>
  <c r="AP807" i="1"/>
  <c r="AO803" i="1"/>
  <c r="AP803" i="1"/>
  <c r="AO799" i="1"/>
  <c r="AP799" i="1"/>
  <c r="AP754" i="1"/>
  <c r="AP752" i="1"/>
  <c r="AP738" i="1"/>
  <c r="AP736" i="1"/>
  <c r="AP722" i="1"/>
  <c r="AP720" i="1"/>
  <c r="AP447" i="1"/>
  <c r="AO443" i="1"/>
  <c r="AP443" i="1"/>
  <c r="AO427" i="1"/>
  <c r="AP427" i="1"/>
  <c r="AO411" i="1"/>
  <c r="AP411" i="1"/>
  <c r="AO395" i="1"/>
  <c r="AP395" i="1"/>
  <c r="AO375" i="1"/>
  <c r="AP375" i="1"/>
  <c r="AO371" i="1"/>
  <c r="AP371" i="1"/>
  <c r="AO367" i="1"/>
  <c r="AP367" i="1"/>
  <c r="AO431" i="1"/>
  <c r="AP431" i="1"/>
  <c r="AO415" i="1"/>
  <c r="AP415" i="1"/>
  <c r="AO399" i="1"/>
  <c r="AP399" i="1"/>
  <c r="AO379" i="1"/>
  <c r="AP379" i="1"/>
  <c r="AO355" i="1"/>
  <c r="AP355" i="1"/>
  <c r="AO351" i="1"/>
  <c r="AP351" i="1"/>
  <c r="AO347" i="1"/>
  <c r="AP347" i="1"/>
  <c r="AO343" i="1"/>
  <c r="AP343" i="1"/>
  <c r="AO339" i="1"/>
  <c r="AP339" i="1"/>
  <c r="AO335" i="1"/>
  <c r="AP335" i="1"/>
  <c r="AO331" i="1"/>
  <c r="AP331" i="1"/>
  <c r="AO327" i="1"/>
  <c r="AP327" i="1"/>
  <c r="AO323" i="1"/>
  <c r="AP323" i="1"/>
  <c r="AO319" i="1"/>
  <c r="AP319" i="1"/>
  <c r="AO315" i="1"/>
  <c r="AP315" i="1"/>
  <c r="AO311" i="1"/>
  <c r="AP311" i="1"/>
  <c r="AO307" i="1"/>
  <c r="AP307" i="1"/>
  <c r="AO303" i="1"/>
  <c r="AP303" i="1"/>
  <c r="AO299" i="1"/>
  <c r="AP299" i="1"/>
  <c r="AO295" i="1"/>
  <c r="AP295" i="1"/>
  <c r="AO291" i="1"/>
  <c r="AP291" i="1"/>
  <c r="AO287" i="1"/>
  <c r="AP287" i="1"/>
  <c r="AO283" i="1"/>
  <c r="AP283" i="1"/>
  <c r="AO279" i="1"/>
  <c r="AP279" i="1"/>
  <c r="AO275" i="1"/>
  <c r="AP275" i="1"/>
  <c r="AO271" i="1"/>
  <c r="AP271" i="1"/>
  <c r="AO267" i="1"/>
  <c r="AP267" i="1"/>
  <c r="AO263" i="1"/>
  <c r="AP263" i="1"/>
  <c r="AO259" i="1"/>
  <c r="AP259" i="1"/>
  <c r="AO255" i="1"/>
  <c r="AP255" i="1"/>
  <c r="AO251" i="1"/>
  <c r="AP251" i="1"/>
  <c r="AO247" i="1"/>
  <c r="AP247" i="1"/>
  <c r="AO243" i="1"/>
  <c r="AP243" i="1"/>
  <c r="AO239" i="1"/>
  <c r="AP239" i="1"/>
  <c r="AO235" i="1"/>
  <c r="AP235" i="1"/>
  <c r="AO231" i="1"/>
  <c r="AP231" i="1"/>
  <c r="AO227" i="1"/>
  <c r="AP227" i="1"/>
  <c r="AO223" i="1"/>
  <c r="AP223" i="1"/>
  <c r="AO219" i="1"/>
  <c r="AP219" i="1"/>
  <c r="AO215" i="1"/>
  <c r="AP215" i="1"/>
  <c r="AO211" i="1"/>
  <c r="AP211" i="1"/>
  <c r="AO207" i="1"/>
  <c r="AP207" i="1"/>
  <c r="AO203" i="1"/>
  <c r="AP203" i="1"/>
  <c r="AO199" i="1"/>
  <c r="AP199" i="1"/>
  <c r="AO435" i="1"/>
  <c r="AP435" i="1"/>
  <c r="AO419" i="1"/>
  <c r="AP419" i="1"/>
  <c r="AO403" i="1"/>
  <c r="AP403" i="1"/>
  <c r="AO387" i="1"/>
  <c r="AP387" i="1"/>
  <c r="AO383" i="1"/>
  <c r="AP383" i="1"/>
  <c r="AO359" i="1"/>
  <c r="AP359" i="1"/>
  <c r="AP446" i="1"/>
  <c r="AP442" i="1"/>
  <c r="AP438" i="1"/>
  <c r="AP434" i="1"/>
  <c r="AP430" i="1"/>
  <c r="AP426" i="1"/>
  <c r="AP422" i="1"/>
  <c r="AP418" i="1"/>
  <c r="AP414" i="1"/>
  <c r="AP410" i="1"/>
  <c r="AP406" i="1"/>
  <c r="AP402" i="1"/>
  <c r="AP398" i="1"/>
  <c r="AP394" i="1"/>
  <c r="AP390" i="1"/>
  <c r="AP382" i="1"/>
  <c r="AP378" i="1"/>
  <c r="AP366" i="1"/>
  <c r="AP362" i="1"/>
  <c r="AP358" i="1"/>
  <c r="AO193" i="1"/>
  <c r="AP193" i="1"/>
  <c r="AO177" i="1"/>
  <c r="AP177" i="1"/>
  <c r="AO161" i="1"/>
  <c r="AP161" i="1"/>
  <c r="AO121" i="1"/>
  <c r="AP121" i="1"/>
  <c r="AO73" i="1"/>
  <c r="AP73" i="1"/>
  <c r="AO69" i="1"/>
  <c r="AP69" i="1"/>
  <c r="AO65" i="1"/>
  <c r="AP65" i="1"/>
  <c r="AO61" i="1"/>
  <c r="AP61" i="1"/>
  <c r="AO57" i="1"/>
  <c r="AP57" i="1"/>
  <c r="AO53" i="1"/>
  <c r="AP53" i="1"/>
  <c r="AO49" i="1"/>
  <c r="AP49" i="1"/>
  <c r="AO45" i="1"/>
  <c r="AP45" i="1"/>
  <c r="AO41" i="1"/>
  <c r="AP41" i="1"/>
  <c r="AO37" i="1"/>
  <c r="AP37" i="1"/>
  <c r="AO33" i="1"/>
  <c r="AP33" i="1"/>
  <c r="AO29" i="1"/>
  <c r="AP29" i="1"/>
  <c r="AO25" i="1"/>
  <c r="AP25" i="1"/>
  <c r="AO21" i="1"/>
  <c r="AP21" i="1"/>
  <c r="AO17" i="1"/>
  <c r="AP17" i="1"/>
  <c r="AO13" i="1"/>
  <c r="AP13" i="1"/>
  <c r="AO9" i="1"/>
  <c r="AP9" i="1"/>
  <c r="AO5" i="1"/>
  <c r="AP5" i="1"/>
  <c r="AO181" i="1"/>
  <c r="AP181" i="1"/>
  <c r="AO165" i="1"/>
  <c r="AP165" i="1"/>
  <c r="AO117" i="1"/>
  <c r="AP117" i="1"/>
  <c r="AO113" i="1"/>
  <c r="AP113" i="1"/>
  <c r="AO109" i="1"/>
  <c r="AP109" i="1"/>
  <c r="AO97" i="1"/>
  <c r="AP97" i="1"/>
  <c r="AO93" i="1"/>
  <c r="AP93" i="1"/>
  <c r="AO89" i="1"/>
  <c r="AP89" i="1"/>
  <c r="AO185" i="1"/>
  <c r="AP185" i="1"/>
  <c r="AO169" i="1"/>
  <c r="AP169" i="1"/>
  <c r="AO153" i="1"/>
  <c r="AP153" i="1"/>
  <c r="AO149" i="1"/>
  <c r="AP149" i="1"/>
  <c r="AO145" i="1"/>
  <c r="AP145" i="1"/>
  <c r="AO141" i="1"/>
  <c r="AP141" i="1"/>
  <c r="AO137" i="1"/>
  <c r="AP137" i="1"/>
  <c r="AO133" i="1"/>
  <c r="AP133" i="1"/>
  <c r="AO129" i="1"/>
  <c r="AP129" i="1"/>
  <c r="AO105" i="1"/>
  <c r="AP105" i="1"/>
  <c r="AO101" i="1"/>
  <c r="AP101" i="1"/>
  <c r="AO85" i="1"/>
  <c r="AP85" i="1"/>
  <c r="AP196" i="1"/>
  <c r="AP192" i="1"/>
  <c r="AP188" i="1"/>
  <c r="AP184" i="1"/>
  <c r="AP180" i="1"/>
  <c r="AP176" i="1"/>
  <c r="AP172" i="1"/>
  <c r="AP168" i="1"/>
  <c r="AP164" i="1"/>
  <c r="AP160" i="1"/>
  <c r="AP1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Q1" authorId="0" shapeId="0" xr:uid="{61F9497C-EE84-4A9E-95E9-6F93FFEB7F1D}">
      <text>
        <r>
          <rPr>
            <b/>
            <sz val="9"/>
            <color indexed="81"/>
            <rFont val="Tahoma"/>
            <family val="2"/>
          </rPr>
          <t xml:space="preserve">En base al CIF Unitario
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AR1" authorId="0" shapeId="0" xr:uid="{33EDDC3F-296B-402E-AC44-AF821A5937E9}">
      <text>
        <r>
          <rPr>
            <sz val="9"/>
            <color indexed="81"/>
            <rFont val="Tahoma"/>
            <family val="2"/>
          </rPr>
          <t xml:space="preserve">En base al CIF Unitario
</t>
        </r>
      </text>
    </comment>
    <comment ref="AS1" authorId="0" shapeId="0" xr:uid="{9096DF3E-E029-4ECD-AEBC-C792377ECDD9}">
      <text>
        <r>
          <rPr>
            <sz val="9"/>
            <color indexed="81"/>
            <rFont val="Tahoma"/>
            <family val="2"/>
          </rPr>
          <t>En base al CIF Unitario
En base al CIF Unitario</t>
        </r>
      </text>
    </comment>
  </commentList>
</comments>
</file>

<file path=xl/sharedStrings.xml><?xml version="1.0" encoding="utf-8"?>
<sst xmlns="http://schemas.openxmlformats.org/spreadsheetml/2006/main" count="36699" uniqueCount="1970">
  <si>
    <t>Año</t>
  </si>
  <si>
    <t>Mes</t>
  </si>
  <si>
    <t>Distrito</t>
  </si>
  <si>
    <t>Régimen</t>
  </si>
  <si>
    <t>Importador</t>
  </si>
  <si>
    <t>RUC</t>
  </si>
  <si>
    <t>Provincia</t>
  </si>
  <si>
    <t>País_de_Origen</t>
  </si>
  <si>
    <t>País_de_Embarque</t>
  </si>
  <si>
    <t>Ciudad_de_Embarque</t>
  </si>
  <si>
    <t>Remitente/Proveedor</t>
  </si>
  <si>
    <t>Manifiesto</t>
  </si>
  <si>
    <t>BL</t>
  </si>
  <si>
    <t>Transportista</t>
  </si>
  <si>
    <t>Consignatario</t>
  </si>
  <si>
    <t>Consolidadora</t>
  </si>
  <si>
    <t>Vía</t>
  </si>
  <si>
    <t>Fecha_de_Embarque</t>
  </si>
  <si>
    <t>Fecha_de_Llegada</t>
  </si>
  <si>
    <t>Incoterm</t>
  </si>
  <si>
    <t>Subpartida</t>
  </si>
  <si>
    <t>TNAN</t>
  </si>
  <si>
    <t>Descripción_Arancelaria</t>
  </si>
  <si>
    <t>Marca_Comercial</t>
  </si>
  <si>
    <t>Descripción_Comercial</t>
  </si>
  <si>
    <t>Producto</t>
  </si>
  <si>
    <t>Modelo</t>
  </si>
  <si>
    <t>Flete</t>
  </si>
  <si>
    <t>Seguro</t>
  </si>
  <si>
    <t>CIF</t>
  </si>
  <si>
    <t>CFR_Unitario_(Calculado)</t>
  </si>
  <si>
    <t>CIF_Unitario_(Calculado)</t>
  </si>
  <si>
    <t>Fodinfa_(Estimado)</t>
  </si>
  <si>
    <t>Liberación</t>
  </si>
  <si>
    <t>Peso_Neto_(Kg)</t>
  </si>
  <si>
    <t>GUAYAQUIL - MARITIMO</t>
  </si>
  <si>
    <t>EMPRESA COMERCIAL VELA LEIVA EMCOVELE S.A.</t>
  </si>
  <si>
    <t>'1791882490001</t>
  </si>
  <si>
    <t>Pichincha</t>
  </si>
  <si>
    <t>FR-FRANCIA</t>
  </si>
  <si>
    <t>ANTWERPEN</t>
  </si>
  <si>
    <t>ATLAS COPCO AIRPOWER N.V.</t>
  </si>
  <si>
    <t>CMA-CGM ECUADOR S.A.</t>
  </si>
  <si>
    <t>EMPRESA COMERCIAL VELA LEIVA EMCOVELE S.A</t>
  </si>
  <si>
    <t>MARITIMO (IMPORTACION)</t>
  </si>
  <si>
    <t>2024-12-09</t>
  </si>
  <si>
    <t>2025-01-10</t>
  </si>
  <si>
    <t>EXW</t>
  </si>
  <si>
    <t>'2710193900</t>
  </si>
  <si>
    <t>0000</t>
  </si>
  <si>
    <t>Los demás/Aceites de petróleo o de mineral bituminoso, excepto los aceites crudos preparaciones no expresadas ni comprendidas en otra parte, con un contenido de aceites de petróleo o de mineral bituminoso superior o igual al 70% en</t>
  </si>
  <si>
    <t>ATLAS COPCO</t>
  </si>
  <si>
    <t>ACEITE</t>
  </si>
  <si>
    <t>'2908-8500-00</t>
  </si>
  <si>
    <t>-</t>
  </si>
  <si>
    <t>QUITO</t>
  </si>
  <si>
    <t>US-ESTADOS UNIDOS</t>
  </si>
  <si>
    <t>SSELS-NATIONAL AIRPORT</t>
  </si>
  <si>
    <t>BRUSSELS-NATIONAL AIRPORT</t>
  </si>
  <si>
    <t>ATLAS COPCO AIRPOWER NV</t>
  </si>
  <si>
    <t>BEBRU141723</t>
  </si>
  <si>
    <t>AIR EUROPA LINEAS AEREAS SOCIEDAD ANONIMA SOCIEDAD UNIPERSONAL</t>
  </si>
  <si>
    <t>AEREO (IMPORTACION)</t>
  </si>
  <si>
    <t>2025-01-28</t>
  </si>
  <si>
    <t>REPUESTOS PARA COMPRESORES</t>
  </si>
  <si>
    <t>'2908-8521-00</t>
  </si>
  <si>
    <t>'1630-1442-00</t>
  </si>
  <si>
    <t>NL-PAISES BAJOS</t>
  </si>
  <si>
    <t>'2818200000</t>
  </si>
  <si>
    <t>Oxido de aluminio, excepto el corindón artificial/Corindón natural, aunque no sea de constitución quimica definida óxido de aluminio hidróxido de aluminio.</t>
  </si>
  <si>
    <t>TUBO DESECANTE</t>
  </si>
  <si>
    <t>'1629-2042-83</t>
  </si>
  <si>
    <t>'3403990000</t>
  </si>
  <si>
    <t>Las demás/Preparaciones lubricantes (incluidos los aceites de corte, las preparaciones para aflojar tuercas, las praparaciones antiherrumbre o anticorrosión y las preparaciones para el desmoldeo, a base de lubricantes) y preparaciones d</t>
  </si>
  <si>
    <t>GRASAS LUBRICANTES</t>
  </si>
  <si>
    <t>'1630-0542-00</t>
  </si>
  <si>
    <t>'2901-1702-00</t>
  </si>
  <si>
    <t>'1630-0833-00</t>
  </si>
  <si>
    <t>DE-ALEMANIA</t>
  </si>
  <si>
    <t>'3917399000</t>
  </si>
  <si>
    <t>Los demás/Tubos y accesorios de tubería (por ejemplo: juntas, codos, empalmes [racores]), de plástico</t>
  </si>
  <si>
    <t>MANGUERA</t>
  </si>
  <si>
    <t>'1621-9548-00</t>
  </si>
  <si>
    <t>BE-BELGICA</t>
  </si>
  <si>
    <t>'4016930000</t>
  </si>
  <si>
    <t>Juntas o empaquetaduras/Las demás manufacturas de caucho vulcanizado sin endurecer</t>
  </si>
  <si>
    <t>ARANDELA SELLO</t>
  </si>
  <si>
    <t>'9125-6303-00</t>
  </si>
  <si>
    <t>'7318159000</t>
  </si>
  <si>
    <t>0001</t>
  </si>
  <si>
    <t>Los demás/Tornillos, pernos, tuercas, tirafondos, escarpias roscadas, remaches, pasadores, clavijas, chavetas, arandelas (incluidas las arandelas de muelle (resorte)) y artículos similares, de fundición, hierro o acero</t>
  </si>
  <si>
    <t>KIT DRYER</t>
  </si>
  <si>
    <t>'1837-0039-86</t>
  </si>
  <si>
    <t>'7412200000</t>
  </si>
  <si>
    <t>De aleaciones de cobre/Accesorios de tubería (por ejemplo: empalmes (racores), codos, manguitos) de cobre</t>
  </si>
  <si>
    <t>NIPPLE</t>
  </si>
  <si>
    <t>'0571-0035-63</t>
  </si>
  <si>
    <t>'8418999000</t>
  </si>
  <si>
    <t>Las demás/Refrigeradores, congeladores y demás material, máquinas y aparatos para producción de frío, aunque no sean eléctricos bombas de calor, excepto las máquinas y aparatos para acondicionamiento de a</t>
  </si>
  <si>
    <t>ENFRIADOR</t>
  </si>
  <si>
    <t>'1627-1547-00</t>
  </si>
  <si>
    <t>IT-ITALIA</t>
  </si>
  <si>
    <t>'8419509099</t>
  </si>
  <si>
    <t>Los demás/Los demás/Los demás/Aparatos, dispositivos o equipos de laboratorio, aunque se calienten electricamente (excepto los hornos y demás aparatos de la partida 85.14), para el tratamiento de materias mediante operaciones</t>
  </si>
  <si>
    <t>'1627-1459-00</t>
  </si>
  <si>
    <t>'8421299090</t>
  </si>
  <si>
    <t>Los demás/Los demás/Centrifugadoras, incluidas las secadoras centrífugas aparatos para filtrar o depurar líquidos o gases</t>
  </si>
  <si>
    <t>FILTRO ACEITE</t>
  </si>
  <si>
    <t>'2903-7525-01</t>
  </si>
  <si>
    <t>FILTRO</t>
  </si>
  <si>
    <t>'2903-7526-00</t>
  </si>
  <si>
    <t>'2903-7837-00</t>
  </si>
  <si>
    <t>'2906-0952-00</t>
  </si>
  <si>
    <t>'1613-6105-90</t>
  </si>
  <si>
    <t>'8421392000</t>
  </si>
  <si>
    <t>Filtros electrostáticos de aire u otros gases/Centrifugadoras, incluidas las secadoras centrífugas aparatos para filtrar o depurar líquidos o gases</t>
  </si>
  <si>
    <t>SEPARADOR ACEITE</t>
  </si>
  <si>
    <t>'1625-4811-51</t>
  </si>
  <si>
    <t>'8421999000</t>
  </si>
  <si>
    <t>Los demás/Centrifugadoras, incluidas las secadoras centrífugas aparatos para filtrar o depurar líquidos o gases</t>
  </si>
  <si>
    <t>FILTRO SEPARADOR</t>
  </si>
  <si>
    <t>'2901-3504-00</t>
  </si>
  <si>
    <t>FILTRO AIRE/ACEITE</t>
  </si>
  <si>
    <t>'2901-9200-00</t>
  </si>
  <si>
    <t>'2901-9200-20</t>
  </si>
  <si>
    <t>SEPARADOR</t>
  </si>
  <si>
    <t>'2901-9200-40</t>
  </si>
  <si>
    <t>KIT SEPARADOR ACEITE</t>
  </si>
  <si>
    <t>'2906-0955-00</t>
  </si>
  <si>
    <t>'3001-1701-57</t>
  </si>
  <si>
    <t>FILTRO AIRE</t>
  </si>
  <si>
    <t>'1630-0409-99</t>
  </si>
  <si>
    <t>ES-ESPAÑA</t>
  </si>
  <si>
    <t>ELEMENTO FILTRO</t>
  </si>
  <si>
    <t>'1613-8720-00</t>
  </si>
  <si>
    <t>'1622-1855-01</t>
  </si>
  <si>
    <t>KIT FILTRO PD/P</t>
  </si>
  <si>
    <t>'2901-3001-03</t>
  </si>
  <si>
    <t>KIT FILTRO DD/D</t>
  </si>
  <si>
    <t>'2901-3000-05</t>
  </si>
  <si>
    <t>'2901-3000-03</t>
  </si>
  <si>
    <t>IN-INDIA</t>
  </si>
  <si>
    <t>FILTRO QD70</t>
  </si>
  <si>
    <t>'2901-2005-04</t>
  </si>
  <si>
    <t>FILTRO QD35</t>
  </si>
  <si>
    <t>'2901-2005-02</t>
  </si>
  <si>
    <t>'2901-0866-01</t>
  </si>
  <si>
    <t>'1630-0408-99</t>
  </si>
  <si>
    <t>'2901-3001-05</t>
  </si>
  <si>
    <t>'8481300000</t>
  </si>
  <si>
    <t>Válvulas de retención/Artículos de grifería y órganos similares para tuberías, calderas, depósitos, cubas o continentes similares, incluidas las válvulas reductoras de presión y las vá</t>
  </si>
  <si>
    <t>VALVULA CHECK</t>
  </si>
  <si>
    <t>'0583-8180-73</t>
  </si>
  <si>
    <t>'8481400090</t>
  </si>
  <si>
    <t>Las demás/Válvulas de alivio o seguridad/Artículos de grifería y órganos similares para tuberías, calderas, depósitos, cubas o continentes similares, incluidas las válvulas reductoras de presi&amp;oacut</t>
  </si>
  <si>
    <t>KIT MANTENIMIENTO</t>
  </si>
  <si>
    <t>'3001-1513-03</t>
  </si>
  <si>
    <t>'8481805900</t>
  </si>
  <si>
    <t>Los demás/Artículos de grifería y órganos similares para tuberías, calderas, depósitos, cubas o continentes similares, incluidas las válvulas reductoras de presión y las válvulas termost&amp;aacu</t>
  </si>
  <si>
    <t>SET VALVULA CD2</t>
  </si>
  <si>
    <t>'2901-9904-87</t>
  </si>
  <si>
    <t>VALVULA DRENAJE 24VAC</t>
  </si>
  <si>
    <t>'8102-0480-13</t>
  </si>
  <si>
    <t>'8481809990</t>
  </si>
  <si>
    <t>Las demás/Los demás/Artículos de grifería y órganos similares para tuberías, calderas, depósitos, cubas o continentes similares, incluidas las válvulas reductoras de presión y las válv</t>
  </si>
  <si>
    <t>VALVULA DESCARGADOR</t>
  </si>
  <si>
    <t>'2901-1622-00</t>
  </si>
  <si>
    <t>'8481909090</t>
  </si>
  <si>
    <t>Las demás/Las demás/Artículos de grifería y órganos similares para tuberías, calderas, depósitos, cubas o continentes similares, incluidas las válvulas reductoras de presión y las válv</t>
  </si>
  <si>
    <t>KIT STOP DE VALVULA DE ACEITE</t>
  </si>
  <si>
    <t>'2901-2018-00</t>
  </si>
  <si>
    <t>KIT VALVULA DESCARGA</t>
  </si>
  <si>
    <t>'1503-6140-60</t>
  </si>
  <si>
    <t>'8482100000</t>
  </si>
  <si>
    <t>Rodamientos de bolas/Rodamientos de bolas, de rodillos o de agujas</t>
  </si>
  <si>
    <t>RODAMIENTOS</t>
  </si>
  <si>
    <t>'2901-2016-00</t>
  </si>
  <si>
    <t>'2901-9195-00</t>
  </si>
  <si>
    <t>'8487909000</t>
  </si>
  <si>
    <t>Los demás /Partes de máquinas o aparatos, no expresadas ni comprendidas en otra parte de este Capítulo, sin conexiones eléctricas, partes aisladas eléctricamente, bobinados, contactos ni otras características el&amp;</t>
  </si>
  <si>
    <t>KIT DE SERVICIO</t>
  </si>
  <si>
    <t>'2901-9904-58</t>
  </si>
  <si>
    <t>'8503000000</t>
  </si>
  <si>
    <t>Partes identificables como destinadas, exclusiva o principalmente, a las máquinas de las partidas nÂº 85.01 u 85.02</t>
  </si>
  <si>
    <t>KIT REPARACION MOTOR</t>
  </si>
  <si>
    <t>'2901-2017-00</t>
  </si>
  <si>
    <t>'8537109010</t>
  </si>
  <si>
    <t>Tableros eléctricos/Los demás/Cuadros, paneles, consolas, armarios y demás soportes equipados con varios aparatos de las partidas nÂº 85.35 u 85.36, para control o distribución de electricidad, incluidos los que incorporen ins</t>
  </si>
  <si>
    <t>CONTROLADOR NANO</t>
  </si>
  <si>
    <t>'2204-2497-01</t>
  </si>
  <si>
    <t>BELGICA</t>
  </si>
  <si>
    <t>SACO SHIPPING S.A.</t>
  </si>
  <si>
    <t>2025-01-13</t>
  </si>
  <si>
    <t>2025-02-07</t>
  </si>
  <si>
    <t>'8414802100</t>
  </si>
  <si>
    <t>De potencia inferior a 30 kW (40 HP)/Bombas de aire o de vacío, compresores de aire u otros gases y ventiladores campanas aspirantes para extracción o reciclado, con ventilador incorporado, incluso con filtro</t>
  </si>
  <si>
    <t>COMPRESOR TORNILLO</t>
  </si>
  <si>
    <t>'8152-1037-53</t>
  </si>
  <si>
    <t>'8153-1369-11</t>
  </si>
  <si>
    <t>'8414802200</t>
  </si>
  <si>
    <t>De potencia superior o igual a 30 kW (40HP), e inferior a 262,5 kW (352 HP)/Bombas de aire o de vacío, compresores de aire u otros gases y ventiladores campanas aspirantes para extracción o reciclado, con ventilador incorporado, incl</t>
  </si>
  <si>
    <t>'8153-6565-36</t>
  </si>
  <si>
    <t>'8418699900</t>
  </si>
  <si>
    <t>Los demás/Refrigeradores, congeladores y demás material, máquinas y aparatos para producción de frío, aunque no sean eléctricos bombas de calor, excepto las máquinas y aparatos para acondicionamiento de a</t>
  </si>
  <si>
    <t>SECADOR</t>
  </si>
  <si>
    <t>'8102-2293-33</t>
  </si>
  <si>
    <t>GB-REINO UNIDO DE GRAN BRETAÑA</t>
  </si>
  <si>
    <t>FILTRO DE AIRE</t>
  </si>
  <si>
    <t>'8102-3724-14</t>
  </si>
  <si>
    <t>BEBRU142916</t>
  </si>
  <si>
    <t>2025-03-07</t>
  </si>
  <si>
    <t>2025-03-08</t>
  </si>
  <si>
    <t>'2901-0338-03</t>
  </si>
  <si>
    <t>BEBRU142846</t>
  </si>
  <si>
    <t>2025-02-26</t>
  </si>
  <si>
    <t>2025-02-27</t>
  </si>
  <si>
    <t>'1630-2040-05</t>
  </si>
  <si>
    <t>'4009220000</t>
  </si>
  <si>
    <t>Con accesorios/Tubos de caucho vulcanizado sin endurecer, incluso con sus accesorios (por ejemplo: juntas, codos, empalmes [racores]).</t>
  </si>
  <si>
    <t>'2204-1542-00</t>
  </si>
  <si>
    <t>'4009320000</t>
  </si>
  <si>
    <t>'0575-0125-39</t>
  </si>
  <si>
    <t>'1622-0869-00</t>
  </si>
  <si>
    <t>'4010320000</t>
  </si>
  <si>
    <t>Correas de transmisión sin fin, sin estriar, de sección trapezoidal,  de circunferencia exterior superior a 60 cm pero inferior o igual a 180 cm/Correas transportadoras o de transmisión, de caucho vulcanizado</t>
  </si>
  <si>
    <t>BANDAS</t>
  </si>
  <si>
    <t>'2903-1024-06</t>
  </si>
  <si>
    <t>'2202-9259-08</t>
  </si>
  <si>
    <t>'2202-9259-04</t>
  </si>
  <si>
    <t>'2202-8841-05</t>
  </si>
  <si>
    <t>'4016999000</t>
  </si>
  <si>
    <t>Los demás/Las demás manufacturas de caucho vulcanizado sin endurecer</t>
  </si>
  <si>
    <t>SET CAUCHO</t>
  </si>
  <si>
    <t>'1619-6467-04</t>
  </si>
  <si>
    <t>AMORTIGUADOR VIBRATION</t>
  </si>
  <si>
    <t>'0392-1100-25</t>
  </si>
  <si>
    <t>CZ-REPUBLICA CHECA</t>
  </si>
  <si>
    <t>'5911909090</t>
  </si>
  <si>
    <t>Los demás/Productos y artículos textiles para usos técnicos mencionados en la Nota 7 de este Capítulo</t>
  </si>
  <si>
    <t>'1630-0589-03</t>
  </si>
  <si>
    <t>'7020009000</t>
  </si>
  <si>
    <t>Las demás /Las demás manufacturas de vidrio</t>
  </si>
  <si>
    <t>MIRILLA DE VISUALIZACION</t>
  </si>
  <si>
    <t>'1092-0000-72</t>
  </si>
  <si>
    <t>'7318290000</t>
  </si>
  <si>
    <t>KIT ELEMENTO DE MONTAJE</t>
  </si>
  <si>
    <t>'2901-2015-00</t>
  </si>
  <si>
    <t>'7320209090</t>
  </si>
  <si>
    <t>Los demás /Los demás/Muelles (resortes), ballestas y sus hojas, de hierro o acero</t>
  </si>
  <si>
    <t>KIT SERVICIO VALVULA PRESION MINIMA</t>
  </si>
  <si>
    <t>'2901-1453-00</t>
  </si>
  <si>
    <t>'7325100090</t>
  </si>
  <si>
    <t>Las demás/De fundición no maleable/Las demás manufacturas moldeadas de fundición, hierro o acero</t>
  </si>
  <si>
    <t>KIT SERVICIO ANILLO DE PISTON</t>
  </si>
  <si>
    <t>'1503-5802-60</t>
  </si>
  <si>
    <t>2025-02-04</t>
  </si>
  <si>
    <t>2025-02-28</t>
  </si>
  <si>
    <t>'8153-6193-36</t>
  </si>
  <si>
    <t>'8414901000</t>
  </si>
  <si>
    <t>De compresores/Bombas de aire o de vacío, compresores de aire u otros gases y ventiladores campanas aspirantes para extracción o reciclado, con ventilador incorporado, incluso con filtro</t>
  </si>
  <si>
    <t>KIT SELLO ACEITE</t>
  </si>
  <si>
    <t>'2901-3500-00</t>
  </si>
  <si>
    <t>'1621-7378-90</t>
  </si>
  <si>
    <t>'2903-0337-01</t>
  </si>
  <si>
    <t>'2901-9908-14</t>
  </si>
  <si>
    <t>KIT FILTRO ACEITE</t>
  </si>
  <si>
    <t>'2901-9900-97</t>
  </si>
  <si>
    <t>'2202-9296-50</t>
  </si>
  <si>
    <t>'2202-9295-50</t>
  </si>
  <si>
    <t>'1837-0080-04</t>
  </si>
  <si>
    <t>'1837-0018-85</t>
  </si>
  <si>
    <t>'1625-4800-50</t>
  </si>
  <si>
    <t>'2903-7836-00</t>
  </si>
  <si>
    <t>'2903-0351-01</t>
  </si>
  <si>
    <t>KIT SEPARADOR AIRE</t>
  </si>
  <si>
    <t>'2901-9908-15</t>
  </si>
  <si>
    <t>'2202-9294-50</t>
  </si>
  <si>
    <t>'3001-1513-07</t>
  </si>
  <si>
    <t>KIT FILTRO AIRE</t>
  </si>
  <si>
    <t>'3001-1513-00</t>
  </si>
  <si>
    <t>ELEMENTO FILTRO AIRE</t>
  </si>
  <si>
    <t>'1622-0658-00</t>
  </si>
  <si>
    <t>CARTUCHO DE SEGURIDAD/FILTRO</t>
  </si>
  <si>
    <t>'2914-9305-00</t>
  </si>
  <si>
    <t>'2914-9304-00</t>
  </si>
  <si>
    <t>'2914-9300-00</t>
  </si>
  <si>
    <t>'2906-0741-00</t>
  </si>
  <si>
    <t>'2906-0098-00</t>
  </si>
  <si>
    <t>'2903-7407-00</t>
  </si>
  <si>
    <t>OSMOSIS INVERSA</t>
  </si>
  <si>
    <t>'2903-1023-00</t>
  </si>
  <si>
    <t>'2901-9909-24</t>
  </si>
  <si>
    <t>KIT FILTRO AIRE/ACEITE</t>
  </si>
  <si>
    <t>'2901-9908-16</t>
  </si>
  <si>
    <t>'2901-9905-64</t>
  </si>
  <si>
    <t>'1619-2797-00</t>
  </si>
  <si>
    <t>'2901-9904-21</t>
  </si>
  <si>
    <t>SEPARADOR AIRE/ACEITE</t>
  </si>
  <si>
    <t>'2901-9900-98</t>
  </si>
  <si>
    <t>FILTRO/SEPARADOR</t>
  </si>
  <si>
    <t>'2901-3001-07</t>
  </si>
  <si>
    <t>'2901-3000-07</t>
  </si>
  <si>
    <t>'1613-9503-00</t>
  </si>
  <si>
    <t>SEPARADOR G</t>
  </si>
  <si>
    <t>'2901-2055-00</t>
  </si>
  <si>
    <t>'2901-2053-00</t>
  </si>
  <si>
    <t>'2901-2052-00</t>
  </si>
  <si>
    <t>'2901-2051-00</t>
  </si>
  <si>
    <t>'2901-2006-50</t>
  </si>
  <si>
    <t>'2901-2006-10</t>
  </si>
  <si>
    <t>'2901-1963-00</t>
  </si>
  <si>
    <t>'2901-1948-02</t>
  </si>
  <si>
    <t>'2901-1944-02</t>
  </si>
  <si>
    <t>'2901-1643-00</t>
  </si>
  <si>
    <t>'2901-1626-00</t>
  </si>
  <si>
    <t>'2901-0919-00</t>
  </si>
  <si>
    <t>FILTRO GX15</t>
  </si>
  <si>
    <t>FILTRO GX2</t>
  </si>
  <si>
    <t>'2901-0865-01</t>
  </si>
  <si>
    <t>'2901-0779-01</t>
  </si>
  <si>
    <t>'2901-0566-22</t>
  </si>
  <si>
    <t>'1613-9001-00</t>
  </si>
  <si>
    <t>'2901-0213-01</t>
  </si>
  <si>
    <t>'1837-0289-64</t>
  </si>
  <si>
    <t>KIT SEPARADOR</t>
  </si>
  <si>
    <t>'1837-0082-56</t>
  </si>
  <si>
    <t>'1837-0063-48</t>
  </si>
  <si>
    <t>'1837-0057-03</t>
  </si>
  <si>
    <t>'1837-0018-83</t>
  </si>
  <si>
    <t>'1837-0018-81</t>
  </si>
  <si>
    <t>'1630-7783-99</t>
  </si>
  <si>
    <t>'1630-0406-99</t>
  </si>
  <si>
    <t>KIT SERVICIO</t>
  </si>
  <si>
    <t>'3001-5006-21</t>
  </si>
  <si>
    <t>'1503-0190-00</t>
  </si>
  <si>
    <t>'2901-3001-02</t>
  </si>
  <si>
    <t>'2901-3000-02</t>
  </si>
  <si>
    <t>FILTRO GX14</t>
  </si>
  <si>
    <t>'2902-0161-00</t>
  </si>
  <si>
    <t>KIT REPARACION VALVULA DE DESCARGA</t>
  </si>
  <si>
    <t>'3001-5311-20</t>
  </si>
  <si>
    <t>CN-CHINA</t>
  </si>
  <si>
    <t>VALVULA</t>
  </si>
  <si>
    <t>'1202-8522-03</t>
  </si>
  <si>
    <t>VALVULA DRENAJE</t>
  </si>
  <si>
    <t>'2200-9024-01</t>
  </si>
  <si>
    <t>VALVULA SOLENOIDE</t>
  </si>
  <si>
    <t>'1629-2141-93</t>
  </si>
  <si>
    <t>KIT SERVICIO WSD VALVULA DRENAJE</t>
  </si>
  <si>
    <t>'2904-5000-69</t>
  </si>
  <si>
    <t>'2906-0828-00</t>
  </si>
  <si>
    <t>KIT VALVULA TERMOSTATICA</t>
  </si>
  <si>
    <t>'2901-1616-00</t>
  </si>
  <si>
    <t>KIT VALVULA PRESION MINIMA</t>
  </si>
  <si>
    <t>'2901-0997-00</t>
  </si>
  <si>
    <t>'2901-0298-01</t>
  </si>
  <si>
    <t>'8482500000</t>
  </si>
  <si>
    <t>Rodamientos de rodillos cilíndricos/Rodamientos de bolas, de rodillos o de agujas</t>
  </si>
  <si>
    <t>'2901-2010-00</t>
  </si>
  <si>
    <t>'8483309000</t>
  </si>
  <si>
    <t>Los demás/Arboles de transmisión (incluidos los de levas y los cigÃ¼eñales) y manivelas cajas de cojinetes y cojinetes engranajes y ruedas de fricción husillos fileteados de bolas o rodillos reductores, multiplicadores y va</t>
  </si>
  <si>
    <t>KIT SELLO DEL EJE</t>
  </si>
  <si>
    <t>'2901-1955-00</t>
  </si>
  <si>
    <t>'8484900000</t>
  </si>
  <si>
    <t>Los demás/Juntas metaloplásticas surtidos de juntas de distinta composición presentados en bolsitas, sobres o envases análogos juntas mecánicas de estanqueidad</t>
  </si>
  <si>
    <t>KIT JUNTA MPV</t>
  </si>
  <si>
    <t>'2901-9904-22</t>
  </si>
  <si>
    <t>'8544429000</t>
  </si>
  <si>
    <t>Los demás/Hilos, cables (incluidos los coaxiales) y demás conductores aislados para electricidad, aunque estén laqueados, anodizados o provistos de piezas de conexión cables de fibras ópticas constituidos por fibras en</t>
  </si>
  <si>
    <t>CABLE</t>
  </si>
  <si>
    <t>'1614-8126-03</t>
  </si>
  <si>
    <t>'9026101200</t>
  </si>
  <si>
    <t>Indicadores de nivel/Instrumentos y aparatos para la medida o control de caudal, nivel, presión u otras características variables de líquido o gases (por ejemplo: caudalímetros, indicadores de nivel, manómetros, contado</t>
  </si>
  <si>
    <t>INDICADOR NIVEL DE ACEITE</t>
  </si>
  <si>
    <t>'1613-9020-00</t>
  </si>
  <si>
    <t>NETHERLANDS</t>
  </si>
  <si>
    <t>AMSTERDAM-AMSTERDAM-SCHIPHOL AIRPORT</t>
  </si>
  <si>
    <t>KLM CIA REAL HOLANDESA DE AVIACION SA</t>
  </si>
  <si>
    <t>2025-04-03</t>
  </si>
  <si>
    <t>'3802100000</t>
  </si>
  <si>
    <t>Carbón activado/Carbón activado materias minerales naturales activadas negro de origen animal, incluido el agotado</t>
  </si>
  <si>
    <t>KIT SERVICE QDT</t>
  </si>
  <si>
    <t>'3001-5009-04</t>
  </si>
  <si>
    <t>BEBRU145709</t>
  </si>
  <si>
    <t>AIR CANADA</t>
  </si>
  <si>
    <t>2025-04-17</t>
  </si>
  <si>
    <t>'3917100000</t>
  </si>
  <si>
    <t>Tripas artificiales de proteínas endurecidas o de plásticos celulósicos/Tubos y accesorios de tubería (por ejemplo: juntas, codos, empalmes [racores]), de plástico</t>
  </si>
  <si>
    <t>ATLAS</t>
  </si>
  <si>
    <t>MAGUERA</t>
  </si>
  <si>
    <t>'1613-8580-80</t>
  </si>
  <si>
    <t>'1622-0965-80</t>
  </si>
  <si>
    <t>'1622-1788-81</t>
  </si>
  <si>
    <t>'3926909000</t>
  </si>
  <si>
    <t>Los demás/Las demás manufactura de plástico y manufacturas de las demás materias de las partidas 39.01 a 39.14.</t>
  </si>
  <si>
    <t>TERMOSTATO DE JUNTA TORICA</t>
  </si>
  <si>
    <t>'2204-1321-01</t>
  </si>
  <si>
    <t>VIDRIO DE MIRA</t>
  </si>
  <si>
    <t>'1503-2948-00</t>
  </si>
  <si>
    <t>MANGUERA FLEXIBLE</t>
  </si>
  <si>
    <t>'1622-0015-00</t>
  </si>
  <si>
    <t>'1202-7228-02</t>
  </si>
  <si>
    <t>ELEMENTOS MONTAJE</t>
  </si>
  <si>
    <t>'1627-3826-03</t>
  </si>
  <si>
    <t>ANILLO 71X3</t>
  </si>
  <si>
    <t>'0663-2111-70</t>
  </si>
  <si>
    <t>ANILLO</t>
  </si>
  <si>
    <t>'0663-6144-00</t>
  </si>
  <si>
    <t>EMPAQUETADORA</t>
  </si>
  <si>
    <t>'1503-0169-00</t>
  </si>
  <si>
    <t>HU-HUNGRIA</t>
  </si>
  <si>
    <t>'4016991000</t>
  </si>
  <si>
    <t>Otros artículos para usos técnicos/Las demás manufacturas de caucho vulcanizado sin endurecer</t>
  </si>
  <si>
    <t>ELEMENTO DE ACLOPLAMIENTO</t>
  </si>
  <si>
    <t>'1613-9595-01</t>
  </si>
  <si>
    <t>ENTRADA DE AIRE</t>
  </si>
  <si>
    <t>'1622-4741-00</t>
  </si>
  <si>
    <t>AMORTIGUADORES DE VIBRACIONES</t>
  </si>
  <si>
    <t>'2235-2544-00</t>
  </si>
  <si>
    <t>ELEMENTOS ACOPLAMIENTO</t>
  </si>
  <si>
    <t>'6815990000</t>
  </si>
  <si>
    <t>Las demás/Manufacturas de piedra o demás materias minerales (incluidas las fibras de carbono y sus manufacturas y las manufacturas de turba), no expresadas ni comprendidas en otra parte</t>
  </si>
  <si>
    <t>'1503-0176-00</t>
  </si>
  <si>
    <t>'1503-0177-0</t>
  </si>
  <si>
    <t>'7307190090</t>
  </si>
  <si>
    <t>Los demás/Los demás/Accesorios de tubería (por ejemplo: empalmes [racores], codos, manguitos), de fundición, hierro o acero.</t>
  </si>
  <si>
    <t>COJINETE</t>
  </si>
  <si>
    <t>'0605-8300-05</t>
  </si>
  <si>
    <t>'7307990099</t>
  </si>
  <si>
    <t>KIT SELLADO</t>
  </si>
  <si>
    <t>'2901-2006-56</t>
  </si>
  <si>
    <t>KIT JUNTA DE BOQUE INSTRUMENTOS</t>
  </si>
  <si>
    <t>KIT DE SELLADO</t>
  </si>
  <si>
    <t>ELEMENTO MONTAJE</t>
  </si>
  <si>
    <t>'2901-0610-00</t>
  </si>
  <si>
    <t>KIT DE VALVULAS LT55</t>
  </si>
  <si>
    <t>'1503-5800-63</t>
  </si>
  <si>
    <t>SPRING</t>
  </si>
  <si>
    <t>'2254-9868-00</t>
  </si>
  <si>
    <t>KIT DE VALVULA DE ENTRADA</t>
  </si>
  <si>
    <t>'2901-0415-01</t>
  </si>
  <si>
    <t>'7325990099</t>
  </si>
  <si>
    <t>Las demás/Las demás/Las demás/Las demás manufacturas moldeadas de fundición, hierro o acero</t>
  </si>
  <si>
    <t>KIT DE ANILLOS PISTON</t>
  </si>
  <si>
    <t>'1503-5802-65</t>
  </si>
  <si>
    <t>'7326909090</t>
  </si>
  <si>
    <t>Las demás/Las demás /Las demás manufacturas de hierro o acero</t>
  </si>
  <si>
    <t>ABRAZADERA</t>
  </si>
  <si>
    <t>'0347-6100-15</t>
  </si>
  <si>
    <t>CLIP DE MANGUERA</t>
  </si>
  <si>
    <t>'0347-6115-00</t>
  </si>
  <si>
    <t>ACOPLAMIENTO DE CODO</t>
  </si>
  <si>
    <t>'0583-8121-00</t>
  </si>
  <si>
    <t>'8414590000</t>
  </si>
  <si>
    <t>Los demás/Bombas de aire o de vacío, compresores de aire u otros gases y ventiladores campanas aspirantes para extracción o reciclado, con ventilador incorporado, incluso con filtro</t>
  </si>
  <si>
    <t>VENTILADOR AXIAL</t>
  </si>
  <si>
    <t>'1627-3269-81</t>
  </si>
  <si>
    <t>ventilador axia</t>
  </si>
  <si>
    <t>'1613-6878-00</t>
  </si>
  <si>
    <t>2025-04-11</t>
  </si>
  <si>
    <t>SCREW COMPRESSOR</t>
  </si>
  <si>
    <t>'8152-1038-45</t>
  </si>
  <si>
    <t>'8153-6538-14</t>
  </si>
  <si>
    <t>'8153-1370-15</t>
  </si>
  <si>
    <t>'8414909000</t>
  </si>
  <si>
    <t>Las demás/Bombas de aire o de vacío, compresores de aire u otros gases y ventiladores campanas aspirantes para extracción o reciclado, con ventilador incorporado, incluso con filtro</t>
  </si>
  <si>
    <t>TAPA DE SUCCION</t>
  </si>
  <si>
    <t>'1503-0329-02</t>
  </si>
  <si>
    <t>KIT DE ANILLOS DE PISTON</t>
  </si>
  <si>
    <t>'1503-6167-60</t>
  </si>
  <si>
    <t>'1625-5944-01</t>
  </si>
  <si>
    <t>FILTRO DE ACEITE</t>
  </si>
  <si>
    <t>FILTRO SEPARADOR ACEITE AIRE</t>
  </si>
  <si>
    <t>KIT FILTRO CUBICULO</t>
  </si>
  <si>
    <t>'2901-2006-12</t>
  </si>
  <si>
    <t>'8102-3727-14</t>
  </si>
  <si>
    <t>'8421399090</t>
  </si>
  <si>
    <t>KIT CUBICULO</t>
  </si>
  <si>
    <t>KIT CUBICULO FIL</t>
  </si>
  <si>
    <t>UD45   NPT3 4</t>
  </si>
  <si>
    <t>'8102-3724-08</t>
  </si>
  <si>
    <t>FILTRO DE VENTILADOR</t>
  </si>
  <si>
    <t>'1089-0726-61</t>
  </si>
  <si>
    <t>ELEMENTO FILTRANTE</t>
  </si>
  <si>
    <t>'2901-0000-00</t>
  </si>
  <si>
    <t>KIT VALVULA TERMICA</t>
  </si>
  <si>
    <t>'2901-1872-00</t>
  </si>
  <si>
    <t>KIT FILTRO</t>
  </si>
  <si>
    <t>'2901-3000-06</t>
  </si>
  <si>
    <t>'2901-3001-06</t>
  </si>
  <si>
    <t>KIT DE COMPRESOR</t>
  </si>
  <si>
    <t>'1837-0064-40</t>
  </si>
  <si>
    <t>SEPARADOR DE ACEITE</t>
  </si>
  <si>
    <t>'2901-0004-01</t>
  </si>
  <si>
    <t>KIT FILTRO SEPARADOR</t>
  </si>
  <si>
    <t>KIT FILTRO PD P</t>
  </si>
  <si>
    <t>'2901-9900-78</t>
  </si>
  <si>
    <t>'2901-9904-20</t>
  </si>
  <si>
    <t>ELEMENTO DE FILTRO DE AIRE</t>
  </si>
  <si>
    <t>'2903-1012-00</t>
  </si>
  <si>
    <t>KIT MANTENIMIENTO FILTRO</t>
  </si>
  <si>
    <t>'2906-0665-00</t>
  </si>
  <si>
    <t>'1503-0189-00</t>
  </si>
  <si>
    <t>'2901-0061-01</t>
  </si>
  <si>
    <t>'2901-0566-02</t>
  </si>
  <si>
    <t>FILTRO PD11</t>
  </si>
  <si>
    <t>'2901-2079-35</t>
  </si>
  <si>
    <t>LOS DEMAS</t>
  </si>
  <si>
    <t>'2901-2079-53</t>
  </si>
  <si>
    <t>FILTRO QD75</t>
  </si>
  <si>
    <t>'2901-2080-34</t>
  </si>
  <si>
    <t>KIT DE FILTRO</t>
  </si>
  <si>
    <t>'2901-3000-04</t>
  </si>
  <si>
    <t>'2901-3001-04</t>
  </si>
  <si>
    <t>'2901-3004-06</t>
  </si>
  <si>
    <t>FILTRO AIRE ACEITE</t>
  </si>
  <si>
    <t>CONJUNTO DE FILTRO DE AIRE</t>
  </si>
  <si>
    <t>'1613-7400-81</t>
  </si>
  <si>
    <t>'8481100000</t>
  </si>
  <si>
    <t>Válvulas reductoras de presión/Artículos de grifería y órganos similares para tuberías, calderas, depósitos, cubas o continentes similares, incluidas las válvulas reductoras de presión y las</t>
  </si>
  <si>
    <t>VALVULA REDUCTOR DE PRESION</t>
  </si>
  <si>
    <t>'1830-1166-49</t>
  </si>
  <si>
    <t>KIT VALVULA NO RETORNO</t>
  </si>
  <si>
    <t>'2901-2006-11</t>
  </si>
  <si>
    <t>VALVULA RETENCION</t>
  </si>
  <si>
    <t>CH-SUIZA</t>
  </si>
  <si>
    <t>VALVULA ANTIRETORNO</t>
  </si>
  <si>
    <t>'1619-6510-00</t>
  </si>
  <si>
    <t>KIT DESCARGADOR</t>
  </si>
  <si>
    <t>LAS DEMAS</t>
  </si>
  <si>
    <t>'0830-1008-35</t>
  </si>
  <si>
    <t>'2202-7298-01</t>
  </si>
  <si>
    <t>DRENAJE LDI 230V</t>
  </si>
  <si>
    <t>'2204-2134-10</t>
  </si>
  <si>
    <t>DRENAJE AUTOMATICO</t>
  </si>
  <si>
    <t>'1624-2950-80</t>
  </si>
  <si>
    <t>'1089-0580-09</t>
  </si>
  <si>
    <t>VALVULA DRENAJE AUTOMATICO</t>
  </si>
  <si>
    <t>KIT VALVULA DE DRENAJE</t>
  </si>
  <si>
    <t>'2204-2134-43</t>
  </si>
  <si>
    <t>'1089-0580-12</t>
  </si>
  <si>
    <t>'1089-0580-19</t>
  </si>
  <si>
    <t>PL-POLONIA</t>
  </si>
  <si>
    <t>'1089-0590-25</t>
  </si>
  <si>
    <t>VALVULA SELENIODE</t>
  </si>
  <si>
    <t>'1089-0702-14</t>
  </si>
  <si>
    <t>'8481808000</t>
  </si>
  <si>
    <t>Las demás válvulas solenoides/Artículos de grifería y órganos similares para tuberías, calderas, depósitos, cubas o continentes similares, incluidas las válvulas reductoras de presión y las v</t>
  </si>
  <si>
    <t>VALVULA SELENOIDE</t>
  </si>
  <si>
    <t>'1089-0580-31</t>
  </si>
  <si>
    <t>VALVULA DE ENTRADA SET</t>
  </si>
  <si>
    <t>'1625-8101-01</t>
  </si>
  <si>
    <t>KIT VALVULA DE DESCARGA</t>
  </si>
  <si>
    <t>SERVICE</t>
  </si>
  <si>
    <t>VALVULA DE ENTRADA</t>
  </si>
  <si>
    <t>CONTROLADOR DEL VOLUMEN</t>
  </si>
  <si>
    <t>'1503-6177-60</t>
  </si>
  <si>
    <t>DRENAJE WSD80</t>
  </si>
  <si>
    <t>'2901-0750-00</t>
  </si>
  <si>
    <t>'8481901000</t>
  </si>
  <si>
    <t>Cuerpos para válvulas llamadas árboles de Navidad/Artículos de grifería y órganos similares para tuberías, calderas, depósitos, cubas o continentes similares, incluidas las válvulas reductoras de pr</t>
  </si>
  <si>
    <t>DRENAJE DE DESGASTE</t>
  </si>
  <si>
    <t>'2200-9020-17</t>
  </si>
  <si>
    <t>'2255-2751-00</t>
  </si>
  <si>
    <t>VALVULA DE PARADA DE ACEITE</t>
  </si>
  <si>
    <t>'2901-0217-01</t>
  </si>
  <si>
    <t>CONJUNTO DE DESGASTE</t>
  </si>
  <si>
    <t>'2901-0633-20</t>
  </si>
  <si>
    <t>TERM MPV C</t>
  </si>
  <si>
    <t>'2901-1095-00</t>
  </si>
  <si>
    <t>VALVULA ASSEMBLY</t>
  </si>
  <si>
    <t>'1623-1810-80</t>
  </si>
  <si>
    <t>KIT VALVULA DRENAJE</t>
  </si>
  <si>
    <t>VALVULA DE DESCARGA</t>
  </si>
  <si>
    <t>'2901-0002-01</t>
  </si>
  <si>
    <t>'2901-1077-00</t>
  </si>
  <si>
    <t>KIT DE SERVICIO DE VALVULA DE PRESION</t>
  </si>
  <si>
    <t>'2901-2006-53</t>
  </si>
  <si>
    <t>KIT OVS CV</t>
  </si>
  <si>
    <t>DRENAJE</t>
  </si>
  <si>
    <t>'2901-9906-85</t>
  </si>
  <si>
    <t>KIT ANTIRETORNO NON</t>
  </si>
  <si>
    <t>KIT VALVULA CIERRE ACEITE</t>
  </si>
  <si>
    <t>'2901-1084-01</t>
  </si>
  <si>
    <t>KIT TERMOSTATO</t>
  </si>
  <si>
    <t>'3001-4000-12</t>
  </si>
  <si>
    <t>KIT VALVULA DE VACIO</t>
  </si>
  <si>
    <t>'3001-4000-14</t>
  </si>
  <si>
    <t>ASIENTO DE VALVULA</t>
  </si>
  <si>
    <t>Asiento de valvula</t>
  </si>
  <si>
    <t>'1503-0028-00</t>
  </si>
  <si>
    <t>PROTECTOR</t>
  </si>
  <si>
    <t>'1503-0075-00</t>
  </si>
  <si>
    <t>PROTECTOR DE VALVULA</t>
  </si>
  <si>
    <t>'1503-0076-02</t>
  </si>
  <si>
    <t>'1503-2866-00</t>
  </si>
  <si>
    <t>KIT DE VALVULAS MT9 1</t>
  </si>
  <si>
    <t>'2901-1617-00</t>
  </si>
  <si>
    <t>'2901-2006-54</t>
  </si>
  <si>
    <t>MY-MALAYSIA</t>
  </si>
  <si>
    <t>RODAMIENTO DE BOLAS</t>
  </si>
  <si>
    <t>'0502-3106-00</t>
  </si>
  <si>
    <t>'0502-3108-00</t>
  </si>
  <si>
    <t>RODAMIENTO</t>
  </si>
  <si>
    <t>'0502-3109-00</t>
  </si>
  <si>
    <t>'0516-3204-01</t>
  </si>
  <si>
    <t>RODAMIENTOS DE BOLAS</t>
  </si>
  <si>
    <t>'2901-0709-00</t>
  </si>
  <si>
    <t>'2901-1959-00</t>
  </si>
  <si>
    <t>'2901-1646-00</t>
  </si>
  <si>
    <t>MOTOR OVERHAUL</t>
  </si>
  <si>
    <t>'2901-1951-01</t>
  </si>
  <si>
    <t>KIT DE SUPERFICIE ELEMENTAL</t>
  </si>
  <si>
    <t>'2901-0511-00</t>
  </si>
  <si>
    <t>'8482800000</t>
  </si>
  <si>
    <t>Los demás,incluidos los rodamientos combinados/Rodamientos de bolas, de rodillos o de agujas</t>
  </si>
  <si>
    <t>KIT ELEMENT</t>
  </si>
  <si>
    <t>'2901-1089-01</t>
  </si>
  <si>
    <t>KIT DE COJINETE 9 1</t>
  </si>
  <si>
    <t>'1503-6185-61</t>
  </si>
  <si>
    <t>KIT DE SELLO DE EJE</t>
  </si>
  <si>
    <t>'2901-5005-00</t>
  </si>
  <si>
    <t>RO-RUMANIA</t>
  </si>
  <si>
    <t>'8483409900</t>
  </si>
  <si>
    <t>ENGRANAJE MOTOR</t>
  </si>
  <si>
    <t>'1622-3110-13</t>
  </si>
  <si>
    <t>ENGRANAJE ELEMENTO</t>
  </si>
  <si>
    <t>'1622-3110-14</t>
  </si>
  <si>
    <t>SK-ESLOVAQUIA</t>
  </si>
  <si>
    <t>'8483909000</t>
  </si>
  <si>
    <t>Partes/Arboles de transmisión (incluidos los de levas y los cigÃ¼eñales) y manivelas cajas de cojinetes y cojinetes engranajes y ruedas de fricción husillos fileteados de bolas o rodillos reductores, multiplicadores y variadores d</t>
  </si>
  <si>
    <t>APARATOS MECANICOS Y SUS PARTES</t>
  </si>
  <si>
    <t>'2903-1016-01</t>
  </si>
  <si>
    <t>KIT DE SERVICIO B B</t>
  </si>
  <si>
    <t>'2230-0018-12</t>
  </si>
  <si>
    <t>SILENCIADOR</t>
  </si>
  <si>
    <t>'2236-1173-48</t>
  </si>
  <si>
    <t>KIT DE REGULACION</t>
  </si>
  <si>
    <t>'2901-0066-00</t>
  </si>
  <si>
    <t>ANILLO DE SELLO</t>
  </si>
  <si>
    <t>'0666-6565-00</t>
  </si>
  <si>
    <t>TW-TAIWAN, PROVINCE OF CHINA</t>
  </si>
  <si>
    <t>SELLO</t>
  </si>
  <si>
    <t>'1503-3303-00</t>
  </si>
  <si>
    <t>'1503-3304-00</t>
  </si>
  <si>
    <t>'8504409000</t>
  </si>
  <si>
    <t>Los demás/Transformadores eléctricos, convertidores eléctricos estáticos (por ejemplo: rectificadores) y bobinas de reactancia (autoinducción)</t>
  </si>
  <si>
    <t>NEOS MEJORA KI</t>
  </si>
  <si>
    <t>'1837-0330-11</t>
  </si>
  <si>
    <t>'8537109090</t>
  </si>
  <si>
    <t xml:space="preserve">Los demás/Los demás/Cuadros, paneles, consolas, armarios y demás soportes equipados con varios aparatos de las partidas nÂº 85.35 u 85.36, para control o distribución de electricidad, incluidos los que incorporen instrumentos </t>
  </si>
  <si>
    <t>KIT MK5S TACTIL</t>
  </si>
  <si>
    <t>'1837-0310-35</t>
  </si>
  <si>
    <t>ELECTRONICA</t>
  </si>
  <si>
    <t>'1900-5204-14</t>
  </si>
  <si>
    <t>KIT DE CALBLES</t>
  </si>
  <si>
    <t>'2901-3596-00</t>
  </si>
  <si>
    <t>'1830-1037-09</t>
  </si>
  <si>
    <t>INDICADOR DEL NIVEL</t>
  </si>
  <si>
    <t>'1614-9184-00</t>
  </si>
  <si>
    <t>'9026200000</t>
  </si>
  <si>
    <t>Para medida o control de presión/Instrumentos y aparatos para la medida o control de caudal, nivel, presión u otras características variables de líquido o gases (por ejemplo: caudalímetros, indicadores de nivel, man&amp;oac</t>
  </si>
  <si>
    <t>PRENSA DEL SENSOR</t>
  </si>
  <si>
    <t>'1089-9625-13</t>
  </si>
  <si>
    <t>'9026900090</t>
  </si>
  <si>
    <t>Los demás/Instrumentos y aparatos para la medida o control de caudal, nivel, presión u otras características variables de líquido o gases (por ejemplo: caudalímetros, indicadores de nivel, manómetros, contadores</t>
  </si>
  <si>
    <t>INDICADOR DE NIVEL DE ACEITE</t>
  </si>
  <si>
    <t>'1622-3659-00</t>
  </si>
  <si>
    <t>NIVEL DEL INDICADOR</t>
  </si>
  <si>
    <t>'9032899000</t>
  </si>
  <si>
    <t>Los demás/Instrumentos y aparatos para regulación o control automáticos</t>
  </si>
  <si>
    <t>'2205-0313-01</t>
  </si>
  <si>
    <t>2025-04-06</t>
  </si>
  <si>
    <t>2025-05-09</t>
  </si>
  <si>
    <t>Los demás/Aceites de petróleo o de mineral bituminoso, excepto los aceites crudos; preparaciones no expresadas ni comprendidas en otra parte, con un contenido de aceites de petróleo o de mineral bituminoso superior o igual al 70% en</t>
  </si>
  <si>
    <t>Aceites minerales</t>
  </si>
  <si>
    <t>'1630-0918-00</t>
  </si>
  <si>
    <t>'1630-1146-00</t>
  </si>
  <si>
    <t>'2908-8501-01</t>
  </si>
  <si>
    <t>'2908-8503-00</t>
  </si>
  <si>
    <t>'2901-1700-00</t>
  </si>
  <si>
    <t>'2901-1701-00</t>
  </si>
  <si>
    <t>BEBRU145903</t>
  </si>
  <si>
    <t>2025-04-26</t>
  </si>
  <si>
    <t>'3926904000</t>
  </si>
  <si>
    <t>Juntas o empaquetaduras/Las demás manufactura de plástico y manufacturas de las demás materias de las partidas 39.01 a 39.14.</t>
  </si>
  <si>
    <t>ATLAS CORP</t>
  </si>
  <si>
    <t>KIT SELLO</t>
  </si>
  <si>
    <t>'2901-3532-00</t>
  </si>
  <si>
    <t>BELT SET AC 103</t>
  </si>
  <si>
    <t>'2204-1861-64</t>
  </si>
  <si>
    <t>SET RUBBERS</t>
  </si>
  <si>
    <t>KIT VAVULA PRESION MINIMA</t>
  </si>
  <si>
    <t>COSCO SHIPPING LINES ECUADOR CIA. LTDA.</t>
  </si>
  <si>
    <t>INTERNATIONAL LOGISTIC CORP ILC C.A.</t>
  </si>
  <si>
    <t>2025-04-01</t>
  </si>
  <si>
    <t>2025-05-08</t>
  </si>
  <si>
    <t>De potencia superior o igual a 30 kW (40HP), e inferior a 262,5 kW (352 HP)/Bombas de aire o de vacío, compresores de aire u otros gases y ventiladores; campanas aspirantes para extracción o reciclado, con ventilador incorporado, incl</t>
  </si>
  <si>
    <t>COMPRESOR</t>
  </si>
  <si>
    <t>'8152-1038-41</t>
  </si>
  <si>
    <t>'0000-0505-81</t>
  </si>
  <si>
    <t>'0000-0505-24</t>
  </si>
  <si>
    <t>'0000-0505-46</t>
  </si>
  <si>
    <t>'0000-0969-77</t>
  </si>
  <si>
    <t>'8153-3482-28</t>
  </si>
  <si>
    <t>De compresores/Bombas de aire o de vacío, compresores de aire u otros gases y ventiladores; campanas aspirantes para extracción o reciclado, con ventilador incorporado, incluso con filtro</t>
  </si>
  <si>
    <t>REPUESTOS COMPRESOR</t>
  </si>
  <si>
    <t>'8102-0480-17</t>
  </si>
  <si>
    <t>Los demás/Los demás/Centrifugadoras, incluidas las secadoras centrífugas; aparatos para filtrar o depurar líquidos o gases</t>
  </si>
  <si>
    <t>'1089-9567-16</t>
  </si>
  <si>
    <t>Filtros electrostáticos de aire u otros gases/Centrifugadoras, incluidas las secadoras centrífugas; aparatos para filtrar o depurar líquidos o gases</t>
  </si>
  <si>
    <t>'2906-0005-02</t>
  </si>
  <si>
    <t>'8102-3723-04</t>
  </si>
  <si>
    <t>'1629-0342-21</t>
  </si>
  <si>
    <t>Los demás/Centrifugadoras, incluidas las secadoras centrífugas; aparatos para filtrar o depurar líquidos o gases</t>
  </si>
  <si>
    <t>ELEMENTO CARTUCHO DE SEGURIDAD</t>
  </si>
  <si>
    <t>'2901-3004-02</t>
  </si>
  <si>
    <t>VAVULA ANTI RETORNO</t>
  </si>
  <si>
    <t>'6229-0317-00</t>
  </si>
  <si>
    <t>DESCARGADOR C40 C4</t>
  </si>
  <si>
    <t>'2204-2138-14</t>
  </si>
  <si>
    <t>KIT VALVULA SIN RETORNO</t>
  </si>
  <si>
    <t>KIT VALVULA TERMOSTATICA TROPICAL</t>
  </si>
  <si>
    <t>'2901-1618-00</t>
  </si>
  <si>
    <t>KIT VALVULA OSV CV</t>
  </si>
  <si>
    <t>'1830-0036-36</t>
  </si>
  <si>
    <t>DRENAJE DESGASTE</t>
  </si>
  <si>
    <t>KIT SERVICIO CD260</t>
  </si>
  <si>
    <t>'3001-1500-52</t>
  </si>
  <si>
    <t>'1830-0204-79</t>
  </si>
  <si>
    <t>BEBRU147109</t>
  </si>
  <si>
    <t>AVIANCA - ECUADOR S.A.</t>
  </si>
  <si>
    <t>2025-06-17</t>
  </si>
  <si>
    <t>GRASA ROTO GLI</t>
  </si>
  <si>
    <t>'2908 8521 00</t>
  </si>
  <si>
    <t>AT-AUSTRIA</t>
  </si>
  <si>
    <t>GRASA ESPECIAL</t>
  </si>
  <si>
    <t>'2892 6100 20</t>
  </si>
  <si>
    <t>'1630 2040 05</t>
  </si>
  <si>
    <t>MT-MALTA</t>
  </si>
  <si>
    <t>JUNTA TORICA</t>
  </si>
  <si>
    <t>'0663 2122 61</t>
  </si>
  <si>
    <t>KIT REFRIGERADOR AIRE</t>
  </si>
  <si>
    <t>'2906 0566 00</t>
  </si>
  <si>
    <t>HOSE M22X1 5 X</t>
  </si>
  <si>
    <t>'1625 4847 08</t>
  </si>
  <si>
    <t>'1625 4847 07</t>
  </si>
  <si>
    <t>'1622 0015 00</t>
  </si>
  <si>
    <t>CORREA TRAPEZOIDAL  JUEGO 2X</t>
  </si>
  <si>
    <t>'2202 8841 05</t>
  </si>
  <si>
    <t>ARTICULOS DE CAUCHO</t>
  </si>
  <si>
    <t>'2903 1024 04</t>
  </si>
  <si>
    <t>'2235 2544 00</t>
  </si>
  <si>
    <t>AMORTIGUADOR DE VIBRACIONES</t>
  </si>
  <si>
    <t>'0392 1300 01</t>
  </si>
  <si>
    <t>AMORTIGUADOR</t>
  </si>
  <si>
    <t>'1635 8302 00</t>
  </si>
  <si>
    <t>'1630 0589 03</t>
  </si>
  <si>
    <t>'7304390000</t>
  </si>
  <si>
    <t>Los demás/Tubos y perfiles huecos, sin soldadura (sin costura), de hierro o acero</t>
  </si>
  <si>
    <t>TUBO</t>
  </si>
  <si>
    <t>'1622 6543 80</t>
  </si>
  <si>
    <t>TAPON G 3 8 A</t>
  </si>
  <si>
    <t>'0686 3718 16</t>
  </si>
  <si>
    <t>TAPON G 1 4 A</t>
  </si>
  <si>
    <t>'0686 3718 24</t>
  </si>
  <si>
    <t>TAPON G 1 A</t>
  </si>
  <si>
    <t>'0686 3718 19</t>
  </si>
  <si>
    <t>BOQUILLA</t>
  </si>
  <si>
    <t>'2235 6421 00</t>
  </si>
  <si>
    <t>RACOR M23X1 5</t>
  </si>
  <si>
    <t>'1625 4260 00</t>
  </si>
  <si>
    <t>2025-05-22</t>
  </si>
  <si>
    <t>2025-06-10</t>
  </si>
  <si>
    <t>'7311009000</t>
  </si>
  <si>
    <t>Los demás/Recipientes para gas comprimido o licuado, de fundición, hierro o acero</t>
  </si>
  <si>
    <t>RECIPIENTES PARA GAS COMPRIMIDO</t>
  </si>
  <si>
    <t>'8101-0180-60</t>
  </si>
  <si>
    <t>'8101-0218-09</t>
  </si>
  <si>
    <t>'8101-0218-25</t>
  </si>
  <si>
    <t>TORNILLO RANURADO M</t>
  </si>
  <si>
    <t>'0160 6043 00</t>
  </si>
  <si>
    <t>'7318220000</t>
  </si>
  <si>
    <t>Las demás arandelas/Tornillos, pernos, tuercas, tirafondos, escarpias roscadas, remaches, pasadores, clavijas, chavetas, arandelas (incluidas las arandelas de muelle (resorte)) y artículos similares, de fundición, hierro o acero</t>
  </si>
  <si>
    <t>ARANDELA PLANA</t>
  </si>
  <si>
    <t>'0301 2315 00</t>
  </si>
  <si>
    <t>MONTAJE DE ELEMENTO</t>
  </si>
  <si>
    <t>'2901 2049 00</t>
  </si>
  <si>
    <t>CAMBIO INS</t>
  </si>
  <si>
    <t>'2906 0971 00</t>
  </si>
  <si>
    <t>RESORTE</t>
  </si>
  <si>
    <t>'1622 5126 00</t>
  </si>
  <si>
    <t>MUELLE</t>
  </si>
  <si>
    <t>'1616 6055 00</t>
  </si>
  <si>
    <t>KIT DE JUNTASINSTRU</t>
  </si>
  <si>
    <t>'2901 3532 00</t>
  </si>
  <si>
    <t>KIT</t>
  </si>
  <si>
    <t>'2901 0006 00</t>
  </si>
  <si>
    <t>GA90 160 ACEITE POR</t>
  </si>
  <si>
    <t>'2906 0963 00</t>
  </si>
  <si>
    <t>'8153-1878-13</t>
  </si>
  <si>
    <t>JP-JAPON</t>
  </si>
  <si>
    <t>Las demás/Bombas de aire o de vacío, compresores de aire u otros gases y ventiladores; campanas aspirantes para extracción o reciclado, con ventilador incorporado, incluso con filtro</t>
  </si>
  <si>
    <t>AEROTERMOATSL 16</t>
  </si>
  <si>
    <t>'2236 0501 00</t>
  </si>
  <si>
    <t>Los demás/Los demás/Los demás/Aparatos, dispositivos o equipos de laboratorio, aunque se calienten eléctricamente (excepto los hornos y demás aparatos de la partida 85.14), para el tratamiento de materias mediante opera</t>
  </si>
  <si>
    <t>COOLER GA55</t>
  </si>
  <si>
    <t>'1622 3190 00</t>
  </si>
  <si>
    <t>'1613 6105 90</t>
  </si>
  <si>
    <t>'1625 4274 50</t>
  </si>
  <si>
    <t>'8102-3723-18</t>
  </si>
  <si>
    <t>'8102 3720 35</t>
  </si>
  <si>
    <t>'3001 1513 07</t>
  </si>
  <si>
    <t>KIT FILTRO QD13</t>
  </si>
  <si>
    <t>'2901 2005 05</t>
  </si>
  <si>
    <t>KIT DEL FILTRO</t>
  </si>
  <si>
    <t>'1503 6129 60</t>
  </si>
  <si>
    <t>'2901 2052 00</t>
  </si>
  <si>
    <t>FILTRO EMBALADO E</t>
  </si>
  <si>
    <t>'1625 4800 51</t>
  </si>
  <si>
    <t>'1621 1389 99</t>
  </si>
  <si>
    <t>'2906 0741 00</t>
  </si>
  <si>
    <t>AIRFILTER ELEME</t>
  </si>
  <si>
    <t>'1613 8004 00</t>
  </si>
  <si>
    <t>SEPARATOR  G</t>
  </si>
  <si>
    <t>'2901 0432 00</t>
  </si>
  <si>
    <t>KIT FILTRO UD 1</t>
  </si>
  <si>
    <t>'2901 3004 06</t>
  </si>
  <si>
    <t>'2901 1872 00</t>
  </si>
  <si>
    <t>'2906 0565 00</t>
  </si>
  <si>
    <t>KIT FILTRO DE AIRE</t>
  </si>
  <si>
    <t>'2901 9900 95</t>
  </si>
  <si>
    <t>ELEMENTO DE FILTRO</t>
  </si>
  <si>
    <t>'1613 8720 00</t>
  </si>
  <si>
    <t>'2901 9200 40</t>
  </si>
  <si>
    <t>KIT DE FILTRO PD P</t>
  </si>
  <si>
    <t>'2901 3001 09</t>
  </si>
  <si>
    <t>KIT DE FILTRO DD D</t>
  </si>
  <si>
    <t>'2901 3000 09</t>
  </si>
  <si>
    <t>'8479899099</t>
  </si>
  <si>
    <t>Los demás/Los demás/Máquinas y aparatos mecánicos con función propia, no expresados ni comprendidos en otra parte de este Capítulo</t>
  </si>
  <si>
    <t>INSTRUMENTO PLOG</t>
  </si>
  <si>
    <t>'1630 0212 80</t>
  </si>
  <si>
    <t>VALVULA DE RETENCION G1</t>
  </si>
  <si>
    <t>'2204 1546 01</t>
  </si>
  <si>
    <t>VALVULA DE SEGURIDAD</t>
  </si>
  <si>
    <t>'0830 1010 02</t>
  </si>
  <si>
    <t>C146 DESCARGADOR K</t>
  </si>
  <si>
    <t>'2906 0957 00</t>
  </si>
  <si>
    <t>'1089 0580 12</t>
  </si>
  <si>
    <t>'1089 0580 89</t>
  </si>
  <si>
    <t>'1089 0580 20</t>
  </si>
  <si>
    <t>'1089 0621 03</t>
  </si>
  <si>
    <t>'1089 0428 13</t>
  </si>
  <si>
    <t>'1089 0640 62</t>
  </si>
  <si>
    <t>'1635 2925 00</t>
  </si>
  <si>
    <t>KIT DRENAJE</t>
  </si>
  <si>
    <t>'2906 0965 00</t>
  </si>
  <si>
    <t>'2901 1622 00</t>
  </si>
  <si>
    <t>VALVULA DE ENTRADA ASS</t>
  </si>
  <si>
    <t>'1625 8101 02</t>
  </si>
  <si>
    <t>'2901 1077 00</t>
  </si>
  <si>
    <t>ASIENTO DEL PISTON</t>
  </si>
  <si>
    <t>'1622 5124 00</t>
  </si>
  <si>
    <t>TAPON</t>
  </si>
  <si>
    <t>'1622 5127 00</t>
  </si>
  <si>
    <t>'2200 9020 17</t>
  </si>
  <si>
    <t>'2901 0633 20</t>
  </si>
  <si>
    <t>'2901 1617 00</t>
  </si>
  <si>
    <t>VALVULA TERMICA 75D</t>
  </si>
  <si>
    <t>'2901 1618 00</t>
  </si>
  <si>
    <t>'2901 1616 00</t>
  </si>
  <si>
    <t>'2901 1399 00</t>
  </si>
  <si>
    <t>C77 SCU BYPASS</t>
  </si>
  <si>
    <t>'1622 5127 10</t>
  </si>
  <si>
    <t>TAPON DE ACEITE CHECKVA</t>
  </si>
  <si>
    <t>'2901 0835 00</t>
  </si>
  <si>
    <t>'1089 0702 14</t>
  </si>
  <si>
    <t>VALVULA DE RETENCION</t>
  </si>
  <si>
    <t>'1630 1161 00</t>
  </si>
  <si>
    <t>KIT VALVULA RETORNO ACEITE</t>
  </si>
  <si>
    <t>'2901 1615 00</t>
  </si>
  <si>
    <t>BLOQUE DEINSTRUMENTOS</t>
  </si>
  <si>
    <t>'1625 4735 01</t>
  </si>
  <si>
    <t>CV   OSV KIT</t>
  </si>
  <si>
    <t>'2906 0960 00</t>
  </si>
  <si>
    <t>VALVULA TOPE ACEITE</t>
  </si>
  <si>
    <t>'1635 0122 00</t>
  </si>
  <si>
    <t>REVISION DEL MOTOR</t>
  </si>
  <si>
    <t>'2901 2016 00</t>
  </si>
  <si>
    <t>RE KIT DE RODAMIENTOS</t>
  </si>
  <si>
    <t>'3001 1500 25</t>
  </si>
  <si>
    <t>VENTILADOR</t>
  </si>
  <si>
    <t>'1837 0338 71</t>
  </si>
  <si>
    <t>KIT CAJA DE CAMBIOS</t>
  </si>
  <si>
    <t>'2906 0969 00</t>
  </si>
  <si>
    <t>Los demás/Arboles de transmisión (incluidos los de levas y los cigüeñales) y manivelas; cajas de cojinetes y cojinetes; engranajes y ruedas de fricción; husillos fileteados de bolas o rodillos; reductores, multiplicadores y va</t>
  </si>
  <si>
    <t>'2901 5005 00</t>
  </si>
  <si>
    <t>'8483500090</t>
  </si>
  <si>
    <t>Los demás/Volantes y poleas, incluidos los motores/Arboles de transmisión (incluidos los de levas y los cigüeñales) y manivelas; cajas de cojinetes y cojinetes; engranajes y ruedas de fricción; husillos fileteados de bolas o r</t>
  </si>
  <si>
    <t>POLEA MOTOR</t>
  </si>
  <si>
    <t>'1622 0225 06</t>
  </si>
  <si>
    <t>PULLEY  ELEMENTO</t>
  </si>
  <si>
    <t>'1622 0224 04</t>
  </si>
  <si>
    <t>POLEA 2SPZ C55</t>
  </si>
  <si>
    <t>'2202 9148 12</t>
  </si>
  <si>
    <t>POLEA ALU 2SPZ</t>
  </si>
  <si>
    <t>'2202 9149 03</t>
  </si>
  <si>
    <t>Partes/Arboles de transmisión (incluidos los de levas y los cigüeñales) y manivelas; cajas de cojinetes y cojinetes; engranajes y ruedas de fricción; husillos fileteados de bolas o rodillos; reductores, multiplicadores y variadores d</t>
  </si>
  <si>
    <t>ABSORBEDOR</t>
  </si>
  <si>
    <t>'1623 0378 00</t>
  </si>
  <si>
    <t>Los demás/Juntas metaloplásticas; surtidos de juntas de distinta composición presentados en bolsitas, sobres o envases análogos; juntas mecánicas de estanqueidad</t>
  </si>
  <si>
    <t>KIT REFRIGERADOR</t>
  </si>
  <si>
    <t>'2906 0974 00</t>
  </si>
  <si>
    <t>Kit Seal</t>
  </si>
  <si>
    <t>KIT SEAL</t>
  </si>
  <si>
    <t>'2901 1097 00</t>
  </si>
  <si>
    <t>MONATJE DE ELEMENTOS</t>
  </si>
  <si>
    <t>'2901 0850 00</t>
  </si>
  <si>
    <t>VICTAULIC CPLG</t>
  </si>
  <si>
    <t>'2906 0975 00</t>
  </si>
  <si>
    <t>MIN PRENSA VLV K</t>
  </si>
  <si>
    <t>'2906 0959 00</t>
  </si>
  <si>
    <t>CPLG VICTAULIC</t>
  </si>
  <si>
    <t>MX-MEXICO</t>
  </si>
  <si>
    <t>'8536109000</t>
  </si>
  <si>
    <t>Los demás/Aparatos para corte, seccionamiento, protección, derivación, empalme o conexión de circuitos eléctricos (por ejemplo: interruptores, conmutadores, relés, cortacircuitos, supresores de sobretensió</t>
  </si>
  <si>
    <t>'1089 0591 64</t>
  </si>
  <si>
    <t>Los demás/Los demás/Cuadros, paneles, consolas, armarios y demás soportes equipados con varios aparatos de las partidas nº 85.35 u 85.36, para control o distribución de electricidad, incluidos los que incorporen instrumentos o</t>
  </si>
  <si>
    <t>KIT PANEL DE CONTROL MK55 TOUCH</t>
  </si>
  <si>
    <t>'1837 0310 16</t>
  </si>
  <si>
    <t>ELEKTRONIKON AL</t>
  </si>
  <si>
    <t>'1624 9356 00</t>
  </si>
  <si>
    <t>GRAFICO</t>
  </si>
  <si>
    <t>'1900 5200 13</t>
  </si>
  <si>
    <t>Los demás/Hilos, cables (incluidos los coaxiales) y demás conductores aislados para electricidad, aunque estén laqueados, anodizados o provistos de piezas de conexión; cables de fibras ópticas constituidos por fibras en</t>
  </si>
  <si>
    <t>'1830 1037 09</t>
  </si>
  <si>
    <t>'1614 8126 03</t>
  </si>
  <si>
    <t>'9025199000</t>
  </si>
  <si>
    <t>Los demás/Densímetros, areómetros, pesalíquidos e instrumentos flotantes similares, termómetros, pirómetros, barómetros, higrómetros y sicrómetros, aunque sean registradores, incluso combinad</t>
  </si>
  <si>
    <t>SENSOR TINTERRUPTOR</t>
  </si>
  <si>
    <t>'2204 2126 00</t>
  </si>
  <si>
    <t>SENSOR</t>
  </si>
  <si>
    <t>'1089 9625 01</t>
  </si>
  <si>
    <t>PRENSA SENSOR</t>
  </si>
  <si>
    <t>'1089 9625 18</t>
  </si>
  <si>
    <t>'1089 9625 13</t>
  </si>
  <si>
    <t>'9030390000</t>
  </si>
  <si>
    <t>Los demás/Osciloscopios, analizadores de espectro y demás instrumentos y aparatos para medida o control de magnitudes eléctricas; instrumentos y aparatos para medida o detección de radiaciones alfa, beta, gamma, X, cósm</t>
  </si>
  <si>
    <t>MODULO</t>
  </si>
  <si>
    <t>'1630 2039 10</t>
  </si>
  <si>
    <t>TEMP  SWITCH</t>
  </si>
  <si>
    <t>'1089 0376 11</t>
  </si>
  <si>
    <t>CEC20252K00057000010001</t>
  </si>
  <si>
    <t>BEBRU147704</t>
  </si>
  <si>
    <t>2025-07-10</t>
  </si>
  <si>
    <t>2025-07-11</t>
  </si>
  <si>
    <t>GREASE ROTO-GLI</t>
  </si>
  <si>
    <t>OIL ROTO Z FOOD</t>
  </si>
  <si>
    <t>'1630-2057-20</t>
  </si>
  <si>
    <t>SET OF WEAR</t>
  </si>
  <si>
    <t>CEC2025CMAU011100031201</t>
  </si>
  <si>
    <t>2025-06-07</t>
  </si>
  <si>
    <t>2025-07-04</t>
  </si>
  <si>
    <t>SPECIAL GREASE</t>
  </si>
  <si>
    <t>'2892-6100-20</t>
  </si>
  <si>
    <t>OIL L PISTON FL</t>
  </si>
  <si>
    <t>PREPARADOS LUBRICANTES</t>
  </si>
  <si>
    <t>'3917329900</t>
  </si>
  <si>
    <t>HOUSE TUBO</t>
  </si>
  <si>
    <t>'0070-6002-48</t>
  </si>
  <si>
    <t>'0070-6002-09</t>
  </si>
  <si>
    <t>PLASTIC TUBE MD</t>
  </si>
  <si>
    <t>'0070-6002-13</t>
  </si>
  <si>
    <t>TUBE ID8.5 OD12</t>
  </si>
  <si>
    <t>'0070-6002-06</t>
  </si>
  <si>
    <t>KIT ROTOR INSPE</t>
  </si>
  <si>
    <t>'2906-0840-00</t>
  </si>
  <si>
    <t>RING SEAL</t>
  </si>
  <si>
    <t>'1617-5380-10</t>
  </si>
  <si>
    <t>REGENERATION CO</t>
  </si>
  <si>
    <t>'2906-0839-00</t>
  </si>
  <si>
    <t>O-RING</t>
  </si>
  <si>
    <t>'0663-2112-74</t>
  </si>
  <si>
    <t>O-RING 74.5 X 3</t>
  </si>
  <si>
    <t>'0663-7139-00</t>
  </si>
  <si>
    <t>O-RING 36.2 X 3</t>
  </si>
  <si>
    <t>'0663-3132-00</t>
  </si>
  <si>
    <t>O-RING 54.5X3</t>
  </si>
  <si>
    <t>'0663-7135-00</t>
  </si>
  <si>
    <t>'0663-7147-00</t>
  </si>
  <si>
    <t>O-RING 69. 5X3</t>
  </si>
  <si>
    <t>'0663-7138-00</t>
  </si>
  <si>
    <t>O-RING 79 2X5 .7</t>
  </si>
  <si>
    <t>'0663-3143-00</t>
  </si>
  <si>
    <t>'4009110000</t>
  </si>
  <si>
    <t>Sin accesorios/Tubos de caucho vulcanizado sin endurecer, incluso con sus accesorios (por ejemplo: juntas, codos, empalmes [racores]).</t>
  </si>
  <si>
    <t>PIPE</t>
  </si>
  <si>
    <t>'1614-6428-00</t>
  </si>
  <si>
    <t>'4009310000</t>
  </si>
  <si>
    <t>HOSE</t>
  </si>
  <si>
    <t>'0075-4005-56</t>
  </si>
  <si>
    <t>HOSE ASSEMBLY</t>
  </si>
  <si>
    <t>'1621-0576-00</t>
  </si>
  <si>
    <t>'1621-0577-00</t>
  </si>
  <si>
    <t>V BELT XPA</t>
  </si>
  <si>
    <t>'0367-0100-60</t>
  </si>
  <si>
    <t>V BELT XPA LP 9</t>
  </si>
  <si>
    <t>O RING 159.1X</t>
  </si>
  <si>
    <t>'0663-2106-60</t>
  </si>
  <si>
    <t>'6815190000</t>
  </si>
  <si>
    <t>Las demás/Manufacturas de piedra o demás materias minerales (incluidas las fibras de carbono y sus manufacturas y las manufacturas de turba), no expresadas ni compre</t>
  </si>
  <si>
    <t>SEAL</t>
  </si>
  <si>
    <t>'1617-7807-00</t>
  </si>
  <si>
    <t>HEX. SOCK M6X15</t>
  </si>
  <si>
    <t>'0216-1957-49</t>
  </si>
  <si>
    <t>CENTRAL STUD</t>
  </si>
  <si>
    <t>'1629-0305-48</t>
  </si>
  <si>
    <t>STTOLED SCREW</t>
  </si>
  <si>
    <t>'0160-6043-00</t>
  </si>
  <si>
    <t>PLAIN WASHER</t>
  </si>
  <si>
    <t>'0301-2315-00</t>
  </si>
  <si>
    <t>CIRCLIP D 85</t>
  </si>
  <si>
    <t>'0335-1162-00</t>
  </si>
  <si>
    <t>VALVE KIT LT55</t>
  </si>
  <si>
    <t>'2901-0006-00</t>
  </si>
  <si>
    <t>GA90 160 OIL BY</t>
  </si>
  <si>
    <t>'2906-0963-00</t>
  </si>
  <si>
    <t>RING IMD260</t>
  </si>
  <si>
    <t>'1617-5603-00</t>
  </si>
  <si>
    <t>SEAL RING</t>
  </si>
  <si>
    <t>'1617-5566-00</t>
  </si>
  <si>
    <t>ENERGY RECOVERY</t>
  </si>
  <si>
    <t>'2230-0087-93</t>
  </si>
  <si>
    <t>UNITED STATES</t>
  </si>
  <si>
    <t>2025-07-28</t>
  </si>
  <si>
    <t>'8412390000</t>
  </si>
  <si>
    <t>Los demás/Los demás motores y máquinas motrices.</t>
  </si>
  <si>
    <t>'8413919099</t>
  </si>
  <si>
    <t>Las demás/Las demás/Las demás/Bombas para líquidos, incluso con dispositivo medidor incorporado; elevadores de líquidos</t>
  </si>
  <si>
    <t>OILPUMP KIT</t>
  </si>
  <si>
    <t>'2906-0678-00</t>
  </si>
  <si>
    <t>CO-COLOMBIA</t>
  </si>
  <si>
    <t>COLOMBIA</t>
  </si>
  <si>
    <t>BUENAVENTURA</t>
  </si>
  <si>
    <t>ATLAS COPCO COLOMBIA LTDA.</t>
  </si>
  <si>
    <t>CEC2025HLCU010890680201</t>
  </si>
  <si>
    <t>BUN20250760</t>
  </si>
  <si>
    <t>HAPAG-LLOYD ECUADOR S.A.</t>
  </si>
  <si>
    <t>2025-06-23</t>
  </si>
  <si>
    <t>2025-06-29</t>
  </si>
  <si>
    <t>'8153038222</t>
  </si>
  <si>
    <t>'8153611770</t>
  </si>
  <si>
    <t>OFS I-41</t>
  </si>
  <si>
    <t>'1616-7472-81</t>
  </si>
  <si>
    <t>ELEMENT COMPR</t>
  </si>
  <si>
    <t>'1616-6770-81</t>
  </si>
  <si>
    <t>'8419909000</t>
  </si>
  <si>
    <t>Las demás/Aparatos, dispositivos o equipos de laboratorio, aunque se calienten electricamente (excepto los hornos y demás aparatos de la partida 85.14), para el tratamiento de materias mediante operaciones que impliquen un cambio de tempera</t>
  </si>
  <si>
    <t>ASSY SEAL.SECTO</t>
  </si>
  <si>
    <t>'1617-5562-80</t>
  </si>
  <si>
    <t>'1617-5573-00</t>
  </si>
  <si>
    <t>SE-SUECIA</t>
  </si>
  <si>
    <t>ROTOR</t>
  </si>
  <si>
    <t>'1627-2324-75</t>
  </si>
  <si>
    <t>GA90 160 OIL FI</t>
  </si>
  <si>
    <t>Oil Filter Kit</t>
  </si>
  <si>
    <t>OIL FILTER KIT</t>
  </si>
  <si>
    <t>'1837-0082-55</t>
  </si>
  <si>
    <t>FILTER OIL</t>
  </si>
  <si>
    <t>'1630-8909-91</t>
  </si>
  <si>
    <t>AIRFILTER</t>
  </si>
  <si>
    <t>FILTER AIR</t>
  </si>
  <si>
    <t>'1837-0011-86</t>
  </si>
  <si>
    <t>AIR FILTER</t>
  </si>
  <si>
    <t>Air filter</t>
  </si>
  <si>
    <t>'1630-2201-36</t>
  </si>
  <si>
    <t>QD7 NPT1 2</t>
  </si>
  <si>
    <t>'8102-3727-02</t>
  </si>
  <si>
    <t>SEPARATOR OIL</t>
  </si>
  <si>
    <t>'1630-2203-57</t>
  </si>
  <si>
    <t>SEPARATOR G</t>
  </si>
  <si>
    <t>FILTER PD11</t>
  </si>
  <si>
    <t>FILTER</t>
  </si>
  <si>
    <t>'2901-1947-02</t>
  </si>
  <si>
    <t>KIT OIL SEPARAT</t>
  </si>
  <si>
    <t>FILTER ELEMENT</t>
  </si>
  <si>
    <t>FILTER KIT UD</t>
  </si>
  <si>
    <t>OIL SEPARAT</t>
  </si>
  <si>
    <t>FILTER QD25</t>
  </si>
  <si>
    <t>'2901-2080-32</t>
  </si>
  <si>
    <t>FILTER UD25</t>
  </si>
  <si>
    <t>'2901-2079-52</t>
  </si>
  <si>
    <t>FILTER KIT UD 5</t>
  </si>
  <si>
    <t>'2901-3004-12</t>
  </si>
  <si>
    <t>FILTER GA30</t>
  </si>
  <si>
    <t>'2901-0326-00</t>
  </si>
  <si>
    <t>OIL SEPARATOR K</t>
  </si>
  <si>
    <t>'2901-0343-01</t>
  </si>
  <si>
    <t>KIT FILTER AIR</t>
  </si>
  <si>
    <t>FILTER KIT DD D</t>
  </si>
  <si>
    <t>SEPARATOR</t>
  </si>
  <si>
    <t>'2901-0070-00</t>
  </si>
  <si>
    <t>AIR OIL FILTE</t>
  </si>
  <si>
    <t>SAFETY VALVE</t>
  </si>
  <si>
    <t>'0830-1010-02</t>
  </si>
  <si>
    <t>UNLOADER VALVE</t>
  </si>
  <si>
    <t>Solenoid valve</t>
  </si>
  <si>
    <t>SOLENOID VALVE</t>
  </si>
  <si>
    <t>'1089-0641-34</t>
  </si>
  <si>
    <t>'1089-0580-20</t>
  </si>
  <si>
    <t>VALVE</t>
  </si>
  <si>
    <t>'1089-9439-19</t>
  </si>
  <si>
    <t>'1089-9439-17</t>
  </si>
  <si>
    <t>KIT DRAIN</t>
  </si>
  <si>
    <t>'2906-0965-00</t>
  </si>
  <si>
    <t>VALVE SOLENOID</t>
  </si>
  <si>
    <t>'1635-2925-00</t>
  </si>
  <si>
    <t>DRAIN AUTOMATIC</t>
  </si>
  <si>
    <t>SOLENOID 110V 5</t>
  </si>
  <si>
    <t>'1089-0640-21</t>
  </si>
  <si>
    <t>'1089-9439-22</t>
  </si>
  <si>
    <t>INLET VALVE ASS</t>
  </si>
  <si>
    <t>'1625-8101-02</t>
  </si>
  <si>
    <t>'2906-0958-00</t>
  </si>
  <si>
    <t>ELEC. DRAIN</t>
  </si>
  <si>
    <t>'2901-1465-53</t>
  </si>
  <si>
    <t>CHECK VALVE KIT</t>
  </si>
  <si>
    <t>'2901-0077-00</t>
  </si>
  <si>
    <t>OIL STOP VALVE</t>
  </si>
  <si>
    <t>'2901-0072-00</t>
  </si>
  <si>
    <t>PISTON</t>
  </si>
  <si>
    <t>'1613-7031-01</t>
  </si>
  <si>
    <t>THERMOSTAT KIT</t>
  </si>
  <si>
    <t>'2901-0074-00</t>
  </si>
  <si>
    <t>KIT PREV.MAINT.</t>
  </si>
  <si>
    <t>'3001-1602-19</t>
  </si>
  <si>
    <t>MIN. PRESS. THE</t>
  </si>
  <si>
    <t>WEAR DRAIN</t>
  </si>
  <si>
    <t>KIT VALVE CHECK</t>
  </si>
  <si>
    <t>'3001-1721-00</t>
  </si>
  <si>
    <t>CONNECT. OIL</t>
  </si>
  <si>
    <t>'2230-0073-90</t>
  </si>
  <si>
    <t>KIT SCU GA55-75</t>
  </si>
  <si>
    <t>'2901-0299-00</t>
  </si>
  <si>
    <t>DRIVE SHAFT BRN</t>
  </si>
  <si>
    <t>'2906-0657-00</t>
  </si>
  <si>
    <t>RE BEARING KIT</t>
  </si>
  <si>
    <t>'3001-1500-25</t>
  </si>
  <si>
    <t>ELEM.MOUNT.KIT</t>
  </si>
  <si>
    <t>'2901-0407-00</t>
  </si>
  <si>
    <t>ELEM.OVERH.KIT</t>
  </si>
  <si>
    <t>'2901-0189-00</t>
  </si>
  <si>
    <t>DRIVE SHAFT SEA</t>
  </si>
  <si>
    <t>'2906-0656-00</t>
  </si>
  <si>
    <t>PULLEY 2SPZ C55</t>
  </si>
  <si>
    <t>'2202-9148-12</t>
  </si>
  <si>
    <t>PULLEY ALU 2SPZ</t>
  </si>
  <si>
    <t>'2202-9149-03</t>
  </si>
  <si>
    <t>GEAR PINION</t>
  </si>
  <si>
    <t>'1623-1100-00</t>
  </si>
  <si>
    <t>1613958500 CO</t>
  </si>
  <si>
    <t>TN-TUNISIA</t>
  </si>
  <si>
    <t>FLEX.COUPLING</t>
  </si>
  <si>
    <t>'1614-8738-00</t>
  </si>
  <si>
    <t>Gear drive</t>
  </si>
  <si>
    <t>'1623-3952-00</t>
  </si>
  <si>
    <t>'2901-0362-00</t>
  </si>
  <si>
    <t>MIN PRESS VLV K</t>
  </si>
  <si>
    <t>'2906-0959-00</t>
  </si>
  <si>
    <t>LP ELEMENT EXCH</t>
  </si>
  <si>
    <t>'2906-0654-00</t>
  </si>
  <si>
    <t>HP ELEMENT EXCH</t>
  </si>
  <si>
    <t>'2906-0655-00</t>
  </si>
  <si>
    <t>GEARCASING SEAL</t>
  </si>
  <si>
    <t>'2906-0658-00</t>
  </si>
  <si>
    <t>BUFFER</t>
  </si>
  <si>
    <t>'1629-0314-37</t>
  </si>
  <si>
    <t>KIT MK5S TOUCH</t>
  </si>
  <si>
    <t>'1837-0310-42</t>
  </si>
  <si>
    <t>TEMPERATURE SEN</t>
  </si>
  <si>
    <t>'1089-0574-70</t>
  </si>
  <si>
    <t>SENSOR TEMPERAT</t>
  </si>
  <si>
    <t>'1617-3077-85</t>
  </si>
  <si>
    <t>'9026109000</t>
  </si>
  <si>
    <t xml:space="preserve">Los demás/Instrumentos y aparatos para la medida o control de caudal, nivel, presión u otras características variables de líquido o gases (por ejemplo: caudalímetros, indicadores de nivel, manómetros, contadores </t>
  </si>
  <si>
    <t>KIT WATERFLOW M</t>
  </si>
  <si>
    <t>'1837-0304-52</t>
  </si>
  <si>
    <t>KIT PRESSURE SE</t>
  </si>
  <si>
    <t>PREASSURE SENSORE</t>
  </si>
  <si>
    <t>'1089-9625-01</t>
  </si>
  <si>
    <t>KIT PREASSURE SE</t>
  </si>
  <si>
    <t>SENSOR LEVEL</t>
  </si>
  <si>
    <t>'1089-0659-57</t>
  </si>
  <si>
    <t>CEC2025AV00054400010001</t>
  </si>
  <si>
    <t>BEBRU148845</t>
  </si>
  <si>
    <t>AEROVIAS DEL CONTINENTE AMERICANO S.A. AVIANCA</t>
  </si>
  <si>
    <t>ATLAS COPCO ECUADOR S.A.</t>
  </si>
  <si>
    <t>2025-08-22</t>
  </si>
  <si>
    <t>GREASE ROTO GLI</t>
  </si>
  <si>
    <t>'2908-8514-00</t>
  </si>
  <si>
    <t>GREASE TUBE MOT</t>
  </si>
  <si>
    <t>CAN VACUUM FLUI</t>
  </si>
  <si>
    <t>'1630-1126-00</t>
  </si>
  <si>
    <t>Carbón activado/Carbón activado; materias minerales naturales activadas; negro de origen animal, incluido el agotado</t>
  </si>
  <si>
    <t>SERVICE QDT</t>
  </si>
  <si>
    <t>'3001-5009-02</t>
  </si>
  <si>
    <t>PLASTIC TUBE 8X</t>
  </si>
  <si>
    <t>'0070-6002-0</t>
  </si>
  <si>
    <t>TUBE ID4 OD6 BL</t>
  </si>
  <si>
    <t>'0070-6002-68</t>
  </si>
  <si>
    <t>RILSAN 12X10 TR</t>
  </si>
  <si>
    <t>'0070-6002-64</t>
  </si>
  <si>
    <t>SEAL KIT INSTRU</t>
  </si>
  <si>
    <t>O-RING 80 X 3</t>
  </si>
  <si>
    <t>'0663-2104-98</t>
  </si>
  <si>
    <t>O-RING 57.2 X 3</t>
  </si>
  <si>
    <t>'0663-2106-11</t>
  </si>
  <si>
    <t>O-RING 104.5X3</t>
  </si>
  <si>
    <t>'0663-2106-18</t>
  </si>
  <si>
    <t>O-RING 89.5X3</t>
  </si>
  <si>
    <t>'0663-2106-15</t>
  </si>
  <si>
    <t>O-RING 87X5</t>
  </si>
  <si>
    <t>'0663-2109-69</t>
  </si>
  <si>
    <t>O-RING 99.5X3</t>
  </si>
  <si>
    <t>'0663-2106-17</t>
  </si>
  <si>
    <t>O-RING 49.5X3</t>
  </si>
  <si>
    <t>'0663-2109-68</t>
  </si>
  <si>
    <t>KIT COOLER AIR</t>
  </si>
  <si>
    <t>'2906-0566-00</t>
  </si>
  <si>
    <t>FLEX.HOSE 1/2+</t>
  </si>
  <si>
    <t>'2202-9325-01</t>
  </si>
  <si>
    <t>'1635-3508-00</t>
  </si>
  <si>
    <t>'1621-9144-00</t>
  </si>
  <si>
    <t>HOSE M38X1,5 X</t>
  </si>
  <si>
    <t>'0574-9919-03</t>
  </si>
  <si>
    <t>'1627-9011-10</t>
  </si>
  <si>
    <t>'0574-8002-86</t>
  </si>
  <si>
    <t>'1621-9140-00</t>
  </si>
  <si>
    <t>V-BELT SET 2X</t>
  </si>
  <si>
    <t>V BELT XPA LP 1</t>
  </si>
  <si>
    <t>'0367-0100-63</t>
  </si>
  <si>
    <t>V-BELT</t>
  </si>
  <si>
    <t>V-belt</t>
  </si>
  <si>
    <t>'2903-1023-01</t>
  </si>
  <si>
    <t>WASHER</t>
  </si>
  <si>
    <t>O-RING 159.1 X</t>
  </si>
  <si>
    <t>'0663-210660</t>
  </si>
  <si>
    <t>VIBRATION DAMPE</t>
  </si>
  <si>
    <t>'0392-1100-28</t>
  </si>
  <si>
    <t>'7304490000</t>
  </si>
  <si>
    <t>SCAVENGE LINE A</t>
  </si>
  <si>
    <t>'1625-7038-00</t>
  </si>
  <si>
    <t>DK-DINAMARCA</t>
  </si>
  <si>
    <t>'7306900000</t>
  </si>
  <si>
    <t>Los demás/Los demás tubos y perfiles huecos (por ejemplo: soldados, remachados, grapados o con los bordes simplemente aproximados), de hierro o acero</t>
  </si>
  <si>
    <t>Silencer</t>
  </si>
  <si>
    <t>SILENCER</t>
  </si>
  <si>
    <t>'1629-0900-14</t>
  </si>
  <si>
    <t>VICTAULIC COUPL</t>
  </si>
  <si>
    <t>'0634-1000-20</t>
  </si>
  <si>
    <t>PLUG HEXAGON</t>
  </si>
  <si>
    <t>'1635-4005-00</t>
  </si>
  <si>
    <t>PLUG</t>
  </si>
  <si>
    <t>'1614-9146-00</t>
  </si>
  <si>
    <t>'7314310000</t>
  </si>
  <si>
    <t>Cincadas/Telas metálicas (incluidas las continuas o sin fin), redes y rejas, de alambre de hierro o acero; chapas y tiras, extendidas (desplegadas), de hierro o acero</t>
  </si>
  <si>
    <t>FAN GUARD</t>
  </si>
  <si>
    <t>'1621-0012-00</t>
  </si>
  <si>
    <t>FLEXMASTER JOIN</t>
  </si>
  <si>
    <t>'2906-0571-00</t>
  </si>
  <si>
    <t>ELEMENT MOUNTIN</t>
  </si>
  <si>
    <t>'1837-0289-70</t>
  </si>
  <si>
    <t>'2901-2049-00</t>
  </si>
  <si>
    <t>LV-LETONIA</t>
  </si>
  <si>
    <t>SUPPORT</t>
  </si>
  <si>
    <t>'1635-1475-00</t>
  </si>
  <si>
    <t>'7411100000</t>
  </si>
  <si>
    <t>De cobre refinado/Tubos de cobre</t>
  </si>
  <si>
    <t>KIT SCAVENGE LI</t>
  </si>
  <si>
    <t>'2901-1452-00</t>
  </si>
  <si>
    <t>SCAVENGE LINE K</t>
  </si>
  <si>
    <t>'2901-1615-00</t>
  </si>
  <si>
    <t>'7419809090</t>
  </si>
  <si>
    <t>Las demás/Las demás manufacturas de cobre</t>
  </si>
  <si>
    <t>GASKET 17 X 21</t>
  </si>
  <si>
    <t>'0653-1100-00</t>
  </si>
  <si>
    <t>ZA250-500 OVERH</t>
  </si>
  <si>
    <t>'2906-0537-02</t>
  </si>
  <si>
    <t>Los demás/Bombas de aire o de vacío, compresores de aire u otros gases y ventiladores; campanas aspirantes para extracción o reciclado, con ventilador incorporado, incluso con filtro</t>
  </si>
  <si>
    <t>FAN AXIAL</t>
  </si>
  <si>
    <t>'1635-1726-00</t>
  </si>
  <si>
    <t>CEC2025CMAU014000151101</t>
  </si>
  <si>
    <t>De potencia inferior a 30 kW (40 HP)/Bombas de aire o de vacío, compresores de aire u otros gases y ventiladores; campanas aspirantes para extracción o reciclado, con ventilador incorporado, incluso con filtro</t>
  </si>
  <si>
    <t>'8153-6539-70</t>
  </si>
  <si>
    <t>'8152-1037-55</t>
  </si>
  <si>
    <t>TH-TAILANDIA</t>
  </si>
  <si>
    <t>COMPRESSOR NN27</t>
  </si>
  <si>
    <t>'1624-2615-14</t>
  </si>
  <si>
    <t>OIS ELEMENT K-4</t>
  </si>
  <si>
    <t>'1616-8348-90</t>
  </si>
  <si>
    <t>SPARE ELEMENT A</t>
  </si>
  <si>
    <t>'1616-7387-91</t>
  </si>
  <si>
    <t>Los demás/Refrigeradores, congeladores y demás material, máquinas y aparatos para producción de frío, aunque no sean eléctricos; bombas de calor, excepto las máquinas y aparatos para acondicionamiento de a</t>
  </si>
  <si>
    <t>'8102-2293-34</t>
  </si>
  <si>
    <t>'8102-2277-15</t>
  </si>
  <si>
    <t>'8102-2293-46</t>
  </si>
  <si>
    <t>'8421219090</t>
  </si>
  <si>
    <t>Los demás/ Cetrifugadoras, incluidas las secadoras centrífugas; aparatos para filtrar o depurar líquidos o gases</t>
  </si>
  <si>
    <t>FILTER WATER</t>
  </si>
  <si>
    <t>'1625-8148-00</t>
  </si>
  <si>
    <t>Filter</t>
  </si>
  <si>
    <t>GA90/160 OIL BY</t>
  </si>
  <si>
    <t>FILTER DRYER DM</t>
  </si>
  <si>
    <t>'1624-2293-00</t>
  </si>
  <si>
    <t>'1630-3902-57</t>
  </si>
  <si>
    <t>Oil separator</t>
  </si>
  <si>
    <t>OIL SEPARATOR</t>
  </si>
  <si>
    <t>'8102-3724-02</t>
  </si>
  <si>
    <t>KIT CUBICLE FIL</t>
  </si>
  <si>
    <t>'8102-3724-10</t>
  </si>
  <si>
    <t>OILSEPARATOR KI</t>
  </si>
  <si>
    <t>FILTER KIT DD/D</t>
  </si>
  <si>
    <t>FILTER  DD75</t>
  </si>
  <si>
    <t>'2901-2079-14</t>
  </si>
  <si>
    <t>KIT FILTER QD13</t>
  </si>
  <si>
    <t>'2901-2005-05</t>
  </si>
  <si>
    <t>RXD FILTERS</t>
  </si>
  <si>
    <t>'2901-2066-00</t>
  </si>
  <si>
    <t>FILTER  QD30</t>
  </si>
  <si>
    <t>'2901-2080-39</t>
  </si>
  <si>
    <t>FILTER  UD30</t>
  </si>
  <si>
    <t>'2901-2079-59</t>
  </si>
  <si>
    <t>FILTER  GX2</t>
  </si>
  <si>
    <t>AIR/WATER FILTE</t>
  </si>
  <si>
    <t>'3001-5170-00</t>
  </si>
  <si>
    <t>FILTER KIT PD/P</t>
  </si>
  <si>
    <t>FILTER  QD11</t>
  </si>
  <si>
    <t>'2901-2080-35</t>
  </si>
  <si>
    <t>FILTER  PD11</t>
  </si>
  <si>
    <t>FILTER  PD30</t>
  </si>
  <si>
    <t>'2901-2079-39</t>
  </si>
  <si>
    <t>FILTER KIT UD 1</t>
  </si>
  <si>
    <t>FILTER  DD30</t>
  </si>
  <si>
    <t>'2901-2079-19</t>
  </si>
  <si>
    <t>KIT FILTER V111</t>
  </si>
  <si>
    <t>'2901-9900-77</t>
  </si>
  <si>
    <t>FILTER AIR INLE</t>
  </si>
  <si>
    <t>'1630-3904-08</t>
  </si>
  <si>
    <t>PARTS OF FILTER</t>
  </si>
  <si>
    <t>FILTER  PD18</t>
  </si>
  <si>
    <t>'2901-2079-37</t>
  </si>
  <si>
    <t>FILTER  DD18</t>
  </si>
  <si>
    <t>'2901-2079-17</t>
  </si>
  <si>
    <t>FILTER  DD15</t>
  </si>
  <si>
    <t>'2901-2079-11</t>
  </si>
  <si>
    <t>'2901-1641-01</t>
  </si>
  <si>
    <t>'2901-3000-09</t>
  </si>
  <si>
    <t>AIR FILTER ELEM</t>
  </si>
  <si>
    <t>'2901-3000-11</t>
  </si>
  <si>
    <t>'1837-0049-08</t>
  </si>
  <si>
    <t xml:space="preserve">Válvulas reductoras de presión/Artículos de grifería y órganos similares para tuberías, calderas, depósitos, cubas o continentes similares, incluidas las válvulas reductoras de presión y las </t>
  </si>
  <si>
    <t>REGULATING VALV</t>
  </si>
  <si>
    <t>'1625-8757-00</t>
  </si>
  <si>
    <t>REDUCER PRESSUR</t>
  </si>
  <si>
    <t>'1635-6036-00</t>
  </si>
  <si>
    <t>Check valve</t>
  </si>
  <si>
    <t>CHECK VALVE</t>
  </si>
  <si>
    <t>'2906-0512-03</t>
  </si>
  <si>
    <t>VALVE CHECK</t>
  </si>
  <si>
    <t>CHECK VALVE G1</t>
  </si>
  <si>
    <t>'2204-1546-01</t>
  </si>
  <si>
    <t>NON RETURN VALV</t>
  </si>
  <si>
    <t>KIT NON RETURN</t>
  </si>
  <si>
    <t>'0830-1007-67</t>
  </si>
  <si>
    <t>AUTO DRAIN LD20</t>
  </si>
  <si>
    <t>'1627-1806-10</t>
  </si>
  <si>
    <t>'1089-0580-08</t>
  </si>
  <si>
    <t>DRAIN LD 200  V</t>
  </si>
  <si>
    <t>'2202-8159-40</t>
  </si>
  <si>
    <t>SOL.VALV 2/2 NO</t>
  </si>
  <si>
    <t>'1089-0580-30</t>
  </si>
  <si>
    <t>'2901-1465-51</t>
  </si>
  <si>
    <t>LDI DRAIN 230V</t>
  </si>
  <si>
    <t>KIT PM GA55+-90</t>
  </si>
  <si>
    <t>'2901-1453-80</t>
  </si>
  <si>
    <t>DRAIN  WSD80</t>
  </si>
  <si>
    <t>PREV.MAINT.KIT</t>
  </si>
  <si>
    <t>'2901-0998-00</t>
  </si>
  <si>
    <t>'1625-8101-00</t>
  </si>
  <si>
    <t>'0837-1500-67</t>
  </si>
  <si>
    <t>VALVE ASSEMBLY</t>
  </si>
  <si>
    <t>'1622-3489-06</t>
  </si>
  <si>
    <t>MPV/THERM.VALVE</t>
  </si>
  <si>
    <t>'2901-3545-00</t>
  </si>
  <si>
    <t>'2906-0093-00</t>
  </si>
  <si>
    <t>KIT VALVE VACUU</t>
  </si>
  <si>
    <t>KIT VALVE UNLOA</t>
  </si>
  <si>
    <t>'2906-0563-00</t>
  </si>
  <si>
    <t>KIT RESSORT B A</t>
  </si>
  <si>
    <t>'6219-0702-00</t>
  </si>
  <si>
    <t>KIT THERMOSTAT</t>
  </si>
  <si>
    <t>'2901-1454-00</t>
  </si>
  <si>
    <t>KIT PM GA75-90V</t>
  </si>
  <si>
    <t>'2901-1453-81</t>
  </si>
  <si>
    <t>KIT MAINTENANCE</t>
  </si>
  <si>
    <t>'2906-0666-00</t>
  </si>
  <si>
    <t>PREVENTIVE MAIN</t>
  </si>
  <si>
    <t>'3001-5210-00</t>
  </si>
  <si>
    <t>'2901-1464-00</t>
  </si>
  <si>
    <t>THERM+MPV C</t>
  </si>
  <si>
    <t>OIL STOP/CHECK</t>
  </si>
  <si>
    <t>'2901-0217-04</t>
  </si>
  <si>
    <t>THERM.VALVE 75D</t>
  </si>
  <si>
    <t>THERMOSTAT</t>
  </si>
  <si>
    <t>THERMOSTAT VALV</t>
  </si>
  <si>
    <t>'1830-0806-05</t>
  </si>
  <si>
    <t>SET OF WEARING</t>
  </si>
  <si>
    <t>'2901-0633-00</t>
  </si>
  <si>
    <t>OSV-CV KIT</t>
  </si>
  <si>
    <t>'1837-0289-68</t>
  </si>
  <si>
    <t>ROD PISTON C77</t>
  </si>
  <si>
    <t>'1622-1773-31</t>
  </si>
  <si>
    <t>'1622-5125-00</t>
  </si>
  <si>
    <t>MOTOR BEARING K</t>
  </si>
  <si>
    <t>DRIVE SHAFT BEA</t>
  </si>
  <si>
    <t>'2906-0005-01</t>
  </si>
  <si>
    <t>GEARBOX KIT</t>
  </si>
  <si>
    <t>'2906-0969-00</t>
  </si>
  <si>
    <t>ELEMENT OVERHAU</t>
  </si>
  <si>
    <t>KIT ELEMENT OVE</t>
  </si>
  <si>
    <t>ZR300-750 DRIVE</t>
  </si>
  <si>
    <t>'2906-0623-00</t>
  </si>
  <si>
    <t>GEAR WHEEL</t>
  </si>
  <si>
    <t>'1616-6237-06</t>
  </si>
  <si>
    <t>'1616-6236-11</t>
  </si>
  <si>
    <t>'8483904000</t>
  </si>
  <si>
    <t>Ruedas dentadas y demás órganos elementales de transmisión presentados aisladamente/Arboles de transmisión (incluidos los de levas y los cigüeñales) y manivelas; cajas de cojinetes y cojinetes; engranajes y ruedas de fr</t>
  </si>
  <si>
    <t>GEAR ELEMENT C1</t>
  </si>
  <si>
    <t>'1622-3692-12</t>
  </si>
  <si>
    <t>GEAR MOTOR C146</t>
  </si>
  <si>
    <t>'1622-3692-11</t>
  </si>
  <si>
    <t>ABSORBER</t>
  </si>
  <si>
    <t>'1623-0378-00</t>
  </si>
  <si>
    <t>'1614-8739-00</t>
  </si>
  <si>
    <t>IMD 300 CONNECT</t>
  </si>
  <si>
    <t>'2906-0748-00</t>
  </si>
  <si>
    <t>KIT ELEMENT MOU</t>
  </si>
  <si>
    <t>'2901-1460-00</t>
  </si>
  <si>
    <t>'2906-0095-00</t>
  </si>
  <si>
    <t>'1830-0043-30</t>
  </si>
  <si>
    <t>LIP SEAL</t>
  </si>
  <si>
    <t>'1616-5517-00</t>
  </si>
  <si>
    <t>ANTIVIBR.PAD</t>
  </si>
  <si>
    <t>'1613-6752-19</t>
  </si>
  <si>
    <t>ANTIVIBR.PAD PM</t>
  </si>
  <si>
    <t>'1613-6752-18</t>
  </si>
  <si>
    <t>LIP SEAL KIT GA</t>
  </si>
  <si>
    <t>'2901-1911-00</t>
  </si>
  <si>
    <t>16000H KIT</t>
  </si>
  <si>
    <t>'2906-0844-00</t>
  </si>
  <si>
    <t>MUFFLER</t>
  </si>
  <si>
    <t>BR-BRASIL</t>
  </si>
  <si>
    <t>'8501522000</t>
  </si>
  <si>
    <t>De potencia superior a 7,5 kW pero inferior o igual a 18,5 kW/Motores y generadores, eléctricos, excepto los grupos electrógenos</t>
  </si>
  <si>
    <t>MOTOR</t>
  </si>
  <si>
    <t>'1635-1462-04</t>
  </si>
  <si>
    <t>SI-ESLOVENIA</t>
  </si>
  <si>
    <t>TIMER</t>
  </si>
  <si>
    <t>'1089-9331-07</t>
  </si>
  <si>
    <t>'1089-0574-86</t>
  </si>
  <si>
    <t>SENSOR T.SWITCH</t>
  </si>
  <si>
    <t>'2204-1417-00</t>
  </si>
  <si>
    <t>SENSOR PRESS</t>
  </si>
  <si>
    <t>'1089-9625-12</t>
  </si>
  <si>
    <t>Pressure sensor</t>
  </si>
  <si>
    <t>PRESSURE SENSOR</t>
  </si>
  <si>
    <t>'1089-9625-18</t>
  </si>
  <si>
    <t>module</t>
  </si>
  <si>
    <t>MODULE</t>
  </si>
  <si>
    <t>'1630-2039-10</t>
  </si>
  <si>
    <t>PRESS.SWITCH</t>
  </si>
  <si>
    <t>'1089-0397-42</t>
  </si>
  <si>
    <t>CEC2025CV00007800270189</t>
  </si>
  <si>
    <t>S01025653</t>
  </si>
  <si>
    <t>CARGOLUX AIRLINES INTERNATIONAL S.A.</t>
  </si>
  <si>
    <t>2025-09-24</t>
  </si>
  <si>
    <t>'3001-5009-01</t>
  </si>
  <si>
    <t>2025-09-26</t>
  </si>
  <si>
    <t>TUBE</t>
  </si>
  <si>
    <t>V-BELT / ARTICLES OF RUBBER</t>
  </si>
  <si>
    <t>V-BELT (SET 2X)</t>
  </si>
  <si>
    <t>ANTIVIBR.PAD VE</t>
  </si>
  <si>
    <t>'1625-2062-00</t>
  </si>
  <si>
    <t>PULSATION DAMPE</t>
  </si>
  <si>
    <t>CEC2025CMAU016100070401</t>
  </si>
  <si>
    <t>2025-08-30</t>
  </si>
  <si>
    <t>'0000-0087-13</t>
  </si>
  <si>
    <t>'0000-0087-24</t>
  </si>
  <si>
    <t>'0000-0087-49</t>
  </si>
  <si>
    <t>'8152-1292-73</t>
  </si>
  <si>
    <t>'8153-6566-92</t>
  </si>
  <si>
    <t>'8152-1038-44</t>
  </si>
  <si>
    <t>CEC2025KL21018100010185</t>
  </si>
  <si>
    <t>S01022200</t>
  </si>
  <si>
    <t>2025-09-18</t>
  </si>
  <si>
    <t>KIT FILTER OIL</t>
  </si>
  <si>
    <t>'3001-1513-01</t>
  </si>
  <si>
    <t>'8102-3727-20</t>
  </si>
  <si>
    <t>'8102-3727-18</t>
  </si>
  <si>
    <t>'8102-3724-18</t>
  </si>
  <si>
    <t>'8102-3724-20</t>
  </si>
  <si>
    <t>SEPARATOR OIL P</t>
  </si>
  <si>
    <t>OIL SEP. GA</t>
  </si>
  <si>
    <t>'2901-3001-11</t>
  </si>
  <si>
    <t>FILTER QD31</t>
  </si>
  <si>
    <t>'2901-2005-08</t>
  </si>
  <si>
    <t>OIL SEP.  GA</t>
  </si>
  <si>
    <t>MAINT.KIT4000H</t>
  </si>
  <si>
    <t>'2901-3536-00</t>
  </si>
  <si>
    <t>OILSEP..ST.M</t>
  </si>
  <si>
    <t>'2901-0003-00</t>
  </si>
  <si>
    <t>'2901-3537-00</t>
  </si>
  <si>
    <t>'1613-9001-0</t>
  </si>
  <si>
    <t>OIL SEP.</t>
  </si>
  <si>
    <t>'2901-0779-00</t>
  </si>
  <si>
    <t>FILTER GX2</t>
  </si>
  <si>
    <t>BA-BOSNIA Y HERZEGOVINA</t>
  </si>
  <si>
    <t>EL.AIR FILTER</t>
  </si>
  <si>
    <t>'1619-2847-00</t>
  </si>
  <si>
    <t>UNLOADER  KIT</t>
  </si>
  <si>
    <t>KIT REPLACE 220</t>
  </si>
  <si>
    <t>MACHINERY, MECHANICAL APPLIANCES AND PARTS THER</t>
  </si>
  <si>
    <t>'2906-0755-00</t>
  </si>
  <si>
    <t>DRAIN WSD80</t>
  </si>
  <si>
    <t>THERM. MPV KIT</t>
  </si>
  <si>
    <t>'2901-3531-00</t>
  </si>
  <si>
    <t>'3001-1602-17</t>
  </si>
  <si>
    <t>'3001-1500-39</t>
  </si>
  <si>
    <t>'8536901000</t>
  </si>
  <si>
    <t>Aparatos de empalme o conexión para una tensión  inferior o igual a 260 V e intensidad inferior o igual a 30 A/Aparatos para corte, seccionamiento, protección, derivación, empalme o conexión de circuitos eléctric</t>
  </si>
  <si>
    <t>CONNECTOR</t>
  </si>
  <si>
    <t>'1088-0021-92</t>
  </si>
  <si>
    <t>TERMINAL PIN</t>
  </si>
  <si>
    <t>'1088-0021-93</t>
  </si>
  <si>
    <t>MK5S ELEKTRONIK</t>
  </si>
  <si>
    <t>RETROFIT</t>
  </si>
  <si>
    <t>'2200-9034-01</t>
  </si>
  <si>
    <t>'1837-0310-16</t>
  </si>
  <si>
    <t>CEC2025CV00008000390204</t>
  </si>
  <si>
    <t>S01031229</t>
  </si>
  <si>
    <t>03906363</t>
  </si>
  <si>
    <t>2025-10-01</t>
  </si>
  <si>
    <t>OIL CAN 20L RS</t>
  </si>
  <si>
    <t>V-BELT SET (2X)</t>
  </si>
  <si>
    <t>'2204-1556-56</t>
  </si>
  <si>
    <t>'7307990010</t>
  </si>
  <si>
    <t>Para dispositivos de cierre de tuberías de alta presión /Accesorios de tubería (por ejemplo: empalmes [racores], codos, manguitos), de fundición, hierro o acero.</t>
  </si>
  <si>
    <t>'7314390000</t>
  </si>
  <si>
    <t>Las demás/Telas metálicas (incluidas las continuas o sin fin), redes y rejas, de alambre de hierro o acero; chapas y tiras, extendidas (desplegadas), de hierro o acero</t>
  </si>
  <si>
    <t>SPARES UNLO</t>
  </si>
  <si>
    <t>'2200-9009-61</t>
  </si>
  <si>
    <t>FAN VENTOLA HF2</t>
  </si>
  <si>
    <t>'2202-7043-04</t>
  </si>
  <si>
    <t>FAN RAD. 0.82KW</t>
  </si>
  <si>
    <t>'1625-8988-81</t>
  </si>
  <si>
    <t>CEC2025CMAU017300050801</t>
  </si>
  <si>
    <t>02901118</t>
  </si>
  <si>
    <t>2025-10-17</t>
  </si>
  <si>
    <t>2025-10-22</t>
  </si>
  <si>
    <t>'8152-1038-03</t>
  </si>
  <si>
    <t>COOLER AFTER GA</t>
  </si>
  <si>
    <t>'1625-5944-03</t>
  </si>
  <si>
    <t>HEAT EXCHANGER</t>
  </si>
  <si>
    <t>'2202-7367-82</t>
  </si>
  <si>
    <t>TERDAM-AMSTERDAM-SCHIPHOL AIRPORT</t>
  </si>
  <si>
    <t>CEC2025CV00008600160232</t>
  </si>
  <si>
    <t>S01038696</t>
  </si>
  <si>
    <t>ATLAS COPCO AIRPOWER NV SERVICE CENTER</t>
  </si>
  <si>
    <t>'8102-3724-06</t>
  </si>
  <si>
    <t>SEPERATOR KIT L</t>
  </si>
  <si>
    <t>AIR FILTER KIT</t>
  </si>
  <si>
    <t>'2901-9900-95</t>
  </si>
  <si>
    <t>OSE/ SCAVENGE LI</t>
  </si>
  <si>
    <t>FILTER UD24</t>
  </si>
  <si>
    <t>'2901-2079-58</t>
  </si>
  <si>
    <t>FILTER QD24</t>
  </si>
  <si>
    <t>'2901-2080-38</t>
  </si>
  <si>
    <t>FILTER/SEPARATI</t>
  </si>
  <si>
    <t>'3001-5311-09</t>
  </si>
  <si>
    <t>ELECTR. DRAIN LD</t>
  </si>
  <si>
    <t>'2202-8159-32</t>
  </si>
  <si>
    <t>VALVE THROTTLE</t>
  </si>
  <si>
    <t>'1635-5401-82</t>
  </si>
  <si>
    <t>'2901-9908-27</t>
  </si>
  <si>
    <t>GA90-110 (W) 800</t>
  </si>
  <si>
    <t>8000H MAIN KIT</t>
  </si>
  <si>
    <t>'2906-0757-00</t>
  </si>
  <si>
    <t>KIT GA160+-315</t>
  </si>
  <si>
    <t>'3001-5311-22</t>
  </si>
  <si>
    <t>OSV/CV KIT C11</t>
  </si>
  <si>
    <t>'2901-2006-59</t>
  </si>
  <si>
    <t>HOUSING THERM.</t>
  </si>
  <si>
    <t>'1622-2728-21</t>
  </si>
  <si>
    <t>ROD PISTON</t>
  </si>
  <si>
    <t>'1623-4781-02</t>
  </si>
  <si>
    <t>'2202-9148-14</t>
  </si>
  <si>
    <t>'2906-0667-00</t>
  </si>
  <si>
    <t>PM KIT C PACK</t>
  </si>
  <si>
    <t>'2901-1875-00</t>
  </si>
  <si>
    <t>ELECTRICAL MACHINERY EQUIPMENT AND PARTS THERE</t>
  </si>
  <si>
    <t>CABLE TEMP. SENS</t>
  </si>
  <si>
    <t>'1622-0663-01</t>
  </si>
  <si>
    <t>THERMOMETER PT1</t>
  </si>
  <si>
    <t>'1089-0708-12</t>
  </si>
  <si>
    <t>FRANCE</t>
  </si>
  <si>
    <t>ATLAS COPCO AIRPORWER</t>
  </si>
  <si>
    <t>CEC2025CMAU018800060301</t>
  </si>
  <si>
    <t>S01030738</t>
  </si>
  <si>
    <t>2025-10-15</t>
  </si>
  <si>
    <t>2025-11-07</t>
  </si>
  <si>
    <t>OIL RIF NDURANC</t>
  </si>
  <si>
    <t>CEC2025CV00008900180001</t>
  </si>
  <si>
    <t>S01040754</t>
  </si>
  <si>
    <t>2025-11-01</t>
  </si>
  <si>
    <t>LUBRICATING PREPARATIONS</t>
  </si>
  <si>
    <t>2025-11-06</t>
  </si>
  <si>
    <t>ROTO-FOODGRADE</t>
  </si>
  <si>
    <t>OIL CAN 5L RS X</t>
  </si>
  <si>
    <t>CEC2025CV00009400160001</t>
  </si>
  <si>
    <t>BEBRU151354</t>
  </si>
  <si>
    <t>2025-11-19</t>
  </si>
  <si>
    <t>CEC2025CV00009200020001</t>
  </si>
  <si>
    <t>S01043122</t>
  </si>
  <si>
    <t>2025-11-12</t>
  </si>
  <si>
    <t>TUBE ID5.5 OD8</t>
  </si>
  <si>
    <t>'0070-6002-05</t>
  </si>
  <si>
    <t>'0070-6002-04</t>
  </si>
  <si>
    <t>FLEXIBLE TUBE</t>
  </si>
  <si>
    <t>'0070-7250-07</t>
  </si>
  <si>
    <t>ARTICLES OF PLASTIC</t>
  </si>
  <si>
    <t>'1617-5571-00</t>
  </si>
  <si>
    <t>'0663-9872-00</t>
  </si>
  <si>
    <t>ORING 264X3</t>
  </si>
  <si>
    <t>'0663-2103-22</t>
  </si>
  <si>
    <t>ARTICLES OF RUBBER</t>
  </si>
  <si>
    <t>'0574-9919-01</t>
  </si>
  <si>
    <t>CEC2025CV00009100290267</t>
  </si>
  <si>
    <t>2025-11-08</t>
  </si>
  <si>
    <t>HOSE M26X1,5X58</t>
  </si>
  <si>
    <t>'1629-0313-62</t>
  </si>
  <si>
    <t>PAD ANTI VIBR.</t>
  </si>
  <si>
    <t>'1625-2062-10</t>
  </si>
  <si>
    <t>ARTICLES OF IRON AND STEEL</t>
  </si>
  <si>
    <t>'0580-0402-00</t>
  </si>
  <si>
    <t>'0196-1552-02</t>
  </si>
  <si>
    <t>'2901-1463-00</t>
  </si>
  <si>
    <t>KIT VALVE MINIM</t>
  </si>
  <si>
    <t>ARTICLES OF COPPER</t>
  </si>
  <si>
    <t>'1613-8460-00</t>
  </si>
  <si>
    <t>'3001-5248-00</t>
  </si>
  <si>
    <t>COPPER AND ARTICLES THEREOF</t>
  </si>
  <si>
    <t>'0653-1062-00</t>
  </si>
  <si>
    <t>B KIT  NGP8</t>
  </si>
  <si>
    <t>'3001-1504-01</t>
  </si>
  <si>
    <t>C KIT  NGP30</t>
  </si>
  <si>
    <t>'3001-1504-04</t>
  </si>
  <si>
    <t>Centrifugal Fan</t>
  </si>
  <si>
    <t>'1622-3406-02</t>
  </si>
  <si>
    <t>Fan Radial</t>
  </si>
  <si>
    <t>'1830-0526-40</t>
  </si>
  <si>
    <t>FAN</t>
  </si>
  <si>
    <t>'1614-9287-00</t>
  </si>
  <si>
    <t>CEC2025CMAU019400090801</t>
  </si>
  <si>
    <t>2025-10-23</t>
  </si>
  <si>
    <t>2025-11-21</t>
  </si>
  <si>
    <t>'8153-3366-28</t>
  </si>
  <si>
    <t>'0000-0892-74</t>
  </si>
  <si>
    <t>'0000-0092-45</t>
  </si>
  <si>
    <t>ITALY</t>
  </si>
  <si>
    <t>CEC2025CMAU019400110501</t>
  </si>
  <si>
    <t>2025-10-30</t>
  </si>
  <si>
    <t>'8153-6588-86</t>
  </si>
  <si>
    <t>'8153-9182-54</t>
  </si>
  <si>
    <t>'8153-6192-11</t>
  </si>
  <si>
    <t>CEC2025CMAU019400150701</t>
  </si>
  <si>
    <t>PISTON COMPRESSORS</t>
  </si>
  <si>
    <t>'8115-4500-21</t>
  </si>
  <si>
    <t>'8414809000</t>
  </si>
  <si>
    <t>COMPRESSOR SPARE PARTS</t>
  </si>
  <si>
    <t>'2902-0222-01</t>
  </si>
  <si>
    <t>FILTER FOR LIQUIDS</t>
  </si>
  <si>
    <t>'1837-0433-91</t>
  </si>
  <si>
    <t>'8102-3723-10</t>
  </si>
  <si>
    <t>UNITED KINGDOM</t>
  </si>
  <si>
    <t>CEC2025CMAU018800060801</t>
  </si>
  <si>
    <t>'8102-3720-10</t>
  </si>
  <si>
    <t>'8102-3174-12</t>
  </si>
  <si>
    <t>'2901-2079-55</t>
  </si>
  <si>
    <t>'2901-2079-65</t>
  </si>
  <si>
    <t>'2901-1961-00</t>
  </si>
  <si>
    <t>'2906-0739-00</t>
  </si>
  <si>
    <t>FILTER KIT UD 6</t>
  </si>
  <si>
    <t>'2901-3004-05</t>
  </si>
  <si>
    <t>KIT AIR/OIL FIL</t>
  </si>
  <si>
    <t>FILTER/SEPARATO</t>
  </si>
  <si>
    <t>FILTER QD35</t>
  </si>
  <si>
    <t>KIT AIR FILTER</t>
  </si>
  <si>
    <t>PACKED FILTER E</t>
  </si>
  <si>
    <t>'1625-4800-51</t>
  </si>
  <si>
    <t>KIT A 2-4kW 400</t>
  </si>
  <si>
    <t>KIT A 5-7kW 400</t>
  </si>
  <si>
    <t>'2901-3004-07</t>
  </si>
  <si>
    <t>FILTER  PDP7</t>
  </si>
  <si>
    <t>'2901-2080-10</t>
  </si>
  <si>
    <t>FILTER  QD45</t>
  </si>
  <si>
    <t>'2901-2080-33</t>
  </si>
  <si>
    <t>FILTER  PD75</t>
  </si>
  <si>
    <t>'2901-2079-34</t>
  </si>
  <si>
    <t>CHECK VALVE G1/</t>
  </si>
  <si>
    <t>'0837-1500-82</t>
  </si>
  <si>
    <t>'1089-0641-46</t>
  </si>
  <si>
    <t>'2901-0563-00</t>
  </si>
  <si>
    <t>'1629-4035-00</t>
  </si>
  <si>
    <t>VALVE REGUL.</t>
  </si>
  <si>
    <t>'1622-3539-86</t>
  </si>
  <si>
    <t>PARTS OF MACHINERY AND MECHANICAL APPLIANCES</t>
  </si>
  <si>
    <t>'3001-5311-50</t>
  </si>
  <si>
    <t>'3001-1723-00</t>
  </si>
  <si>
    <t>'1830-0805-88</t>
  </si>
  <si>
    <t>PARTS O FMACHINERY AND MECHANICAL APPLIANCES</t>
  </si>
  <si>
    <t>'1622-3688-31</t>
  </si>
  <si>
    <t>THERM.&amp;MPV KIT</t>
  </si>
  <si>
    <t>MAINTENANCE KIT</t>
  </si>
  <si>
    <t>THERM.VALVE TR/</t>
  </si>
  <si>
    <t>OSV/CV  KIT C11</t>
  </si>
  <si>
    <t>KIT TROPICAL TH</t>
  </si>
  <si>
    <t>'2901-1455-00</t>
  </si>
  <si>
    <t>KIT CV-OSV Q-05</t>
  </si>
  <si>
    <t>'2901-0021-01</t>
  </si>
  <si>
    <t>'2901-1910-22</t>
  </si>
  <si>
    <t>'2901-1910-21</t>
  </si>
  <si>
    <t>KIT SHAFT SEAL</t>
  </si>
  <si>
    <t>GEAR SET 27/28</t>
  </si>
  <si>
    <t>'1622-6167-81</t>
  </si>
  <si>
    <t>'1617-5564-00</t>
  </si>
  <si>
    <t>'3001-5311-14</t>
  </si>
  <si>
    <t>'3001-5311-21</t>
  </si>
  <si>
    <t>'2901-1957-00</t>
  </si>
  <si>
    <t>'2901-3533-00</t>
  </si>
  <si>
    <t>'2230-0018-09</t>
  </si>
  <si>
    <t>'3001-5006-50</t>
  </si>
  <si>
    <t>'3001-5006-55</t>
  </si>
  <si>
    <t>'1629-2141-24</t>
  </si>
  <si>
    <t>ELECTRICAL MACHINERY, EQUIPMENT AND PARTS THERE</t>
  </si>
  <si>
    <t>'1094-8154-01</t>
  </si>
  <si>
    <t>Partes identificables como destinadas, exclusiva o principalmente, a las máquinas de las partidas nº 85.01 u 85.02</t>
  </si>
  <si>
    <t>'1625-0033-08</t>
  </si>
  <si>
    <t>'1622-3919-11</t>
  </si>
  <si>
    <t>Thermometers and pyrometers, not combined with</t>
  </si>
  <si>
    <t>'9025809000</t>
  </si>
  <si>
    <t>MEASURING DEVICES</t>
  </si>
  <si>
    <t>'2901-9901-92</t>
  </si>
  <si>
    <t>SENSOR PRESSURE</t>
  </si>
  <si>
    <t>'9027101000</t>
  </si>
  <si>
    <t>Eléctricos o electrónicos/Instrumentos y aparatos para análisis físicos o químicos (por ejemplo: polarímetros, refractómetros, espectrómetros, analizadores de gases o humos); instrumentos y aparatos</t>
  </si>
  <si>
    <t>DKIT NGP30</t>
  </si>
  <si>
    <t>'3001-1504-17</t>
  </si>
  <si>
    <t>'1089-0637-29</t>
  </si>
  <si>
    <t>CEC2025QT00048800040340</t>
  </si>
  <si>
    <t>BEBRU152227</t>
  </si>
  <si>
    <t>TAMPA CARGO S.A.S.</t>
  </si>
  <si>
    <t>2025-12-26</t>
  </si>
  <si>
    <t>HOSE 400</t>
  </si>
  <si>
    <t>'1625-4763-00</t>
  </si>
  <si>
    <t>O-RING 32.2x3</t>
  </si>
  <si>
    <t>'0663-3130-00</t>
  </si>
  <si>
    <t>O-RING 7.3X2.4</t>
  </si>
  <si>
    <t>'0663-2107-84</t>
  </si>
  <si>
    <t>'3001-4000-16</t>
  </si>
  <si>
    <t>O-RING 450X6.3</t>
  </si>
  <si>
    <t>'0663-2120-08</t>
  </si>
  <si>
    <t>HOSE M12X1.5 X</t>
  </si>
  <si>
    <t>'0574-8000-21</t>
  </si>
  <si>
    <t>HOSE M26X1.5 X</t>
  </si>
  <si>
    <t>'0574-8000-25</t>
  </si>
  <si>
    <t>HOSE FX410XF</t>
  </si>
  <si>
    <t>'0574-9911-35</t>
  </si>
  <si>
    <t>'0574-8000-26</t>
  </si>
  <si>
    <t>'2202-9249-01</t>
  </si>
  <si>
    <t>'1635-8302-00</t>
  </si>
  <si>
    <t>PIPE SCAVENGE L</t>
  </si>
  <si>
    <t>'1625-5705-00</t>
  </si>
  <si>
    <t>CEC2025CMAU020300100601</t>
  </si>
  <si>
    <t>2025-12-05</t>
  </si>
  <si>
    <t>VN-VIETNAM</t>
  </si>
  <si>
    <t>HEX SOCK. SCREW</t>
  </si>
  <si>
    <t>'0211-1247-03</t>
  </si>
  <si>
    <t>SCREW</t>
  </si>
  <si>
    <t>'0211-1335-03</t>
  </si>
  <si>
    <t>DRYER KIT</t>
  </si>
  <si>
    <t>STUD</t>
  </si>
  <si>
    <t>'1625-4614-01</t>
  </si>
  <si>
    <t>CEC2025KL21024800170334</t>
  </si>
  <si>
    <t>BEBRU152344</t>
  </si>
  <si>
    <t>2025-12-21</t>
  </si>
  <si>
    <t>PLAIN WASHER M1</t>
  </si>
  <si>
    <t>'0301-2344-00</t>
  </si>
  <si>
    <t>'1629-2140-03</t>
  </si>
  <si>
    <t>PIPE COUPLING T</t>
  </si>
  <si>
    <t>'0581-0000-35</t>
  </si>
  <si>
    <t>'8153-6118-04</t>
  </si>
  <si>
    <t>CEC2025CMAU020300100701</t>
  </si>
  <si>
    <t>'8153-6589-11</t>
  </si>
  <si>
    <t>'8153-6566-27</t>
  </si>
  <si>
    <t>'0000-0654-98</t>
  </si>
  <si>
    <t>'0000-0653-57</t>
  </si>
  <si>
    <t>CEC2025CMAU020300110801</t>
  </si>
  <si>
    <t>2025-11-10</t>
  </si>
  <si>
    <t>'8153-1878-47</t>
  </si>
  <si>
    <t>SHAFT SEAL KIT</t>
  </si>
  <si>
    <t>'2901-0561-00</t>
  </si>
  <si>
    <t>KIT LIP SEAL</t>
  </si>
  <si>
    <t>'3001-4000-15</t>
  </si>
  <si>
    <t>OIS I-04 (C80 V</t>
  </si>
  <si>
    <t>'1616-7725-90</t>
  </si>
  <si>
    <t>MACHINERY MECHANICAL APPLIANCE AND PARTS THER</t>
  </si>
  <si>
    <t>'8102-3904-44</t>
  </si>
  <si>
    <t>'0000-0508-55</t>
  </si>
  <si>
    <t>CEC2025CMAU021100031101</t>
  </si>
  <si>
    <t>2025-11-16</t>
  </si>
  <si>
    <t>2025-12-18</t>
  </si>
  <si>
    <t>'8092-2663-06</t>
  </si>
  <si>
    <t>E6X-SF-API(E6)2</t>
  </si>
  <si>
    <t>'8092-3505-48</t>
  </si>
  <si>
    <t>OTA-ELDORADO AIRPORT</t>
  </si>
  <si>
    <t>BOGOTA-ELDORADO AIRPORT</t>
  </si>
  <si>
    <t>ATLAS COPCO COLOMBIA LTDA</t>
  </si>
  <si>
    <t>CEC20252K00094300020000</t>
  </si>
  <si>
    <t>072945636264</t>
  </si>
  <si>
    <t>2025-12-14</t>
  </si>
  <si>
    <t>CIP</t>
  </si>
  <si>
    <t>FX30 (E4) ACUL 230V1PH60 DC FC</t>
  </si>
  <si>
    <t>'8102229334</t>
  </si>
  <si>
    <t>OIL-COOLER GA75</t>
  </si>
  <si>
    <t>'1622-3768-00</t>
  </si>
  <si>
    <t>'1837-0289-60</t>
  </si>
  <si>
    <t>OIL FILTER 8000</t>
  </si>
  <si>
    <t>OIL FILTER SPAR</t>
  </si>
  <si>
    <t>'1625-4261-50</t>
  </si>
  <si>
    <t>'8102-3724-16</t>
  </si>
  <si>
    <t>UD145 (NPT1 1/</t>
  </si>
  <si>
    <t>SEPARATOR OIL S</t>
  </si>
  <si>
    <t>'2903-7753-00</t>
  </si>
  <si>
    <t>AIR / OIL FILTE</t>
  </si>
  <si>
    <t>HOUSING FILTER</t>
  </si>
  <si>
    <t>'1621-1865-00</t>
  </si>
  <si>
    <t>FILTER PD6</t>
  </si>
  <si>
    <t>'2901-1974-00</t>
  </si>
  <si>
    <t>FILTERS / S</t>
  </si>
  <si>
    <t>AIR FILTERS KIT</t>
  </si>
  <si>
    <t>'1837-0289-54</t>
  </si>
  <si>
    <t>FILTER DDP7</t>
  </si>
  <si>
    <t>'2901-2079-74</t>
  </si>
  <si>
    <t>FILTER QD70</t>
  </si>
  <si>
    <t>FILTER QD14</t>
  </si>
  <si>
    <t>'2901-2080-36</t>
  </si>
  <si>
    <t>FILTER UD14</t>
  </si>
  <si>
    <t>'2901-2079-56</t>
  </si>
  <si>
    <t>KIT PREVENTIVE</t>
  </si>
  <si>
    <t>'2901-2006-14</t>
  </si>
  <si>
    <t>KIT AIR-OILFILT</t>
  </si>
  <si>
    <t>FILTER UD11</t>
  </si>
  <si>
    <t>'2901-3000-10</t>
  </si>
  <si>
    <t>'2901-3001-10</t>
  </si>
  <si>
    <t>'2901-3000-08</t>
  </si>
  <si>
    <t>'2901-3001-08</t>
  </si>
  <si>
    <t>'8481200000</t>
  </si>
  <si>
    <t>Válvulas para transmisiones oleohiráulicas o neumáticas/Artículos de grifería y órganos similares para tuberías, calderas, depósitos, cubas o continentes similares, incluidas las válvulas red</t>
  </si>
  <si>
    <t>KIT ACTUATOR D</t>
  </si>
  <si>
    <t>'3001-1504-09</t>
  </si>
  <si>
    <t>MAIN. KIT 7.5 - 10</t>
  </si>
  <si>
    <t>'2901-1189-00</t>
  </si>
  <si>
    <t>VALVE PRESS</t>
  </si>
  <si>
    <t>AUTO DRAIN</t>
  </si>
  <si>
    <t>G90 160 (VSD)</t>
  </si>
  <si>
    <t>'3001-5005-70</t>
  </si>
  <si>
    <t>AUTOMATIC DRAIN</t>
  </si>
  <si>
    <t>OSV/CV KIT C90</t>
  </si>
  <si>
    <t>'2901-2020-00</t>
  </si>
  <si>
    <t>DRAIN HDF12</t>
  </si>
  <si>
    <t>VALVE NON RET.</t>
  </si>
  <si>
    <t>'0823-0050-39</t>
  </si>
  <si>
    <t>ROD PISTON C111</t>
  </si>
  <si>
    <t>'1622-3164-31</t>
  </si>
  <si>
    <t>COVER</t>
  </si>
  <si>
    <t>'1614-8222-00</t>
  </si>
  <si>
    <t>REGULAT. VALVE</t>
  </si>
  <si>
    <t>'1614-6449-00</t>
  </si>
  <si>
    <t>KIT PM VSD 8000</t>
  </si>
  <si>
    <t>'2901-1973-00</t>
  </si>
  <si>
    <t>'3001-1608-04</t>
  </si>
  <si>
    <t>SPOOL KIT RIGHT</t>
  </si>
  <si>
    <t>'1629-2140-01</t>
  </si>
  <si>
    <t>SPOOL KIT LEFT</t>
  </si>
  <si>
    <t>'1629-2140-02</t>
  </si>
  <si>
    <t>PILOT ADAPTOR K</t>
  </si>
  <si>
    <t>'1629-2140-00</t>
  </si>
  <si>
    <t>'1629-2123-00</t>
  </si>
  <si>
    <t>BEARING KIT 11K</t>
  </si>
  <si>
    <t>'1830-0213-45</t>
  </si>
  <si>
    <t>'2901-2021-00</t>
  </si>
  <si>
    <t>'2901-2023-00</t>
  </si>
  <si>
    <t>'1837-0323-86</t>
  </si>
  <si>
    <t>ELEM. OVERH. KIT</t>
  </si>
  <si>
    <t>BUSHING</t>
  </si>
  <si>
    <t>'1622-8795-00</t>
  </si>
  <si>
    <t>'1622-8794-00</t>
  </si>
  <si>
    <t>COUPLING ELEM.</t>
  </si>
  <si>
    <t>'1623-0377-00</t>
  </si>
  <si>
    <t>COUPLING DRIVE</t>
  </si>
  <si>
    <t>'1623-0379-00</t>
  </si>
  <si>
    <t>'2901-1639-00</t>
  </si>
  <si>
    <t>SEAL LIP</t>
  </si>
  <si>
    <t>'1622-9045-00</t>
  </si>
  <si>
    <t>SEAL LIP C146</t>
  </si>
  <si>
    <t>'1622-8798-00</t>
  </si>
  <si>
    <t>'8536690090</t>
  </si>
  <si>
    <t>Los demás/Los demás/Aparatos para corte, seccionamiento, protección, derivación, empalme o conexión de circuitos eléctricos (por ejemplo: interruptores, conmutadores, relés, cortacircuitos, supresores de s</t>
  </si>
  <si>
    <t>'1088-0017-28</t>
  </si>
  <si>
    <t>CONNECTOR (CAN/</t>
  </si>
  <si>
    <t>'1088-0017-27</t>
  </si>
  <si>
    <t>Kit for the mot</t>
  </si>
  <si>
    <t>'1837-0085-12</t>
  </si>
  <si>
    <t>Wiring</t>
  </si>
  <si>
    <t>'1623-1160-00</t>
  </si>
  <si>
    <t>'8544499000</t>
  </si>
  <si>
    <t>'0017-2301-47</t>
  </si>
  <si>
    <t>INDICATOR LEVEL</t>
  </si>
  <si>
    <t>Cantidad</t>
  </si>
  <si>
    <t>FOB Total</t>
  </si>
  <si>
    <t>FOB CLEINTE</t>
  </si>
  <si>
    <t>PVP ATLAS</t>
  </si>
  <si>
    <t>CIF UNITARIO</t>
  </si>
  <si>
    <t>FOB Atlas</t>
  </si>
  <si>
    <t>FOB Cliente|</t>
  </si>
  <si>
    <t xml:space="preserve">PVP Atlas </t>
  </si>
  <si>
    <t>Columna1</t>
  </si>
  <si>
    <t>Columna2</t>
  </si>
  <si>
    <t>Columna3</t>
  </si>
  <si>
    <t>Columna4</t>
  </si>
  <si>
    <t>Columna5</t>
  </si>
  <si>
    <t>Columna6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</si>
  <si>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</si>
  <si>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</si>
  <si>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</si>
  <si>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</si>
  <si>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</si>
  <si>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</si>
  <si>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</si>
  <si>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</si>
  <si>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</si>
  <si>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</si>
  <si>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</si>
  <si>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</si>
  <si>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</si>
  <si>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</si>
  <si>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</si>
  <si>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FOB ATLAS</t>
  </si>
  <si>
    <t>FOB_Unitario_(Calculado)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</si>
</sst>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66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3" fontId="0" fillId="0" borderId="0" xfId="0" applyNumberFormat="1" applyAlignment="1">
      <alignment horizontal="center"/>
    </xf>
    <xf numFmtId="4" fontId="0" fillId="0" borderId="0" xfId="0" applyNumberFormat="1"/>
    <xf numFmtId="0" fontId="0" fillId="2" borderId="0" xfId="0" applyFill="1"/>
    <xf numFmtId="3" fontId="0" fillId="2" borderId="0" xfId="0" applyNumberFormat="1" applyFill="1" applyAlignment="1">
      <alignment horizontal="center"/>
    </xf>
    <xf numFmtId="2" fontId="0" fillId="2" borderId="0" xfId="0" applyNumberFormat="1" applyFill="1"/>
    <xf numFmtId="4" fontId="0" fillId="2" borderId="0" xfId="0" applyNumberFormat="1" applyFill="1"/>
    <xf numFmtId="4" fontId="5" fillId="0" borderId="0" xfId="0" applyNumberFormat="1" applyFont="1"/>
    <xf numFmtId="4" fontId="5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66"/>
        <name val="Calibri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</dxf>
  </dxfs>
  <tableStyles count="0" defaultTableStyle="TableStyleMedium9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12F49-5B19-4B0D-B990-95D66C3F9C8B}" name="Tabla2" displayName="Tabla2" ref="Y2:AS1569" totalsRowShown="0" headerRowDxfId="13" dataDxfId="12">
  <autoFilter ref="Y2:AS1569" xr:uid="{A4B12F49-5B19-4B0D-B990-95D66C3F9C8B}"/>
  <tableColumns count="21">
    <tableColumn id="1" xr3:uid="{4E3E1638-6F5F-40CC-9796-0D7B8C586684}" name="Columna1"/>
    <tableColumn id="2" xr3:uid="{F3325ED1-E0C8-475D-A8CB-3511F961A552}" name="Columna2"/>
    <tableColumn id="3" xr3:uid="{6C324E45-C068-4555-BB92-CF2A4C118D6A}" name="Columna3"/>
    <tableColumn id="4" xr3:uid="{AED540FF-E5B7-476E-AD23-B5ED68FC811C}" name="Columna4" dataDxfId="11">
      <calculatedColumnFormula>SUM(AC3/AD3)</calculatedColumnFormula>
    </tableColumn>
    <tableColumn id="5" xr3:uid="{8611033F-CC71-4B86-A881-C6421F3886AC}" name="Columna5"/>
    <tableColumn id="6" xr3:uid="{65B38AFF-4208-48F1-915F-36678E38F0C9}" name="Columna6" dataDxfId="10"/>
    <tableColumn id="8" xr3:uid="{97B7C0D6-2126-46B9-9550-25B06AB53B33}" name="Columna8" dataDxfId="9"/>
    <tableColumn id="9" xr3:uid="{439683CA-E331-4BCF-9F18-FD30408AC066}" name="Columna9" dataDxfId="8"/>
    <tableColumn id="10" xr3:uid="{06CD53AE-009F-468E-94B4-B48AA3006531}" name="Columna10" dataDxfId="7"/>
    <tableColumn id="11" xr3:uid="{D86B1763-2855-481D-B1FD-8E60A38248B0}" name="Columna11"/>
    <tableColumn id="12" xr3:uid="{6C30668D-DEC9-40A0-9890-DA8302F7461F}" name="Columna12"/>
    <tableColumn id="13" xr3:uid="{94CD3F9D-AB22-4B2E-8990-DB1BDD0D6CCF}" name="Columna13"/>
    <tableColumn id="14" xr3:uid="{31CCEAF8-9767-483C-9CE0-980CC4ACD30E}" name="Columna14"/>
    <tableColumn id="15" xr3:uid="{2F4827DF-08EB-48EC-BD3A-EA1ED83F1E6E}" name="Columna15"/>
    <tableColumn id="16" xr3:uid="{BBD1714D-9E72-4785-8686-C84982B7D184}" name="Columna16" dataDxfId="6">
      <calculatedColumnFormula>SUM(AG3/AB3)</calculatedColumnFormula>
    </tableColumn>
    <tableColumn id="17" xr3:uid="{91662E57-4676-452E-9685-6928506D3F6B}" name="Columna17" dataDxfId="5">
      <calculatedColumnFormula>SUM(AD3*1.875)</calculatedColumnFormula>
    </tableColumn>
    <tableColumn id="18" xr3:uid="{803BC29F-BDD3-4D2A-A088-B981FA8A96EB}" name="Columna18" dataDxfId="4">
      <calculatedColumnFormula>SUM(AN3)*1.111</calculatedColumnFormula>
    </tableColumn>
    <tableColumn id="19" xr3:uid="{15180708-F2D1-449D-8BDB-78E13075B286}" name="Columna19" dataDxfId="3">
      <calculatedColumnFormula>SUM(AN3)*1.6199</calculatedColumnFormula>
    </tableColumn>
    <tableColumn id="20" xr3:uid="{0BADDB24-1E11-43CC-9447-5387ACF1921B}" name="Columna20" dataDxfId="2">
      <calculatedColumnFormula>SUM(AM3)*1.7391</calculatedColumnFormula>
    </tableColumn>
    <tableColumn id="21" xr3:uid="{A1C5F3D2-9AB2-484D-98BA-0BE238870C03}" name="Columna21" dataDxfId="1">
      <calculatedColumnFormula>SUM(AQ3)*1.1111</calculatedColumnFormula>
    </tableColumn>
    <tableColumn id="22" xr3:uid="{E05A06A3-C994-458B-A83B-E06D4F3E8B04}" name="Columna22" dataDxfId="0">
      <calculatedColumnFormula>SUM(AQ3)*1.5568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69"/>
  <sheetViews>
    <sheetView tabSelected="1" topLeftCell="Y1" workbookViewId="0">
      <pane ySplit="1" topLeftCell="A3" activePane="bottomLeft" state="frozen"/>
      <selection activeCell="Q1" sqref="Q1"/>
      <selection pane="bottomLeft" activeCell="AD3" sqref="AD3"/>
    </sheetView>
  </sheetViews>
  <sheetFormatPr defaultColWidth="9.109375" defaultRowHeight="14.4" x14ac:dyDescent="0.3"/>
  <cols>
    <col min="1" max="1" width="6.88671875" bestFit="1" customWidth="1"/>
    <col min="2" max="2" width="7.109375" bestFit="1" customWidth="1"/>
    <col min="3" max="3" width="22.5546875" bestFit="1" customWidth="1"/>
    <col min="4" max="4" width="11.109375" bestFit="1" customWidth="1"/>
    <col min="5" max="5" width="44.88671875" bestFit="1" customWidth="1"/>
    <col min="6" max="6" width="14.44140625" bestFit="1" customWidth="1"/>
    <col min="7" max="7" width="11.44140625" bestFit="1" customWidth="1"/>
    <col min="8" max="8" width="17.6640625" customWidth="1"/>
    <col min="9" max="9" width="17.5546875" customWidth="1"/>
    <col min="10" max="10" width="20.109375" customWidth="1"/>
    <col min="11" max="11" width="29" bestFit="1" customWidth="1"/>
    <col min="12" max="12" width="26" bestFit="1" customWidth="1"/>
    <col min="13" max="13" width="13" bestFit="1" customWidth="1"/>
    <col min="14" max="14" width="68.44140625" bestFit="1" customWidth="1"/>
    <col min="15" max="15" width="44.88671875" bestFit="1" customWidth="1"/>
    <col min="16" max="16" width="36.6640625" bestFit="1" customWidth="1"/>
    <col min="17" max="17" width="25.44140625" bestFit="1" customWidth="1"/>
    <col min="18" max="18" width="16.44140625" customWidth="1"/>
    <col min="19" max="19" width="18" customWidth="1"/>
    <col min="20" max="20" width="11.33203125" bestFit="1" customWidth="1"/>
    <col min="21" max="21" width="12.88671875" bestFit="1" customWidth="1"/>
    <col min="22" max="22" width="8.44140625" bestFit="1" customWidth="1"/>
    <col min="23" max="23" width="224.5546875" bestFit="1" customWidth="1"/>
    <col min="24" max="24" width="36.88671875" customWidth="1"/>
    <col min="25" max="25" width="48.44140625" customWidth="1"/>
    <col min="26" max="26" width="0.109375" customWidth="1"/>
    <col min="27" max="27" width="16" bestFit="1" customWidth="1"/>
    <col min="28" max="28" width="10.88671875" style="1" customWidth="1"/>
    <col min="29" max="29" width="8.88671875" customWidth="1"/>
    <col min="30" max="30" width="14.109375" customWidth="1"/>
    <col min="31" max="32" width="12" customWidth="1"/>
    <col min="33" max="33" width="13" customWidth="1"/>
    <col min="34" max="35" width="29" hidden="1" customWidth="1"/>
    <col min="36" max="36" width="22" hidden="1" customWidth="1"/>
    <col min="37" max="37" width="12" hidden="1" customWidth="1"/>
    <col min="38" max="38" width="17" hidden="1" customWidth="1"/>
    <col min="39" max="39" width="11.6640625" style="4" customWidth="1"/>
    <col min="40" max="40" width="13.109375" bestFit="1" customWidth="1"/>
    <col min="41" max="42" width="13" style="4" customWidth="1"/>
    <col min="43" max="43" width="13" style="9" customWidth="1"/>
    <col min="44" max="44" width="10" style="9" customWidth="1"/>
    <col min="45" max="45" width="9.6640625" style="9" customWidth="1"/>
  </cols>
  <sheetData>
    <row r="1" spans="1:45" s="12" customFormat="1" ht="30.7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3" t="s">
        <v>24</v>
      </c>
      <c r="Z1" s="13" t="s">
        <v>25</v>
      </c>
      <c r="AA1" s="13" t="s">
        <v>26</v>
      </c>
      <c r="AB1" s="14" t="s">
        <v>1939</v>
      </c>
      <c r="AC1" s="14" t="s">
        <v>1940</v>
      </c>
      <c r="AD1" s="14" t="s">
        <v>1969</v>
      </c>
      <c r="AE1" s="13" t="s">
        <v>27</v>
      </c>
      <c r="AF1" s="13" t="s">
        <v>28</v>
      </c>
      <c r="AG1" s="13" t="s">
        <v>29</v>
      </c>
      <c r="AH1" s="15" t="s">
        <v>30</v>
      </c>
      <c r="AI1" s="15" t="s">
        <v>31</v>
      </c>
      <c r="AJ1" s="15" t="s">
        <v>32</v>
      </c>
      <c r="AK1" s="15" t="s">
        <v>33</v>
      </c>
      <c r="AL1" s="15" t="s">
        <v>34</v>
      </c>
      <c r="AM1" s="16" t="s">
        <v>1943</v>
      </c>
      <c r="AN1" s="17" t="s">
        <v>1968</v>
      </c>
      <c r="AO1" s="16" t="s">
        <v>1941</v>
      </c>
      <c r="AP1" s="16" t="s">
        <v>1942</v>
      </c>
      <c r="AQ1" s="18" t="s">
        <v>1944</v>
      </c>
      <c r="AR1" s="18" t="s">
        <v>1945</v>
      </c>
      <c r="AS1" s="18" t="s">
        <v>1946</v>
      </c>
    </row>
    <row r="2" spans="1:45" hidden="1" x14ac:dyDescent="0.3">
      <c r="Y2" t="s">
        <v>1947</v>
      </c>
      <c r="Z2" t="s">
        <v>1948</v>
      </c>
      <c r="AA2" t="s">
        <v>1949</v>
      </c>
      <c r="AB2" s="1" t="s">
        <v>1950</v>
      </c>
      <c r="AC2" t="s">
        <v>1951</v>
      </c>
      <c r="AD2" t="s">
        <v>1952</v>
      </c>
      <c r="AE2" t="s">
        <v>1953</v>
      </c>
      <c r="AF2" t="s">
        <v>1954</v>
      </c>
      <c r="AG2" t="s">
        <v>1955</v>
      </c>
      <c r="AH2" t="s">
        <v>1956</v>
      </c>
      <c r="AI2" t="s">
        <v>1957</v>
      </c>
      <c r="AJ2" t="s">
        <v>1958</v>
      </c>
      <c r="AK2" t="s">
        <v>1959</v>
      </c>
      <c r="AL2" t="s">
        <v>1960</v>
      </c>
      <c r="AM2" s="4" t="s">
        <v>1961</v>
      </c>
      <c r="AN2" s="4" t="s">
        <v>1962</v>
      </c>
      <c r="AO2" s="4" t="s">
        <v>1963</v>
      </c>
      <c r="AP2" s="4" t="s">
        <v>1964</v>
      </c>
      <c r="AQ2" s="10" t="s">
        <v>1965</v>
      </c>
      <c r="AR2" s="10" t="s">
        <v>1966</v>
      </c>
      <c r="AS2" s="10" t="s">
        <v>1967</v>
      </c>
    </row>
    <row r="3" spans="1:45" x14ac:dyDescent="0.3">
      <c r="A3">
        <v>2025</v>
      </c>
      <c r="B3">
        <v>9</v>
      </c>
      <c r="C3" t="s">
        <v>35</v>
      </c>
      <c r="D3">
        <v>10</v>
      </c>
      <c r="E3" t="s">
        <v>36</v>
      </c>
      <c r="F3" t="s">
        <v>37</v>
      </c>
      <c r="G3" t="s">
        <v>38</v>
      </c>
      <c r="H3" t="s">
        <v>83</v>
      </c>
      <c r="I3" t="s">
        <v>190</v>
      </c>
      <c r="J3" t="s">
        <v>40</v>
      </c>
      <c r="K3" t="s">
        <v>59</v>
      </c>
      <c r="L3" t="s">
        <v>1495</v>
      </c>
      <c r="M3">
        <v>457514</v>
      </c>
      <c r="N3" t="s">
        <v>42</v>
      </c>
      <c r="O3" t="s">
        <v>1197</v>
      </c>
      <c r="Q3" t="s">
        <v>44</v>
      </c>
      <c r="R3" t="s">
        <v>1496</v>
      </c>
      <c r="S3" t="s">
        <v>1488</v>
      </c>
      <c r="T3" t="s">
        <v>47</v>
      </c>
      <c r="U3" t="s">
        <v>199</v>
      </c>
      <c r="V3" t="s">
        <v>49</v>
      </c>
      <c r="W3" t="s">
        <v>697</v>
      </c>
      <c r="X3" t="s">
        <v>388</v>
      </c>
      <c r="Y3" t="s">
        <v>460</v>
      </c>
      <c r="Z3" t="s">
        <v>460</v>
      </c>
      <c r="AA3" t="s">
        <v>1497</v>
      </c>
      <c r="AB3" s="1">
        <f t="shared" ref="AB3:AB66" si="0">SUM(AC3/AD3)</f>
        <v>1</v>
      </c>
      <c r="AC3">
        <v>283.83999999999997</v>
      </c>
      <c r="AD3">
        <v>283.83999999999997</v>
      </c>
      <c r="AE3">
        <v>52.4</v>
      </c>
      <c r="AF3">
        <v>2.1</v>
      </c>
      <c r="AG3">
        <v>337.98</v>
      </c>
      <c r="AH3">
        <v>0</v>
      </c>
      <c r="AI3">
        <v>337.98</v>
      </c>
      <c r="AJ3">
        <v>1.6899</v>
      </c>
      <c r="AK3" t="s">
        <v>54</v>
      </c>
      <c r="AL3">
        <v>16.3</v>
      </c>
      <c r="AM3" s="4">
        <f t="shared" ref="AM3:AM66" si="1">SUM(AG3/AB3)</f>
        <v>337.98</v>
      </c>
      <c r="AN3" s="4">
        <f t="shared" ref="AN3:AN66" si="2">SUM(AD3*1.875)</f>
        <v>532.19999999999993</v>
      </c>
      <c r="AO3" s="4">
        <f>SUM(AN3)*1.111</f>
        <v>591.27419999999995</v>
      </c>
      <c r="AP3" s="4">
        <f>SUM(AN3)*1.6199</f>
        <v>862.11077999999986</v>
      </c>
      <c r="AQ3" s="10">
        <f>SUM(AM3)*1.7391</f>
        <v>587.78101800000002</v>
      </c>
      <c r="AR3" s="10">
        <f>SUM(AQ3)*1.1111</f>
        <v>653.08348909979998</v>
      </c>
      <c r="AS3" s="10">
        <f>SUM(AQ3)*1.5568</f>
        <v>915.05748882240005</v>
      </c>
    </row>
    <row r="4" spans="1:45" x14ac:dyDescent="0.3">
      <c r="A4">
        <v>2025</v>
      </c>
      <c r="B4">
        <v>9</v>
      </c>
      <c r="C4" t="s">
        <v>35</v>
      </c>
      <c r="D4">
        <v>10</v>
      </c>
      <c r="E4" t="s">
        <v>36</v>
      </c>
      <c r="F4" t="s">
        <v>37</v>
      </c>
      <c r="G4" t="s">
        <v>38</v>
      </c>
      <c r="H4" t="s">
        <v>83</v>
      </c>
      <c r="I4" t="s">
        <v>190</v>
      </c>
      <c r="J4" t="s">
        <v>40</v>
      </c>
      <c r="K4" t="s">
        <v>59</v>
      </c>
      <c r="L4" t="s">
        <v>1495</v>
      </c>
      <c r="M4">
        <v>457514</v>
      </c>
      <c r="N4" t="s">
        <v>42</v>
      </c>
      <c r="O4" t="s">
        <v>1197</v>
      </c>
      <c r="Q4" t="s">
        <v>44</v>
      </c>
      <c r="R4" t="s">
        <v>1496</v>
      </c>
      <c r="S4" t="s">
        <v>1488</v>
      </c>
      <c r="T4" t="s">
        <v>47</v>
      </c>
      <c r="U4" t="s">
        <v>199</v>
      </c>
      <c r="V4" t="s">
        <v>49</v>
      </c>
      <c r="W4" t="s">
        <v>697</v>
      </c>
      <c r="X4" t="s">
        <v>388</v>
      </c>
      <c r="Y4" t="s">
        <v>460</v>
      </c>
      <c r="Z4" t="s">
        <v>460</v>
      </c>
      <c r="AA4" t="s">
        <v>1498</v>
      </c>
      <c r="AB4" s="1">
        <f t="shared" si="0"/>
        <v>1</v>
      </c>
      <c r="AC4">
        <v>157.66</v>
      </c>
      <c r="AD4">
        <v>157.66</v>
      </c>
      <c r="AE4">
        <v>28.9</v>
      </c>
      <c r="AF4">
        <v>1.17</v>
      </c>
      <c r="AG4">
        <v>187.74</v>
      </c>
      <c r="AH4">
        <v>0</v>
      </c>
      <c r="AI4">
        <v>187.74</v>
      </c>
      <c r="AJ4">
        <v>0.93869999999999998</v>
      </c>
      <c r="AK4" t="s">
        <v>54</v>
      </c>
      <c r="AL4">
        <v>8.91</v>
      </c>
      <c r="AM4" s="4">
        <f t="shared" si="1"/>
        <v>187.74</v>
      </c>
      <c r="AN4" s="4">
        <f t="shared" si="2"/>
        <v>295.61250000000001</v>
      </c>
      <c r="AO4" s="4">
        <f t="shared" ref="AO4:AO67" si="3">SUM(AN4)*1.111</f>
        <v>328.42548750000003</v>
      </c>
      <c r="AP4" s="4">
        <f t="shared" ref="AP4:AP67" si="4">SUM(AN4)*1.6199</f>
        <v>478.86268874999996</v>
      </c>
      <c r="AQ4" s="10">
        <f t="shared" ref="AQ4:AQ67" si="5">SUM(AM4)*1.7391</f>
        <v>326.49863400000004</v>
      </c>
      <c r="AR4" s="10">
        <f t="shared" ref="AR4:AR67" si="6">SUM(AQ4)*1.1111</f>
        <v>362.77263223740005</v>
      </c>
      <c r="AS4" s="10">
        <f t="shared" ref="AS4:AS67" si="7">SUM(AQ4)*1.5568</f>
        <v>508.29307341120006</v>
      </c>
    </row>
    <row r="5" spans="1:45" x14ac:dyDescent="0.3">
      <c r="A5">
        <v>2025</v>
      </c>
      <c r="B5">
        <v>11</v>
      </c>
      <c r="C5" t="s">
        <v>35</v>
      </c>
      <c r="D5">
        <v>10</v>
      </c>
      <c r="E5" t="s">
        <v>36</v>
      </c>
      <c r="F5" t="s">
        <v>37</v>
      </c>
      <c r="G5" t="s">
        <v>38</v>
      </c>
      <c r="H5" t="s">
        <v>83</v>
      </c>
      <c r="I5" t="s">
        <v>190</v>
      </c>
      <c r="K5" t="s">
        <v>59</v>
      </c>
      <c r="L5" t="s">
        <v>1673</v>
      </c>
      <c r="M5">
        <v>462409</v>
      </c>
      <c r="N5" t="s">
        <v>42</v>
      </c>
      <c r="O5" t="s">
        <v>1197</v>
      </c>
      <c r="Q5" t="s">
        <v>44</v>
      </c>
      <c r="R5" t="s">
        <v>1674</v>
      </c>
      <c r="S5" t="s">
        <v>1675</v>
      </c>
      <c r="T5" t="s">
        <v>47</v>
      </c>
      <c r="U5" t="s">
        <v>199</v>
      </c>
      <c r="V5" t="s">
        <v>49</v>
      </c>
      <c r="W5" t="s">
        <v>697</v>
      </c>
      <c r="X5" t="s">
        <v>388</v>
      </c>
      <c r="Y5" t="s">
        <v>460</v>
      </c>
      <c r="Z5" t="s">
        <v>460</v>
      </c>
      <c r="AA5" t="s">
        <v>1499</v>
      </c>
      <c r="AB5" s="1">
        <f t="shared" si="0"/>
        <v>1</v>
      </c>
      <c r="AC5">
        <v>201.95</v>
      </c>
      <c r="AD5">
        <v>201.95</v>
      </c>
      <c r="AE5">
        <v>37.200000000000003</v>
      </c>
      <c r="AF5">
        <v>1.5</v>
      </c>
      <c r="AG5">
        <v>240.47</v>
      </c>
      <c r="AH5">
        <v>0</v>
      </c>
      <c r="AI5">
        <v>240.47</v>
      </c>
      <c r="AJ5">
        <v>1.20235</v>
      </c>
      <c r="AK5" t="s">
        <v>54</v>
      </c>
      <c r="AL5">
        <v>11.41</v>
      </c>
      <c r="AM5" s="4">
        <f t="shared" si="1"/>
        <v>240.47</v>
      </c>
      <c r="AN5" s="4">
        <f t="shared" si="2"/>
        <v>378.65625</v>
      </c>
      <c r="AO5" s="4">
        <f t="shared" si="3"/>
        <v>420.68709374999997</v>
      </c>
      <c r="AP5" s="4">
        <f t="shared" si="4"/>
        <v>613.38525937499992</v>
      </c>
      <c r="AQ5" s="10">
        <f t="shared" si="5"/>
        <v>418.20137700000004</v>
      </c>
      <c r="AR5" s="10">
        <f t="shared" si="6"/>
        <v>464.66354998470001</v>
      </c>
      <c r="AS5" s="10">
        <f t="shared" si="7"/>
        <v>651.05590371360006</v>
      </c>
    </row>
    <row r="6" spans="1:45" x14ac:dyDescent="0.3">
      <c r="A6">
        <v>2025</v>
      </c>
      <c r="B6">
        <v>5</v>
      </c>
      <c r="C6" t="s">
        <v>35</v>
      </c>
      <c r="D6">
        <v>10</v>
      </c>
      <c r="E6" t="s">
        <v>36</v>
      </c>
      <c r="F6" t="s">
        <v>37</v>
      </c>
      <c r="G6" t="s">
        <v>38</v>
      </c>
      <c r="H6" t="s">
        <v>101</v>
      </c>
      <c r="I6" t="s">
        <v>190</v>
      </c>
      <c r="J6" t="s">
        <v>40</v>
      </c>
      <c r="K6" t="s">
        <v>59</v>
      </c>
      <c r="M6">
        <v>442514</v>
      </c>
      <c r="N6" t="s">
        <v>693</v>
      </c>
      <c r="O6" t="s">
        <v>36</v>
      </c>
      <c r="P6" t="s">
        <v>694</v>
      </c>
      <c r="Q6" t="s">
        <v>44</v>
      </c>
      <c r="R6" t="s">
        <v>695</v>
      </c>
      <c r="S6" t="s">
        <v>696</v>
      </c>
      <c r="T6" t="s">
        <v>47</v>
      </c>
      <c r="U6" t="s">
        <v>199</v>
      </c>
      <c r="V6" t="s">
        <v>49</v>
      </c>
      <c r="W6" t="s">
        <v>697</v>
      </c>
      <c r="X6" t="s">
        <v>51</v>
      </c>
      <c r="Y6" t="s">
        <v>460</v>
      </c>
      <c r="Z6" t="s">
        <v>460</v>
      </c>
      <c r="AA6" t="s">
        <v>1678</v>
      </c>
      <c r="AB6" s="1">
        <f t="shared" si="0"/>
        <v>1</v>
      </c>
      <c r="AC6">
        <v>267.72000000000003</v>
      </c>
      <c r="AD6">
        <v>267.72000000000003</v>
      </c>
      <c r="AE6">
        <v>20.49</v>
      </c>
      <c r="AF6">
        <v>1.78</v>
      </c>
      <c r="AG6">
        <v>289.99</v>
      </c>
      <c r="AH6">
        <v>0</v>
      </c>
      <c r="AI6">
        <v>289.99</v>
      </c>
      <c r="AJ6">
        <v>1.4499500000000001</v>
      </c>
      <c r="AK6" t="s">
        <v>54</v>
      </c>
      <c r="AL6">
        <v>7.74</v>
      </c>
      <c r="AM6" s="4">
        <f t="shared" si="1"/>
        <v>289.99</v>
      </c>
      <c r="AN6" s="4">
        <f t="shared" si="2"/>
        <v>501.97500000000002</v>
      </c>
      <c r="AO6" s="4">
        <f t="shared" si="3"/>
        <v>557.69422500000007</v>
      </c>
      <c r="AP6" s="4">
        <f t="shared" si="4"/>
        <v>813.14930249999998</v>
      </c>
      <c r="AQ6" s="10">
        <f t="shared" si="5"/>
        <v>504.32160900000002</v>
      </c>
      <c r="AR6" s="10">
        <f t="shared" si="6"/>
        <v>560.35173975990006</v>
      </c>
      <c r="AS6" s="10">
        <f t="shared" si="7"/>
        <v>785.12788089119999</v>
      </c>
    </row>
    <row r="7" spans="1:45" x14ac:dyDescent="0.3">
      <c r="A7">
        <v>2025</v>
      </c>
      <c r="B7">
        <v>5</v>
      </c>
      <c r="C7" t="s">
        <v>35</v>
      </c>
      <c r="D7">
        <v>10</v>
      </c>
      <c r="E7" t="s">
        <v>36</v>
      </c>
      <c r="F7" t="s">
        <v>37</v>
      </c>
      <c r="G7" t="s">
        <v>38</v>
      </c>
      <c r="H7" t="s">
        <v>101</v>
      </c>
      <c r="I7" t="s">
        <v>190</v>
      </c>
      <c r="J7" t="s">
        <v>40</v>
      </c>
      <c r="K7" t="s">
        <v>59</v>
      </c>
      <c r="M7">
        <v>442514</v>
      </c>
      <c r="N7" t="s">
        <v>693</v>
      </c>
      <c r="O7" t="s">
        <v>36</v>
      </c>
      <c r="P7" t="s">
        <v>694</v>
      </c>
      <c r="Q7" t="s">
        <v>44</v>
      </c>
      <c r="R7" t="s">
        <v>695</v>
      </c>
      <c r="S7" t="s">
        <v>696</v>
      </c>
      <c r="T7" t="s">
        <v>47</v>
      </c>
      <c r="U7" t="s">
        <v>199</v>
      </c>
      <c r="V7" t="s">
        <v>49</v>
      </c>
      <c r="W7" t="s">
        <v>697</v>
      </c>
      <c r="X7" t="s">
        <v>51</v>
      </c>
      <c r="Y7" t="s">
        <v>698</v>
      </c>
      <c r="Z7" t="s">
        <v>698</v>
      </c>
      <c r="AA7" t="s">
        <v>701</v>
      </c>
      <c r="AB7" s="1">
        <f t="shared" si="0"/>
        <v>1</v>
      </c>
      <c r="AC7">
        <v>162.72</v>
      </c>
      <c r="AD7">
        <v>162.72</v>
      </c>
      <c r="AE7">
        <v>17.11</v>
      </c>
      <c r="AF7">
        <v>0.75</v>
      </c>
      <c r="AG7">
        <v>180.58</v>
      </c>
      <c r="AH7">
        <v>0</v>
      </c>
      <c r="AI7">
        <v>180.58</v>
      </c>
      <c r="AJ7">
        <v>0.90290000000000004</v>
      </c>
      <c r="AK7" t="s">
        <v>54</v>
      </c>
      <c r="AL7">
        <v>44.16</v>
      </c>
      <c r="AM7" s="4">
        <f t="shared" si="1"/>
        <v>180.58</v>
      </c>
      <c r="AN7" s="4">
        <f t="shared" si="2"/>
        <v>305.10000000000002</v>
      </c>
      <c r="AO7" s="4">
        <f t="shared" si="3"/>
        <v>338.96610000000004</v>
      </c>
      <c r="AP7" s="4">
        <f t="shared" si="4"/>
        <v>494.23149000000001</v>
      </c>
      <c r="AQ7" s="10">
        <f t="shared" si="5"/>
        <v>314.04667800000004</v>
      </c>
      <c r="AR7" s="10">
        <f t="shared" si="6"/>
        <v>348.93726392580004</v>
      </c>
      <c r="AS7" s="10">
        <f t="shared" si="7"/>
        <v>488.90786831040003</v>
      </c>
    </row>
    <row r="8" spans="1:45" x14ac:dyDescent="0.3">
      <c r="A8">
        <v>2025</v>
      </c>
      <c r="B8">
        <v>5</v>
      </c>
      <c r="C8" t="s">
        <v>35</v>
      </c>
      <c r="D8">
        <v>10</v>
      </c>
      <c r="E8" t="s">
        <v>36</v>
      </c>
      <c r="F8" t="s">
        <v>37</v>
      </c>
      <c r="G8" t="s">
        <v>38</v>
      </c>
      <c r="H8" t="s">
        <v>101</v>
      </c>
      <c r="I8" t="s">
        <v>190</v>
      </c>
      <c r="J8" t="s">
        <v>40</v>
      </c>
      <c r="K8" t="s">
        <v>59</v>
      </c>
      <c r="M8">
        <v>442514</v>
      </c>
      <c r="N8" t="s">
        <v>693</v>
      </c>
      <c r="O8" t="s">
        <v>36</v>
      </c>
      <c r="P8" t="s">
        <v>694</v>
      </c>
      <c r="Q8" t="s">
        <v>44</v>
      </c>
      <c r="R8" t="s">
        <v>695</v>
      </c>
      <c r="S8" t="s">
        <v>696</v>
      </c>
      <c r="T8" t="s">
        <v>47</v>
      </c>
      <c r="U8" t="s">
        <v>199</v>
      </c>
      <c r="V8" t="s">
        <v>49</v>
      </c>
      <c r="W8" t="s">
        <v>697</v>
      </c>
      <c r="X8" t="s">
        <v>51</v>
      </c>
      <c r="Y8" t="s">
        <v>698</v>
      </c>
      <c r="Z8" t="s">
        <v>698</v>
      </c>
      <c r="AA8" t="s">
        <v>701</v>
      </c>
      <c r="AB8" s="1">
        <f t="shared" si="0"/>
        <v>1</v>
      </c>
      <c r="AC8">
        <v>162.72</v>
      </c>
      <c r="AD8">
        <v>162.72</v>
      </c>
      <c r="AE8">
        <v>17.11</v>
      </c>
      <c r="AF8">
        <v>0.75</v>
      </c>
      <c r="AG8">
        <v>180.58</v>
      </c>
      <c r="AH8">
        <v>0</v>
      </c>
      <c r="AI8">
        <v>180.58</v>
      </c>
      <c r="AJ8">
        <v>0.90290000000000004</v>
      </c>
      <c r="AK8" t="s">
        <v>54</v>
      </c>
      <c r="AL8">
        <v>44.16</v>
      </c>
      <c r="AM8" s="4">
        <f t="shared" si="1"/>
        <v>180.58</v>
      </c>
      <c r="AN8" s="4">
        <f t="shared" si="2"/>
        <v>305.10000000000002</v>
      </c>
      <c r="AO8" s="4">
        <f t="shared" si="3"/>
        <v>338.96610000000004</v>
      </c>
      <c r="AP8" s="4">
        <f t="shared" si="4"/>
        <v>494.23149000000001</v>
      </c>
      <c r="AQ8" s="10">
        <f t="shared" si="5"/>
        <v>314.04667800000004</v>
      </c>
      <c r="AR8" s="10">
        <f t="shared" si="6"/>
        <v>348.93726392580004</v>
      </c>
      <c r="AS8" s="10">
        <f t="shared" si="7"/>
        <v>488.90786831040003</v>
      </c>
    </row>
    <row r="9" spans="1:45" x14ac:dyDescent="0.3">
      <c r="A9">
        <v>2025</v>
      </c>
      <c r="B9">
        <v>5</v>
      </c>
      <c r="C9" t="s">
        <v>35</v>
      </c>
      <c r="D9">
        <v>10</v>
      </c>
      <c r="E9" t="s">
        <v>36</v>
      </c>
      <c r="F9" t="s">
        <v>37</v>
      </c>
      <c r="G9" t="s">
        <v>38</v>
      </c>
      <c r="H9" t="s">
        <v>101</v>
      </c>
      <c r="I9" t="s">
        <v>190</v>
      </c>
      <c r="J9" t="s">
        <v>40</v>
      </c>
      <c r="K9" t="s">
        <v>59</v>
      </c>
      <c r="M9">
        <v>442514</v>
      </c>
      <c r="N9" t="s">
        <v>693</v>
      </c>
      <c r="O9" t="s">
        <v>36</v>
      </c>
      <c r="P9" t="s">
        <v>694</v>
      </c>
      <c r="Q9" t="s">
        <v>44</v>
      </c>
      <c r="R9" t="s">
        <v>695</v>
      </c>
      <c r="S9" t="s">
        <v>696</v>
      </c>
      <c r="T9" t="s">
        <v>47</v>
      </c>
      <c r="U9" t="s">
        <v>199</v>
      </c>
      <c r="V9" t="s">
        <v>49</v>
      </c>
      <c r="W9" t="s">
        <v>697</v>
      </c>
      <c r="X9" t="s">
        <v>51</v>
      </c>
      <c r="Y9" t="s">
        <v>698</v>
      </c>
      <c r="Z9" t="s">
        <v>698</v>
      </c>
      <c r="AA9" t="s">
        <v>701</v>
      </c>
      <c r="AB9" s="1">
        <f t="shared" si="0"/>
        <v>1</v>
      </c>
      <c r="AC9">
        <v>162.72</v>
      </c>
      <c r="AD9">
        <v>162.72</v>
      </c>
      <c r="AE9">
        <v>17.11</v>
      </c>
      <c r="AF9">
        <v>0.75</v>
      </c>
      <c r="AG9">
        <v>180.58</v>
      </c>
      <c r="AH9">
        <v>0</v>
      </c>
      <c r="AI9">
        <v>180.58</v>
      </c>
      <c r="AJ9">
        <v>0.90290000000000004</v>
      </c>
      <c r="AK9" t="s">
        <v>54</v>
      </c>
      <c r="AL9">
        <v>44.16</v>
      </c>
      <c r="AM9" s="4">
        <f t="shared" si="1"/>
        <v>180.58</v>
      </c>
      <c r="AN9" s="4">
        <f t="shared" si="2"/>
        <v>305.10000000000002</v>
      </c>
      <c r="AO9" s="4">
        <f t="shared" si="3"/>
        <v>338.96610000000004</v>
      </c>
      <c r="AP9" s="4">
        <f t="shared" si="4"/>
        <v>494.23149000000001</v>
      </c>
      <c r="AQ9" s="10">
        <f t="shared" si="5"/>
        <v>314.04667800000004</v>
      </c>
      <c r="AR9" s="10">
        <f t="shared" si="6"/>
        <v>348.93726392580004</v>
      </c>
      <c r="AS9" s="10">
        <f t="shared" si="7"/>
        <v>488.90786831040003</v>
      </c>
    </row>
    <row r="10" spans="1:45" x14ac:dyDescent="0.3">
      <c r="A10">
        <v>2025</v>
      </c>
      <c r="B10">
        <v>5</v>
      </c>
      <c r="C10" t="s">
        <v>35</v>
      </c>
      <c r="D10">
        <v>10</v>
      </c>
      <c r="E10" t="s">
        <v>36</v>
      </c>
      <c r="F10" t="s">
        <v>37</v>
      </c>
      <c r="G10" t="s">
        <v>38</v>
      </c>
      <c r="H10" t="s">
        <v>101</v>
      </c>
      <c r="I10" t="s">
        <v>190</v>
      </c>
      <c r="J10" t="s">
        <v>40</v>
      </c>
      <c r="K10" t="s">
        <v>59</v>
      </c>
      <c r="M10">
        <v>442514</v>
      </c>
      <c r="N10" t="s">
        <v>693</v>
      </c>
      <c r="O10" t="s">
        <v>36</v>
      </c>
      <c r="P10" t="s">
        <v>694</v>
      </c>
      <c r="Q10" t="s">
        <v>44</v>
      </c>
      <c r="R10" t="s">
        <v>695</v>
      </c>
      <c r="S10" t="s">
        <v>696</v>
      </c>
      <c r="T10" t="s">
        <v>47</v>
      </c>
      <c r="U10" t="s">
        <v>199</v>
      </c>
      <c r="V10" t="s">
        <v>49</v>
      </c>
      <c r="W10" t="s">
        <v>697</v>
      </c>
      <c r="X10" t="s">
        <v>51</v>
      </c>
      <c r="Y10" t="s">
        <v>698</v>
      </c>
      <c r="Z10" t="s">
        <v>698</v>
      </c>
      <c r="AA10" t="s">
        <v>701</v>
      </c>
      <c r="AB10" s="1">
        <f t="shared" si="0"/>
        <v>1</v>
      </c>
      <c r="AC10">
        <v>162.72</v>
      </c>
      <c r="AD10">
        <v>162.72</v>
      </c>
      <c r="AE10">
        <v>17.11</v>
      </c>
      <c r="AF10">
        <v>0.75</v>
      </c>
      <c r="AG10">
        <v>180.58</v>
      </c>
      <c r="AH10">
        <v>0</v>
      </c>
      <c r="AI10">
        <v>180.58</v>
      </c>
      <c r="AJ10">
        <v>0.90290000000000004</v>
      </c>
      <c r="AK10" t="s">
        <v>54</v>
      </c>
      <c r="AL10">
        <v>44.16</v>
      </c>
      <c r="AM10" s="4">
        <f t="shared" si="1"/>
        <v>180.58</v>
      </c>
      <c r="AN10" s="4">
        <f t="shared" si="2"/>
        <v>305.10000000000002</v>
      </c>
      <c r="AO10" s="4">
        <f t="shared" si="3"/>
        <v>338.96610000000004</v>
      </c>
      <c r="AP10" s="4">
        <f t="shared" si="4"/>
        <v>494.23149000000001</v>
      </c>
      <c r="AQ10" s="10">
        <f t="shared" si="5"/>
        <v>314.04667800000004</v>
      </c>
      <c r="AR10" s="10">
        <f t="shared" si="6"/>
        <v>348.93726392580004</v>
      </c>
      <c r="AS10" s="10">
        <f t="shared" si="7"/>
        <v>488.90786831040003</v>
      </c>
    </row>
    <row r="11" spans="1:45" x14ac:dyDescent="0.3">
      <c r="A11">
        <v>2025</v>
      </c>
      <c r="B11">
        <v>5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101</v>
      </c>
      <c r="I11" t="s">
        <v>190</v>
      </c>
      <c r="J11" t="s">
        <v>40</v>
      </c>
      <c r="K11" t="s">
        <v>59</v>
      </c>
      <c r="M11">
        <v>442514</v>
      </c>
      <c r="N11" t="s">
        <v>693</v>
      </c>
      <c r="O11" t="s">
        <v>36</v>
      </c>
      <c r="P11" t="s">
        <v>694</v>
      </c>
      <c r="Q11" t="s">
        <v>44</v>
      </c>
      <c r="R11" t="s">
        <v>695</v>
      </c>
      <c r="S11" t="s">
        <v>696</v>
      </c>
      <c r="T11" t="s">
        <v>47</v>
      </c>
      <c r="U11" t="s">
        <v>199</v>
      </c>
      <c r="V11" t="s">
        <v>49</v>
      </c>
      <c r="W11" t="s">
        <v>697</v>
      </c>
      <c r="X11" t="s">
        <v>51</v>
      </c>
      <c r="Y11" t="s">
        <v>698</v>
      </c>
      <c r="Z11" t="s">
        <v>698</v>
      </c>
      <c r="AA11" t="s">
        <v>701</v>
      </c>
      <c r="AB11" s="1">
        <f t="shared" si="0"/>
        <v>1</v>
      </c>
      <c r="AC11">
        <v>162.72</v>
      </c>
      <c r="AD11">
        <v>162.72</v>
      </c>
      <c r="AE11">
        <v>17.11</v>
      </c>
      <c r="AF11">
        <v>0.75</v>
      </c>
      <c r="AG11">
        <v>180.58</v>
      </c>
      <c r="AH11">
        <v>0</v>
      </c>
      <c r="AI11">
        <v>180.58</v>
      </c>
      <c r="AJ11">
        <v>0.90290000000000004</v>
      </c>
      <c r="AK11" t="s">
        <v>54</v>
      </c>
      <c r="AL11">
        <v>44.16</v>
      </c>
      <c r="AM11" s="4">
        <f t="shared" si="1"/>
        <v>180.58</v>
      </c>
      <c r="AN11" s="4">
        <f t="shared" si="2"/>
        <v>305.10000000000002</v>
      </c>
      <c r="AO11" s="4">
        <f t="shared" si="3"/>
        <v>338.96610000000004</v>
      </c>
      <c r="AP11" s="4">
        <f t="shared" si="4"/>
        <v>494.23149000000001</v>
      </c>
      <c r="AQ11" s="10">
        <f t="shared" si="5"/>
        <v>314.04667800000004</v>
      </c>
      <c r="AR11" s="10">
        <f t="shared" si="6"/>
        <v>348.93726392580004</v>
      </c>
      <c r="AS11" s="10">
        <f t="shared" si="7"/>
        <v>488.90786831040003</v>
      </c>
    </row>
    <row r="12" spans="1:45" x14ac:dyDescent="0.3">
      <c r="A12">
        <v>2025</v>
      </c>
      <c r="B12">
        <v>5</v>
      </c>
      <c r="C12" t="s">
        <v>35</v>
      </c>
      <c r="D12">
        <v>10</v>
      </c>
      <c r="E12" t="s">
        <v>36</v>
      </c>
      <c r="F12" t="s">
        <v>37</v>
      </c>
      <c r="G12" t="s">
        <v>38</v>
      </c>
      <c r="H12" t="s">
        <v>101</v>
      </c>
      <c r="I12" t="s">
        <v>190</v>
      </c>
      <c r="J12" t="s">
        <v>40</v>
      </c>
      <c r="K12" t="s">
        <v>59</v>
      </c>
      <c r="M12">
        <v>442514</v>
      </c>
      <c r="N12" t="s">
        <v>693</v>
      </c>
      <c r="O12" t="s">
        <v>36</v>
      </c>
      <c r="P12" t="s">
        <v>694</v>
      </c>
      <c r="Q12" t="s">
        <v>44</v>
      </c>
      <c r="R12" t="s">
        <v>695</v>
      </c>
      <c r="S12" t="s">
        <v>696</v>
      </c>
      <c r="T12" t="s">
        <v>47</v>
      </c>
      <c r="U12" t="s">
        <v>199</v>
      </c>
      <c r="V12" t="s">
        <v>49</v>
      </c>
      <c r="W12" t="s">
        <v>697</v>
      </c>
      <c r="X12" t="s">
        <v>51</v>
      </c>
      <c r="Y12" t="s">
        <v>698</v>
      </c>
      <c r="Z12" t="s">
        <v>698</v>
      </c>
      <c r="AA12" t="s">
        <v>701</v>
      </c>
      <c r="AB12" s="1">
        <f t="shared" si="0"/>
        <v>1</v>
      </c>
      <c r="AC12">
        <v>162.72</v>
      </c>
      <c r="AD12">
        <v>162.72</v>
      </c>
      <c r="AE12">
        <v>17.11</v>
      </c>
      <c r="AF12">
        <v>0.75</v>
      </c>
      <c r="AG12">
        <v>180.58</v>
      </c>
      <c r="AH12">
        <v>0</v>
      </c>
      <c r="AI12">
        <v>180.58</v>
      </c>
      <c r="AJ12">
        <v>0.90290000000000004</v>
      </c>
      <c r="AK12" t="s">
        <v>54</v>
      </c>
      <c r="AL12">
        <v>44.16</v>
      </c>
      <c r="AM12" s="4">
        <f t="shared" si="1"/>
        <v>180.58</v>
      </c>
      <c r="AN12" s="4">
        <f t="shared" si="2"/>
        <v>305.10000000000002</v>
      </c>
      <c r="AO12" s="4">
        <f t="shared" si="3"/>
        <v>338.96610000000004</v>
      </c>
      <c r="AP12" s="4">
        <f t="shared" si="4"/>
        <v>494.23149000000001</v>
      </c>
      <c r="AQ12" s="10">
        <f t="shared" si="5"/>
        <v>314.04667800000004</v>
      </c>
      <c r="AR12" s="10">
        <f t="shared" si="6"/>
        <v>348.93726392580004</v>
      </c>
      <c r="AS12" s="10">
        <f t="shared" si="7"/>
        <v>488.90786831040003</v>
      </c>
    </row>
    <row r="13" spans="1:45" x14ac:dyDescent="0.3">
      <c r="A13">
        <v>2025</v>
      </c>
      <c r="B13">
        <v>5</v>
      </c>
      <c r="C13" t="s">
        <v>35</v>
      </c>
      <c r="D13">
        <v>10</v>
      </c>
      <c r="E13" t="s">
        <v>36</v>
      </c>
      <c r="F13" t="s">
        <v>37</v>
      </c>
      <c r="G13" t="s">
        <v>38</v>
      </c>
      <c r="H13" t="s">
        <v>101</v>
      </c>
      <c r="I13" t="s">
        <v>190</v>
      </c>
      <c r="J13" t="s">
        <v>40</v>
      </c>
      <c r="K13" t="s">
        <v>59</v>
      </c>
      <c r="M13">
        <v>442514</v>
      </c>
      <c r="N13" t="s">
        <v>693</v>
      </c>
      <c r="O13" t="s">
        <v>36</v>
      </c>
      <c r="P13" t="s">
        <v>694</v>
      </c>
      <c r="Q13" t="s">
        <v>44</v>
      </c>
      <c r="R13" t="s">
        <v>695</v>
      </c>
      <c r="S13" t="s">
        <v>696</v>
      </c>
      <c r="T13" t="s">
        <v>47</v>
      </c>
      <c r="U13" t="s">
        <v>199</v>
      </c>
      <c r="V13" t="s">
        <v>49</v>
      </c>
      <c r="W13" t="s">
        <v>697</v>
      </c>
      <c r="X13" t="s">
        <v>51</v>
      </c>
      <c r="Y13" t="s">
        <v>698</v>
      </c>
      <c r="Z13" t="s">
        <v>698</v>
      </c>
      <c r="AA13" t="s">
        <v>701</v>
      </c>
      <c r="AB13" s="1">
        <f t="shared" si="0"/>
        <v>1</v>
      </c>
      <c r="AC13">
        <v>162.72</v>
      </c>
      <c r="AD13">
        <v>162.72</v>
      </c>
      <c r="AE13">
        <v>17.11</v>
      </c>
      <c r="AF13">
        <v>0.75</v>
      </c>
      <c r="AG13">
        <v>180.58</v>
      </c>
      <c r="AH13">
        <v>0</v>
      </c>
      <c r="AI13">
        <v>180.58</v>
      </c>
      <c r="AJ13">
        <v>0.90290000000000004</v>
      </c>
      <c r="AK13" t="s">
        <v>54</v>
      </c>
      <c r="AL13">
        <v>44.16</v>
      </c>
      <c r="AM13" s="4">
        <f t="shared" si="1"/>
        <v>180.58</v>
      </c>
      <c r="AN13" s="4">
        <f t="shared" si="2"/>
        <v>305.10000000000002</v>
      </c>
      <c r="AO13" s="4">
        <f t="shared" si="3"/>
        <v>338.96610000000004</v>
      </c>
      <c r="AP13" s="4">
        <f t="shared" si="4"/>
        <v>494.23149000000001</v>
      </c>
      <c r="AQ13" s="10">
        <f t="shared" si="5"/>
        <v>314.04667800000004</v>
      </c>
      <c r="AR13" s="10">
        <f t="shared" si="6"/>
        <v>348.93726392580004</v>
      </c>
      <c r="AS13" s="10">
        <f t="shared" si="7"/>
        <v>488.90786831040003</v>
      </c>
    </row>
    <row r="14" spans="1:45" x14ac:dyDescent="0.3">
      <c r="A14">
        <v>2025</v>
      </c>
      <c r="B14">
        <v>5</v>
      </c>
      <c r="C14" t="s">
        <v>35</v>
      </c>
      <c r="D14">
        <v>10</v>
      </c>
      <c r="E14" t="s">
        <v>36</v>
      </c>
      <c r="F14" t="s">
        <v>37</v>
      </c>
      <c r="G14" t="s">
        <v>38</v>
      </c>
      <c r="H14" t="s">
        <v>101</v>
      </c>
      <c r="I14" t="s">
        <v>190</v>
      </c>
      <c r="J14" t="s">
        <v>40</v>
      </c>
      <c r="K14" t="s">
        <v>59</v>
      </c>
      <c r="M14">
        <v>442514</v>
      </c>
      <c r="N14" t="s">
        <v>693</v>
      </c>
      <c r="O14" t="s">
        <v>36</v>
      </c>
      <c r="P14" t="s">
        <v>694</v>
      </c>
      <c r="Q14" t="s">
        <v>44</v>
      </c>
      <c r="R14" t="s">
        <v>695</v>
      </c>
      <c r="S14" t="s">
        <v>696</v>
      </c>
      <c r="T14" t="s">
        <v>47</v>
      </c>
      <c r="U14" t="s">
        <v>199</v>
      </c>
      <c r="V14" t="s">
        <v>49</v>
      </c>
      <c r="W14" t="s">
        <v>697</v>
      </c>
      <c r="X14" t="s">
        <v>51</v>
      </c>
      <c r="Y14" t="s">
        <v>698</v>
      </c>
      <c r="Z14" t="s">
        <v>698</v>
      </c>
      <c r="AA14" t="s">
        <v>701</v>
      </c>
      <c r="AB14" s="1">
        <f t="shared" si="0"/>
        <v>1</v>
      </c>
      <c r="AC14">
        <v>162.72</v>
      </c>
      <c r="AD14">
        <v>162.72</v>
      </c>
      <c r="AE14">
        <v>17.11</v>
      </c>
      <c r="AF14">
        <v>0.75</v>
      </c>
      <c r="AG14">
        <v>180.58</v>
      </c>
      <c r="AH14">
        <v>0</v>
      </c>
      <c r="AI14">
        <v>180.58</v>
      </c>
      <c r="AJ14">
        <v>0.90290000000000004</v>
      </c>
      <c r="AK14" t="s">
        <v>54</v>
      </c>
      <c r="AL14">
        <v>44.16</v>
      </c>
      <c r="AM14" s="4">
        <f t="shared" si="1"/>
        <v>180.58</v>
      </c>
      <c r="AN14" s="4">
        <f t="shared" si="2"/>
        <v>305.10000000000002</v>
      </c>
      <c r="AO14" s="4">
        <f t="shared" si="3"/>
        <v>338.96610000000004</v>
      </c>
      <c r="AP14" s="4">
        <f t="shared" si="4"/>
        <v>494.23149000000001</v>
      </c>
      <c r="AQ14" s="10">
        <f t="shared" si="5"/>
        <v>314.04667800000004</v>
      </c>
      <c r="AR14" s="10">
        <f t="shared" si="6"/>
        <v>348.93726392580004</v>
      </c>
      <c r="AS14" s="10">
        <f t="shared" si="7"/>
        <v>488.90786831040003</v>
      </c>
    </row>
    <row r="15" spans="1:45" x14ac:dyDescent="0.3">
      <c r="A15">
        <v>2025</v>
      </c>
      <c r="B15">
        <v>5</v>
      </c>
      <c r="C15" t="s">
        <v>35</v>
      </c>
      <c r="D15">
        <v>10</v>
      </c>
      <c r="E15" t="s">
        <v>36</v>
      </c>
      <c r="F15" t="s">
        <v>37</v>
      </c>
      <c r="G15" t="s">
        <v>38</v>
      </c>
      <c r="H15" t="s">
        <v>101</v>
      </c>
      <c r="I15" t="s">
        <v>190</v>
      </c>
      <c r="J15" t="s">
        <v>40</v>
      </c>
      <c r="K15" t="s">
        <v>59</v>
      </c>
      <c r="M15">
        <v>442514</v>
      </c>
      <c r="N15" t="s">
        <v>693</v>
      </c>
      <c r="O15" t="s">
        <v>36</v>
      </c>
      <c r="P15" t="s">
        <v>694</v>
      </c>
      <c r="Q15" t="s">
        <v>44</v>
      </c>
      <c r="R15" t="s">
        <v>695</v>
      </c>
      <c r="S15" t="s">
        <v>696</v>
      </c>
      <c r="T15" t="s">
        <v>47</v>
      </c>
      <c r="U15" t="s">
        <v>199</v>
      </c>
      <c r="V15" t="s">
        <v>49</v>
      </c>
      <c r="W15" t="s">
        <v>697</v>
      </c>
      <c r="X15" t="s">
        <v>51</v>
      </c>
      <c r="Y15" t="s">
        <v>698</v>
      </c>
      <c r="Z15" t="s">
        <v>698</v>
      </c>
      <c r="AA15" t="s">
        <v>701</v>
      </c>
      <c r="AB15" s="1">
        <f t="shared" si="0"/>
        <v>1</v>
      </c>
      <c r="AC15">
        <v>162.72</v>
      </c>
      <c r="AD15">
        <v>162.72</v>
      </c>
      <c r="AE15">
        <v>17.11</v>
      </c>
      <c r="AF15">
        <v>0.75</v>
      </c>
      <c r="AG15">
        <v>180.58</v>
      </c>
      <c r="AH15">
        <v>0</v>
      </c>
      <c r="AI15">
        <v>180.58</v>
      </c>
      <c r="AJ15">
        <v>0.90290000000000004</v>
      </c>
      <c r="AK15" t="s">
        <v>54</v>
      </c>
      <c r="AL15">
        <v>44.16</v>
      </c>
      <c r="AM15" s="4">
        <f t="shared" si="1"/>
        <v>180.58</v>
      </c>
      <c r="AN15" s="4">
        <f t="shared" si="2"/>
        <v>305.10000000000002</v>
      </c>
      <c r="AO15" s="4">
        <f t="shared" si="3"/>
        <v>338.96610000000004</v>
      </c>
      <c r="AP15" s="4">
        <f t="shared" si="4"/>
        <v>494.23149000000001</v>
      </c>
      <c r="AQ15" s="10">
        <f t="shared" si="5"/>
        <v>314.04667800000004</v>
      </c>
      <c r="AR15" s="10">
        <f t="shared" si="6"/>
        <v>348.93726392580004</v>
      </c>
      <c r="AS15" s="10">
        <f t="shared" si="7"/>
        <v>488.90786831040003</v>
      </c>
    </row>
    <row r="16" spans="1:45" x14ac:dyDescent="0.3">
      <c r="A16">
        <v>2025</v>
      </c>
      <c r="B16">
        <v>5</v>
      </c>
      <c r="C16" t="s">
        <v>35</v>
      </c>
      <c r="D16">
        <v>10</v>
      </c>
      <c r="E16" t="s">
        <v>36</v>
      </c>
      <c r="F16" t="s">
        <v>37</v>
      </c>
      <c r="G16" t="s">
        <v>38</v>
      </c>
      <c r="H16" t="s">
        <v>101</v>
      </c>
      <c r="I16" t="s">
        <v>190</v>
      </c>
      <c r="J16" t="s">
        <v>40</v>
      </c>
      <c r="K16" t="s">
        <v>59</v>
      </c>
      <c r="M16">
        <v>442514</v>
      </c>
      <c r="N16" t="s">
        <v>693</v>
      </c>
      <c r="O16" t="s">
        <v>36</v>
      </c>
      <c r="P16" t="s">
        <v>694</v>
      </c>
      <c r="Q16" t="s">
        <v>44</v>
      </c>
      <c r="R16" t="s">
        <v>695</v>
      </c>
      <c r="S16" t="s">
        <v>696</v>
      </c>
      <c r="T16" t="s">
        <v>47</v>
      </c>
      <c r="U16" t="s">
        <v>199</v>
      </c>
      <c r="V16" t="s">
        <v>49</v>
      </c>
      <c r="W16" t="s">
        <v>697</v>
      </c>
      <c r="X16" t="s">
        <v>51</v>
      </c>
      <c r="Y16" t="s">
        <v>698</v>
      </c>
      <c r="Z16" t="s">
        <v>698</v>
      </c>
      <c r="AA16" t="s">
        <v>701</v>
      </c>
      <c r="AB16" s="1">
        <f t="shared" si="0"/>
        <v>1</v>
      </c>
      <c r="AC16">
        <v>162.72</v>
      </c>
      <c r="AD16">
        <v>162.72</v>
      </c>
      <c r="AE16">
        <v>17.11</v>
      </c>
      <c r="AF16">
        <v>0.75</v>
      </c>
      <c r="AG16">
        <v>180.58</v>
      </c>
      <c r="AH16">
        <v>0</v>
      </c>
      <c r="AI16">
        <v>180.58</v>
      </c>
      <c r="AJ16">
        <v>0.90290000000000004</v>
      </c>
      <c r="AK16" t="s">
        <v>54</v>
      </c>
      <c r="AL16">
        <v>44.16</v>
      </c>
      <c r="AM16" s="4">
        <f t="shared" si="1"/>
        <v>180.58</v>
      </c>
      <c r="AN16" s="4">
        <f t="shared" si="2"/>
        <v>305.10000000000002</v>
      </c>
      <c r="AO16" s="4">
        <f t="shared" si="3"/>
        <v>338.96610000000004</v>
      </c>
      <c r="AP16" s="4">
        <f t="shared" si="4"/>
        <v>494.23149000000001</v>
      </c>
      <c r="AQ16" s="10">
        <f t="shared" si="5"/>
        <v>314.04667800000004</v>
      </c>
      <c r="AR16" s="10">
        <f t="shared" si="6"/>
        <v>348.93726392580004</v>
      </c>
      <c r="AS16" s="10">
        <f t="shared" si="7"/>
        <v>488.90786831040003</v>
      </c>
    </row>
    <row r="17" spans="1:45" x14ac:dyDescent="0.3">
      <c r="A17">
        <v>2025</v>
      </c>
      <c r="B17">
        <v>5</v>
      </c>
      <c r="C17" t="s">
        <v>35</v>
      </c>
      <c r="D17">
        <v>10</v>
      </c>
      <c r="E17" t="s">
        <v>36</v>
      </c>
      <c r="F17" t="s">
        <v>37</v>
      </c>
      <c r="G17" t="s">
        <v>38</v>
      </c>
      <c r="H17" t="s">
        <v>101</v>
      </c>
      <c r="I17" t="s">
        <v>190</v>
      </c>
      <c r="J17" t="s">
        <v>40</v>
      </c>
      <c r="K17" t="s">
        <v>59</v>
      </c>
      <c r="M17">
        <v>442514</v>
      </c>
      <c r="N17" t="s">
        <v>693</v>
      </c>
      <c r="O17" t="s">
        <v>36</v>
      </c>
      <c r="P17" t="s">
        <v>694</v>
      </c>
      <c r="Q17" t="s">
        <v>44</v>
      </c>
      <c r="R17" t="s">
        <v>695</v>
      </c>
      <c r="S17" t="s">
        <v>696</v>
      </c>
      <c r="T17" t="s">
        <v>47</v>
      </c>
      <c r="U17" t="s">
        <v>199</v>
      </c>
      <c r="V17" t="s">
        <v>49</v>
      </c>
      <c r="W17" t="s">
        <v>697</v>
      </c>
      <c r="X17" t="s">
        <v>51</v>
      </c>
      <c r="Y17" t="s">
        <v>698</v>
      </c>
      <c r="Z17" t="s">
        <v>698</v>
      </c>
      <c r="AA17" t="s">
        <v>701</v>
      </c>
      <c r="AB17" s="1">
        <f t="shared" si="0"/>
        <v>1</v>
      </c>
      <c r="AC17">
        <v>162.72</v>
      </c>
      <c r="AD17">
        <v>162.72</v>
      </c>
      <c r="AE17">
        <v>17.11</v>
      </c>
      <c r="AF17">
        <v>0.75</v>
      </c>
      <c r="AG17">
        <v>180.58</v>
      </c>
      <c r="AH17">
        <v>0</v>
      </c>
      <c r="AI17">
        <v>180.58</v>
      </c>
      <c r="AJ17">
        <v>0.90290000000000004</v>
      </c>
      <c r="AK17" t="s">
        <v>54</v>
      </c>
      <c r="AL17">
        <v>44.16</v>
      </c>
      <c r="AM17" s="4">
        <f t="shared" si="1"/>
        <v>180.58</v>
      </c>
      <c r="AN17" s="4">
        <f t="shared" si="2"/>
        <v>305.10000000000002</v>
      </c>
      <c r="AO17" s="4">
        <f t="shared" si="3"/>
        <v>338.96610000000004</v>
      </c>
      <c r="AP17" s="4">
        <f t="shared" si="4"/>
        <v>494.23149000000001</v>
      </c>
      <c r="AQ17" s="10">
        <f t="shared" si="5"/>
        <v>314.04667800000004</v>
      </c>
      <c r="AR17" s="10">
        <f t="shared" si="6"/>
        <v>348.93726392580004</v>
      </c>
      <c r="AS17" s="10">
        <f t="shared" si="7"/>
        <v>488.90786831040003</v>
      </c>
    </row>
    <row r="18" spans="1:45" x14ac:dyDescent="0.3">
      <c r="A18">
        <v>2025</v>
      </c>
      <c r="B18">
        <v>5</v>
      </c>
      <c r="C18" t="s">
        <v>35</v>
      </c>
      <c r="D18">
        <v>10</v>
      </c>
      <c r="E18" t="s">
        <v>36</v>
      </c>
      <c r="F18" t="s">
        <v>37</v>
      </c>
      <c r="G18" t="s">
        <v>38</v>
      </c>
      <c r="H18" t="s">
        <v>101</v>
      </c>
      <c r="I18" t="s">
        <v>190</v>
      </c>
      <c r="J18" t="s">
        <v>40</v>
      </c>
      <c r="K18" t="s">
        <v>59</v>
      </c>
      <c r="M18">
        <v>442514</v>
      </c>
      <c r="N18" t="s">
        <v>693</v>
      </c>
      <c r="O18" t="s">
        <v>36</v>
      </c>
      <c r="P18" t="s">
        <v>694</v>
      </c>
      <c r="Q18" t="s">
        <v>44</v>
      </c>
      <c r="R18" t="s">
        <v>695</v>
      </c>
      <c r="S18" t="s">
        <v>696</v>
      </c>
      <c r="T18" t="s">
        <v>47</v>
      </c>
      <c r="U18" t="s">
        <v>199</v>
      </c>
      <c r="V18" t="s">
        <v>49</v>
      </c>
      <c r="W18" t="s">
        <v>697</v>
      </c>
      <c r="X18" t="s">
        <v>51</v>
      </c>
      <c r="Y18" t="s">
        <v>698</v>
      </c>
      <c r="Z18" t="s">
        <v>698</v>
      </c>
      <c r="AA18" t="s">
        <v>701</v>
      </c>
      <c r="AB18" s="1">
        <f t="shared" si="0"/>
        <v>1</v>
      </c>
      <c r="AC18">
        <v>162.72</v>
      </c>
      <c r="AD18">
        <v>162.72</v>
      </c>
      <c r="AE18">
        <v>17.11</v>
      </c>
      <c r="AF18">
        <v>0.75</v>
      </c>
      <c r="AG18">
        <v>180.58</v>
      </c>
      <c r="AH18">
        <v>0</v>
      </c>
      <c r="AI18">
        <v>180.58</v>
      </c>
      <c r="AJ18">
        <v>0.90290000000000004</v>
      </c>
      <c r="AK18" t="s">
        <v>54</v>
      </c>
      <c r="AL18">
        <v>44.16</v>
      </c>
      <c r="AM18" s="4">
        <f t="shared" si="1"/>
        <v>180.58</v>
      </c>
      <c r="AN18" s="4">
        <f t="shared" si="2"/>
        <v>305.10000000000002</v>
      </c>
      <c r="AO18" s="4">
        <f t="shared" si="3"/>
        <v>338.96610000000004</v>
      </c>
      <c r="AP18" s="4">
        <f t="shared" si="4"/>
        <v>494.23149000000001</v>
      </c>
      <c r="AQ18" s="10">
        <f t="shared" si="5"/>
        <v>314.04667800000004</v>
      </c>
      <c r="AR18" s="10">
        <f t="shared" si="6"/>
        <v>348.93726392580004</v>
      </c>
      <c r="AS18" s="10">
        <f t="shared" si="7"/>
        <v>488.90786831040003</v>
      </c>
    </row>
    <row r="19" spans="1:45" x14ac:dyDescent="0.3">
      <c r="A19">
        <v>2025</v>
      </c>
      <c r="B19">
        <v>5</v>
      </c>
      <c r="C19" t="s">
        <v>35</v>
      </c>
      <c r="D19">
        <v>10</v>
      </c>
      <c r="E19" t="s">
        <v>36</v>
      </c>
      <c r="F19" t="s">
        <v>37</v>
      </c>
      <c r="G19" t="s">
        <v>38</v>
      </c>
      <c r="H19" t="s">
        <v>101</v>
      </c>
      <c r="I19" t="s">
        <v>190</v>
      </c>
      <c r="J19" t="s">
        <v>40</v>
      </c>
      <c r="K19" t="s">
        <v>59</v>
      </c>
      <c r="M19">
        <v>442514</v>
      </c>
      <c r="N19" t="s">
        <v>693</v>
      </c>
      <c r="O19" t="s">
        <v>36</v>
      </c>
      <c r="P19" t="s">
        <v>694</v>
      </c>
      <c r="Q19" t="s">
        <v>44</v>
      </c>
      <c r="R19" t="s">
        <v>695</v>
      </c>
      <c r="S19" t="s">
        <v>696</v>
      </c>
      <c r="T19" t="s">
        <v>47</v>
      </c>
      <c r="U19" t="s">
        <v>199</v>
      </c>
      <c r="V19" t="s">
        <v>49</v>
      </c>
      <c r="W19" t="s">
        <v>697</v>
      </c>
      <c r="X19" t="s">
        <v>51</v>
      </c>
      <c r="Y19" t="s">
        <v>698</v>
      </c>
      <c r="Z19" t="s">
        <v>698</v>
      </c>
      <c r="AA19" t="s">
        <v>701</v>
      </c>
      <c r="AB19" s="1">
        <f t="shared" si="0"/>
        <v>1</v>
      </c>
      <c r="AC19">
        <v>162.72</v>
      </c>
      <c r="AD19">
        <v>162.72</v>
      </c>
      <c r="AE19">
        <v>17.11</v>
      </c>
      <c r="AF19">
        <v>0.75</v>
      </c>
      <c r="AG19">
        <v>180.58</v>
      </c>
      <c r="AH19">
        <v>0</v>
      </c>
      <c r="AI19">
        <v>180.58</v>
      </c>
      <c r="AJ19">
        <v>0.90290000000000004</v>
      </c>
      <c r="AK19" t="s">
        <v>54</v>
      </c>
      <c r="AL19">
        <v>44.16</v>
      </c>
      <c r="AM19" s="4">
        <f t="shared" si="1"/>
        <v>180.58</v>
      </c>
      <c r="AN19" s="4">
        <f t="shared" si="2"/>
        <v>305.10000000000002</v>
      </c>
      <c r="AO19" s="4">
        <f t="shared" si="3"/>
        <v>338.96610000000004</v>
      </c>
      <c r="AP19" s="4">
        <f t="shared" si="4"/>
        <v>494.23149000000001</v>
      </c>
      <c r="AQ19" s="10">
        <f t="shared" si="5"/>
        <v>314.04667800000004</v>
      </c>
      <c r="AR19" s="10">
        <f t="shared" si="6"/>
        <v>348.93726392580004</v>
      </c>
      <c r="AS19" s="10">
        <f t="shared" si="7"/>
        <v>488.90786831040003</v>
      </c>
    </row>
    <row r="20" spans="1:45" x14ac:dyDescent="0.3">
      <c r="A20">
        <v>2025</v>
      </c>
      <c r="B20">
        <v>10</v>
      </c>
      <c r="C20" t="s">
        <v>35</v>
      </c>
      <c r="D20">
        <v>10</v>
      </c>
      <c r="E20" t="s">
        <v>36</v>
      </c>
      <c r="F20" t="s">
        <v>37</v>
      </c>
      <c r="G20" t="s">
        <v>38</v>
      </c>
      <c r="H20" t="s">
        <v>101</v>
      </c>
      <c r="J20" t="s">
        <v>40</v>
      </c>
      <c r="K20" t="s">
        <v>59</v>
      </c>
      <c r="L20" t="s">
        <v>1566</v>
      </c>
      <c r="M20">
        <v>458452</v>
      </c>
      <c r="N20" t="s">
        <v>1567</v>
      </c>
      <c r="O20" t="s">
        <v>1197</v>
      </c>
      <c r="P20" t="s">
        <v>191</v>
      </c>
      <c r="Q20" t="s">
        <v>44</v>
      </c>
      <c r="R20" t="s">
        <v>1505</v>
      </c>
      <c r="S20" t="s">
        <v>1568</v>
      </c>
      <c r="T20" t="s">
        <v>47</v>
      </c>
      <c r="U20" t="s">
        <v>199</v>
      </c>
      <c r="V20" t="s">
        <v>49</v>
      </c>
      <c r="W20" t="s">
        <v>697</v>
      </c>
      <c r="X20" t="s">
        <v>388</v>
      </c>
      <c r="Y20" t="s">
        <v>698</v>
      </c>
      <c r="Z20" t="s">
        <v>698</v>
      </c>
      <c r="AA20" t="s">
        <v>701</v>
      </c>
      <c r="AB20" s="1">
        <f t="shared" si="0"/>
        <v>1</v>
      </c>
      <c r="AC20">
        <v>162.72</v>
      </c>
      <c r="AD20">
        <v>162.72</v>
      </c>
      <c r="AE20">
        <v>17.11</v>
      </c>
      <c r="AF20">
        <v>0.75</v>
      </c>
      <c r="AG20">
        <v>180.58</v>
      </c>
      <c r="AH20">
        <v>0</v>
      </c>
      <c r="AI20">
        <v>180.58</v>
      </c>
      <c r="AJ20">
        <v>0.90290000000000004</v>
      </c>
      <c r="AK20" t="s">
        <v>54</v>
      </c>
      <c r="AL20">
        <v>44.16</v>
      </c>
      <c r="AM20" s="4">
        <f t="shared" si="1"/>
        <v>180.58</v>
      </c>
      <c r="AN20" s="4">
        <f t="shared" si="2"/>
        <v>305.10000000000002</v>
      </c>
      <c r="AO20" s="4">
        <f t="shared" si="3"/>
        <v>338.96610000000004</v>
      </c>
      <c r="AP20" s="4">
        <f t="shared" si="4"/>
        <v>494.23149000000001</v>
      </c>
      <c r="AQ20" s="10">
        <f t="shared" si="5"/>
        <v>314.04667800000004</v>
      </c>
      <c r="AR20" s="10">
        <f t="shared" si="6"/>
        <v>348.93726392580004</v>
      </c>
      <c r="AS20" s="10">
        <f t="shared" si="7"/>
        <v>488.90786831040003</v>
      </c>
    </row>
    <row r="21" spans="1:45" x14ac:dyDescent="0.3">
      <c r="A21">
        <v>2025</v>
      </c>
      <c r="B21">
        <v>10</v>
      </c>
      <c r="C21" t="s">
        <v>35</v>
      </c>
      <c r="D21">
        <v>10</v>
      </c>
      <c r="E21" t="s">
        <v>36</v>
      </c>
      <c r="F21" t="s">
        <v>37</v>
      </c>
      <c r="G21" t="s">
        <v>38</v>
      </c>
      <c r="H21" t="s">
        <v>101</v>
      </c>
      <c r="J21" t="s">
        <v>40</v>
      </c>
      <c r="K21" t="s">
        <v>59</v>
      </c>
      <c r="L21" t="s">
        <v>1566</v>
      </c>
      <c r="M21">
        <v>458452</v>
      </c>
      <c r="N21" t="s">
        <v>1567</v>
      </c>
      <c r="O21" t="s">
        <v>1197</v>
      </c>
      <c r="P21" t="s">
        <v>191</v>
      </c>
      <c r="Q21" t="s">
        <v>44</v>
      </c>
      <c r="R21" t="s">
        <v>1505</v>
      </c>
      <c r="S21" t="s">
        <v>1568</v>
      </c>
      <c r="T21" t="s">
        <v>47</v>
      </c>
      <c r="U21" t="s">
        <v>199</v>
      </c>
      <c r="V21" t="s">
        <v>49</v>
      </c>
      <c r="W21" t="s">
        <v>697</v>
      </c>
      <c r="X21" t="s">
        <v>388</v>
      </c>
      <c r="Y21" t="s">
        <v>460</v>
      </c>
      <c r="Z21" t="s">
        <v>460</v>
      </c>
      <c r="AA21" t="s">
        <v>701</v>
      </c>
      <c r="AB21" s="1">
        <f t="shared" si="0"/>
        <v>1</v>
      </c>
      <c r="AC21">
        <v>163.5</v>
      </c>
      <c r="AD21">
        <v>163.5</v>
      </c>
      <c r="AE21">
        <v>34.82</v>
      </c>
      <c r="AF21">
        <v>1.25</v>
      </c>
      <c r="AG21">
        <v>199.57</v>
      </c>
      <c r="AH21">
        <v>0</v>
      </c>
      <c r="AI21">
        <v>199.57</v>
      </c>
      <c r="AJ21">
        <v>0.99785000000000001</v>
      </c>
      <c r="AK21" t="s">
        <v>54</v>
      </c>
      <c r="AL21">
        <v>7.91</v>
      </c>
      <c r="AM21" s="4">
        <f t="shared" si="1"/>
        <v>199.57</v>
      </c>
      <c r="AN21" s="4">
        <f t="shared" si="2"/>
        <v>306.5625</v>
      </c>
      <c r="AO21" s="4">
        <f t="shared" si="3"/>
        <v>340.5909375</v>
      </c>
      <c r="AP21" s="4">
        <f t="shared" si="4"/>
        <v>496.60059374999997</v>
      </c>
      <c r="AQ21" s="10">
        <f t="shared" si="5"/>
        <v>347.07218699999999</v>
      </c>
      <c r="AR21" s="10">
        <f t="shared" si="6"/>
        <v>385.63190697569996</v>
      </c>
      <c r="AS21" s="10">
        <f t="shared" si="7"/>
        <v>540.32198072159997</v>
      </c>
    </row>
    <row r="22" spans="1:45" x14ac:dyDescent="0.3">
      <c r="A22">
        <v>2025</v>
      </c>
      <c r="B22">
        <v>5</v>
      </c>
      <c r="C22" t="s">
        <v>35</v>
      </c>
      <c r="D22">
        <v>10</v>
      </c>
      <c r="E22" t="s">
        <v>36</v>
      </c>
      <c r="F22" t="s">
        <v>37</v>
      </c>
      <c r="G22" t="s">
        <v>38</v>
      </c>
      <c r="H22" t="s">
        <v>101</v>
      </c>
      <c r="I22" t="s">
        <v>190</v>
      </c>
      <c r="J22" t="s">
        <v>40</v>
      </c>
      <c r="K22" t="s">
        <v>59</v>
      </c>
      <c r="M22">
        <v>442514</v>
      </c>
      <c r="N22" t="s">
        <v>693</v>
      </c>
      <c r="O22" t="s">
        <v>36</v>
      </c>
      <c r="P22" t="s">
        <v>694</v>
      </c>
      <c r="Q22" t="s">
        <v>44</v>
      </c>
      <c r="R22" t="s">
        <v>695</v>
      </c>
      <c r="S22" t="s">
        <v>696</v>
      </c>
      <c r="T22" t="s">
        <v>47</v>
      </c>
      <c r="U22" t="s">
        <v>199</v>
      </c>
      <c r="V22" t="s">
        <v>49</v>
      </c>
      <c r="W22" t="s">
        <v>697</v>
      </c>
      <c r="X22" t="s">
        <v>51</v>
      </c>
      <c r="Y22" t="s">
        <v>460</v>
      </c>
      <c r="Z22" t="s">
        <v>460</v>
      </c>
      <c r="AA22" t="s">
        <v>701</v>
      </c>
      <c r="AB22" s="1">
        <f t="shared" si="0"/>
        <v>1</v>
      </c>
      <c r="AC22">
        <v>111.14</v>
      </c>
      <c r="AD22">
        <v>111.14</v>
      </c>
      <c r="AE22">
        <v>23.67</v>
      </c>
      <c r="AF22">
        <v>0.85</v>
      </c>
      <c r="AG22">
        <v>135.65</v>
      </c>
      <c r="AH22">
        <v>0</v>
      </c>
      <c r="AI22">
        <v>135.65</v>
      </c>
      <c r="AJ22">
        <v>0.67825000000000002</v>
      </c>
      <c r="AK22" t="s">
        <v>54</v>
      </c>
      <c r="AL22">
        <v>5.37</v>
      </c>
      <c r="AM22" s="4">
        <f t="shared" si="1"/>
        <v>135.65</v>
      </c>
      <c r="AN22" s="4">
        <f t="shared" si="2"/>
        <v>208.38749999999999</v>
      </c>
      <c r="AO22" s="4">
        <f t="shared" si="3"/>
        <v>231.51851249999999</v>
      </c>
      <c r="AP22" s="4">
        <f t="shared" si="4"/>
        <v>337.56691124999998</v>
      </c>
      <c r="AQ22" s="10">
        <f t="shared" si="5"/>
        <v>235.90891500000004</v>
      </c>
      <c r="AR22" s="10">
        <f t="shared" si="6"/>
        <v>262.11839545650002</v>
      </c>
      <c r="AS22" s="10">
        <f t="shared" si="7"/>
        <v>367.26299887200003</v>
      </c>
    </row>
    <row r="23" spans="1:45" x14ac:dyDescent="0.3">
      <c r="A23">
        <v>2025</v>
      </c>
      <c r="B23">
        <v>5</v>
      </c>
      <c r="C23" t="s">
        <v>35</v>
      </c>
      <c r="D23">
        <v>10</v>
      </c>
      <c r="E23" t="s">
        <v>36</v>
      </c>
      <c r="F23" t="s">
        <v>37</v>
      </c>
      <c r="G23" t="s">
        <v>38</v>
      </c>
      <c r="H23" t="s">
        <v>101</v>
      </c>
      <c r="I23" t="s">
        <v>190</v>
      </c>
      <c r="J23" t="s">
        <v>40</v>
      </c>
      <c r="K23" t="s">
        <v>59</v>
      </c>
      <c r="M23">
        <v>442514</v>
      </c>
      <c r="N23" t="s">
        <v>693</v>
      </c>
      <c r="O23" t="s">
        <v>36</v>
      </c>
      <c r="P23" t="s">
        <v>694</v>
      </c>
      <c r="Q23" t="s">
        <v>44</v>
      </c>
      <c r="R23" t="s">
        <v>695</v>
      </c>
      <c r="S23" t="s">
        <v>696</v>
      </c>
      <c r="T23" t="s">
        <v>47</v>
      </c>
      <c r="U23" t="s">
        <v>199</v>
      </c>
      <c r="V23" t="s">
        <v>49</v>
      </c>
      <c r="W23" t="s">
        <v>697</v>
      </c>
      <c r="X23" t="s">
        <v>51</v>
      </c>
      <c r="Y23" t="s">
        <v>698</v>
      </c>
      <c r="Z23" t="s">
        <v>698</v>
      </c>
      <c r="AA23" t="s">
        <v>702</v>
      </c>
      <c r="AB23" s="1">
        <f t="shared" si="0"/>
        <v>1</v>
      </c>
      <c r="AC23">
        <v>212.72</v>
      </c>
      <c r="AD23">
        <v>212.72</v>
      </c>
      <c r="AE23">
        <v>22.37</v>
      </c>
      <c r="AF23">
        <v>1.1000000000000001</v>
      </c>
      <c r="AG23">
        <v>236.19</v>
      </c>
      <c r="AH23">
        <v>0</v>
      </c>
      <c r="AI23">
        <v>236.19</v>
      </c>
      <c r="AJ23">
        <v>1.1809499999999999</v>
      </c>
      <c r="AK23" t="s">
        <v>54</v>
      </c>
      <c r="AL23">
        <v>44.16</v>
      </c>
      <c r="AM23" s="4">
        <f t="shared" si="1"/>
        <v>236.19</v>
      </c>
      <c r="AN23" s="4">
        <f t="shared" si="2"/>
        <v>398.85</v>
      </c>
      <c r="AO23" s="4">
        <f t="shared" si="3"/>
        <v>443.12235000000004</v>
      </c>
      <c r="AP23" s="4">
        <f t="shared" si="4"/>
        <v>646.09711500000003</v>
      </c>
      <c r="AQ23" s="10">
        <f t="shared" si="5"/>
        <v>410.75802900000002</v>
      </c>
      <c r="AR23" s="10">
        <f t="shared" si="6"/>
        <v>456.39324602190004</v>
      </c>
      <c r="AS23" s="10">
        <f t="shared" si="7"/>
        <v>639.46809954720004</v>
      </c>
    </row>
    <row r="24" spans="1:45" x14ac:dyDescent="0.3">
      <c r="A24">
        <v>2025</v>
      </c>
      <c r="B24">
        <v>5</v>
      </c>
      <c r="C24" t="s">
        <v>35</v>
      </c>
      <c r="D24">
        <v>10</v>
      </c>
      <c r="E24" t="s">
        <v>36</v>
      </c>
      <c r="F24" t="s">
        <v>37</v>
      </c>
      <c r="G24" t="s">
        <v>38</v>
      </c>
      <c r="H24" t="s">
        <v>101</v>
      </c>
      <c r="I24" t="s">
        <v>190</v>
      </c>
      <c r="J24" t="s">
        <v>40</v>
      </c>
      <c r="K24" t="s">
        <v>59</v>
      </c>
      <c r="M24">
        <v>442514</v>
      </c>
      <c r="N24" t="s">
        <v>693</v>
      </c>
      <c r="O24" t="s">
        <v>36</v>
      </c>
      <c r="P24" t="s">
        <v>694</v>
      </c>
      <c r="Q24" t="s">
        <v>44</v>
      </c>
      <c r="R24" t="s">
        <v>695</v>
      </c>
      <c r="S24" t="s">
        <v>696</v>
      </c>
      <c r="T24" t="s">
        <v>47</v>
      </c>
      <c r="U24" t="s">
        <v>199</v>
      </c>
      <c r="V24" t="s">
        <v>49</v>
      </c>
      <c r="W24" t="s">
        <v>697</v>
      </c>
      <c r="X24" t="s">
        <v>51</v>
      </c>
      <c r="Y24" t="s">
        <v>698</v>
      </c>
      <c r="Z24" t="s">
        <v>698</v>
      </c>
      <c r="AA24" t="s">
        <v>702</v>
      </c>
      <c r="AB24" s="1">
        <f t="shared" si="0"/>
        <v>1</v>
      </c>
      <c r="AC24">
        <v>212.72</v>
      </c>
      <c r="AD24">
        <v>212.72</v>
      </c>
      <c r="AE24">
        <v>22.37</v>
      </c>
      <c r="AF24">
        <v>1.1000000000000001</v>
      </c>
      <c r="AG24">
        <v>236.19</v>
      </c>
      <c r="AH24">
        <v>0</v>
      </c>
      <c r="AI24">
        <v>236.19</v>
      </c>
      <c r="AJ24">
        <v>1.1809499999999999</v>
      </c>
      <c r="AK24" t="s">
        <v>54</v>
      </c>
      <c r="AL24">
        <v>44.16</v>
      </c>
      <c r="AM24" s="4">
        <f t="shared" si="1"/>
        <v>236.19</v>
      </c>
      <c r="AN24" s="4">
        <f t="shared" si="2"/>
        <v>398.85</v>
      </c>
      <c r="AO24" s="4">
        <f t="shared" si="3"/>
        <v>443.12235000000004</v>
      </c>
      <c r="AP24" s="4">
        <f t="shared" si="4"/>
        <v>646.09711500000003</v>
      </c>
      <c r="AQ24" s="10">
        <f t="shared" si="5"/>
        <v>410.75802900000002</v>
      </c>
      <c r="AR24" s="10">
        <f t="shared" si="6"/>
        <v>456.39324602190004</v>
      </c>
      <c r="AS24" s="10">
        <f t="shared" si="7"/>
        <v>639.46809954720004</v>
      </c>
    </row>
    <row r="25" spans="1:45" x14ac:dyDescent="0.3">
      <c r="A25">
        <v>2025</v>
      </c>
      <c r="B25">
        <v>5</v>
      </c>
      <c r="C25" t="s">
        <v>35</v>
      </c>
      <c r="D25">
        <v>10</v>
      </c>
      <c r="E25" t="s">
        <v>36</v>
      </c>
      <c r="F25" t="s">
        <v>37</v>
      </c>
      <c r="G25" t="s">
        <v>38</v>
      </c>
      <c r="H25" t="s">
        <v>101</v>
      </c>
      <c r="I25" t="s">
        <v>190</v>
      </c>
      <c r="J25" t="s">
        <v>40</v>
      </c>
      <c r="K25" t="s">
        <v>59</v>
      </c>
      <c r="M25">
        <v>442514</v>
      </c>
      <c r="N25" t="s">
        <v>693</v>
      </c>
      <c r="O25" t="s">
        <v>36</v>
      </c>
      <c r="P25" t="s">
        <v>694</v>
      </c>
      <c r="Q25" t="s">
        <v>44</v>
      </c>
      <c r="R25" t="s">
        <v>695</v>
      </c>
      <c r="S25" t="s">
        <v>696</v>
      </c>
      <c r="T25" t="s">
        <v>47</v>
      </c>
      <c r="U25" t="s">
        <v>199</v>
      </c>
      <c r="V25" t="s">
        <v>49</v>
      </c>
      <c r="W25" t="s">
        <v>697</v>
      </c>
      <c r="X25" t="s">
        <v>51</v>
      </c>
      <c r="Y25" t="s">
        <v>698</v>
      </c>
      <c r="Z25" t="s">
        <v>698</v>
      </c>
      <c r="AA25" t="s">
        <v>702</v>
      </c>
      <c r="AB25" s="1">
        <f t="shared" si="0"/>
        <v>1</v>
      </c>
      <c r="AC25">
        <v>212.72</v>
      </c>
      <c r="AD25">
        <v>212.72</v>
      </c>
      <c r="AE25">
        <v>22.37</v>
      </c>
      <c r="AF25">
        <v>1.1000000000000001</v>
      </c>
      <c r="AG25">
        <v>236.19</v>
      </c>
      <c r="AH25">
        <v>0</v>
      </c>
      <c r="AI25">
        <v>236.19</v>
      </c>
      <c r="AJ25">
        <v>1.1809499999999999</v>
      </c>
      <c r="AK25" t="s">
        <v>54</v>
      </c>
      <c r="AL25">
        <v>44.16</v>
      </c>
      <c r="AM25" s="4">
        <f t="shared" si="1"/>
        <v>236.19</v>
      </c>
      <c r="AN25" s="4">
        <f t="shared" si="2"/>
        <v>398.85</v>
      </c>
      <c r="AO25" s="4">
        <f t="shared" si="3"/>
        <v>443.12235000000004</v>
      </c>
      <c r="AP25" s="4">
        <f t="shared" si="4"/>
        <v>646.09711500000003</v>
      </c>
      <c r="AQ25" s="10">
        <f t="shared" si="5"/>
        <v>410.75802900000002</v>
      </c>
      <c r="AR25" s="10">
        <f t="shared" si="6"/>
        <v>456.39324602190004</v>
      </c>
      <c r="AS25" s="10">
        <f t="shared" si="7"/>
        <v>639.46809954720004</v>
      </c>
    </row>
    <row r="26" spans="1:45" x14ac:dyDescent="0.3">
      <c r="A26">
        <v>2025</v>
      </c>
      <c r="B26">
        <v>5</v>
      </c>
      <c r="C26" t="s">
        <v>35</v>
      </c>
      <c r="D26">
        <v>10</v>
      </c>
      <c r="E26" t="s">
        <v>36</v>
      </c>
      <c r="F26" t="s">
        <v>37</v>
      </c>
      <c r="G26" t="s">
        <v>38</v>
      </c>
      <c r="H26" t="s">
        <v>101</v>
      </c>
      <c r="I26" t="s">
        <v>190</v>
      </c>
      <c r="J26" t="s">
        <v>40</v>
      </c>
      <c r="K26" t="s">
        <v>59</v>
      </c>
      <c r="M26">
        <v>442514</v>
      </c>
      <c r="N26" t="s">
        <v>693</v>
      </c>
      <c r="O26" t="s">
        <v>36</v>
      </c>
      <c r="P26" t="s">
        <v>694</v>
      </c>
      <c r="Q26" t="s">
        <v>44</v>
      </c>
      <c r="R26" t="s">
        <v>695</v>
      </c>
      <c r="S26" t="s">
        <v>696</v>
      </c>
      <c r="T26" t="s">
        <v>47</v>
      </c>
      <c r="U26" t="s">
        <v>199</v>
      </c>
      <c r="V26" t="s">
        <v>49</v>
      </c>
      <c r="W26" t="s">
        <v>697</v>
      </c>
      <c r="X26" t="s">
        <v>51</v>
      </c>
      <c r="Y26" t="s">
        <v>698</v>
      </c>
      <c r="Z26" t="s">
        <v>698</v>
      </c>
      <c r="AA26" t="s">
        <v>702</v>
      </c>
      <c r="AB26" s="1">
        <f t="shared" si="0"/>
        <v>1</v>
      </c>
      <c r="AC26">
        <v>212.72</v>
      </c>
      <c r="AD26">
        <v>212.72</v>
      </c>
      <c r="AE26">
        <v>22.37</v>
      </c>
      <c r="AF26">
        <v>1.1000000000000001</v>
      </c>
      <c r="AG26">
        <v>236.19</v>
      </c>
      <c r="AH26">
        <v>0</v>
      </c>
      <c r="AI26">
        <v>236.19</v>
      </c>
      <c r="AJ26">
        <v>1.1809499999999999</v>
      </c>
      <c r="AK26" t="s">
        <v>54</v>
      </c>
      <c r="AL26">
        <v>44.16</v>
      </c>
      <c r="AM26" s="4">
        <f t="shared" si="1"/>
        <v>236.19</v>
      </c>
      <c r="AN26" s="4">
        <f t="shared" si="2"/>
        <v>398.85</v>
      </c>
      <c r="AO26" s="4">
        <f t="shared" si="3"/>
        <v>443.12235000000004</v>
      </c>
      <c r="AP26" s="4">
        <f t="shared" si="4"/>
        <v>646.09711500000003</v>
      </c>
      <c r="AQ26" s="10">
        <f t="shared" si="5"/>
        <v>410.75802900000002</v>
      </c>
      <c r="AR26" s="10">
        <f t="shared" si="6"/>
        <v>456.39324602190004</v>
      </c>
      <c r="AS26" s="10">
        <f t="shared" si="7"/>
        <v>639.46809954720004</v>
      </c>
    </row>
    <row r="27" spans="1:45" x14ac:dyDescent="0.3">
      <c r="A27">
        <v>2025</v>
      </c>
      <c r="B27">
        <v>5</v>
      </c>
      <c r="C27" t="s">
        <v>35</v>
      </c>
      <c r="D27">
        <v>10</v>
      </c>
      <c r="E27" t="s">
        <v>36</v>
      </c>
      <c r="F27" t="s">
        <v>37</v>
      </c>
      <c r="G27" t="s">
        <v>38</v>
      </c>
      <c r="H27" t="s">
        <v>101</v>
      </c>
      <c r="I27" t="s">
        <v>190</v>
      </c>
      <c r="J27" t="s">
        <v>40</v>
      </c>
      <c r="K27" t="s">
        <v>59</v>
      </c>
      <c r="M27">
        <v>442514</v>
      </c>
      <c r="N27" t="s">
        <v>693</v>
      </c>
      <c r="O27" t="s">
        <v>36</v>
      </c>
      <c r="P27" t="s">
        <v>694</v>
      </c>
      <c r="Q27" t="s">
        <v>44</v>
      </c>
      <c r="R27" t="s">
        <v>695</v>
      </c>
      <c r="S27" t="s">
        <v>696</v>
      </c>
      <c r="T27" t="s">
        <v>47</v>
      </c>
      <c r="U27" t="s">
        <v>199</v>
      </c>
      <c r="V27" t="s">
        <v>49</v>
      </c>
      <c r="W27" t="s">
        <v>697</v>
      </c>
      <c r="X27" t="s">
        <v>51</v>
      </c>
      <c r="Y27" t="s">
        <v>698</v>
      </c>
      <c r="Z27" t="s">
        <v>698</v>
      </c>
      <c r="AA27" t="s">
        <v>702</v>
      </c>
      <c r="AB27" s="1">
        <f t="shared" si="0"/>
        <v>1</v>
      </c>
      <c r="AC27">
        <v>212.72</v>
      </c>
      <c r="AD27">
        <v>212.72</v>
      </c>
      <c r="AE27">
        <v>22.37</v>
      </c>
      <c r="AF27">
        <v>1.1000000000000001</v>
      </c>
      <c r="AG27">
        <v>236.19</v>
      </c>
      <c r="AH27">
        <v>0</v>
      </c>
      <c r="AI27">
        <v>236.19</v>
      </c>
      <c r="AJ27">
        <v>1.1809499999999999</v>
      </c>
      <c r="AK27" t="s">
        <v>54</v>
      </c>
      <c r="AL27">
        <v>44.16</v>
      </c>
      <c r="AM27" s="4">
        <f t="shared" si="1"/>
        <v>236.19</v>
      </c>
      <c r="AN27" s="4">
        <f t="shared" si="2"/>
        <v>398.85</v>
      </c>
      <c r="AO27" s="4">
        <f t="shared" si="3"/>
        <v>443.12235000000004</v>
      </c>
      <c r="AP27" s="4">
        <f t="shared" si="4"/>
        <v>646.09711500000003</v>
      </c>
      <c r="AQ27" s="10">
        <f t="shared" si="5"/>
        <v>410.75802900000002</v>
      </c>
      <c r="AR27" s="10">
        <f t="shared" si="6"/>
        <v>456.39324602190004</v>
      </c>
      <c r="AS27" s="10">
        <f t="shared" si="7"/>
        <v>639.46809954720004</v>
      </c>
    </row>
    <row r="28" spans="1:45" x14ac:dyDescent="0.3">
      <c r="A28">
        <v>2025</v>
      </c>
      <c r="B28">
        <v>5</v>
      </c>
      <c r="C28" t="s">
        <v>35</v>
      </c>
      <c r="D28">
        <v>10</v>
      </c>
      <c r="E28" t="s">
        <v>36</v>
      </c>
      <c r="F28" t="s">
        <v>37</v>
      </c>
      <c r="G28" t="s">
        <v>38</v>
      </c>
      <c r="H28" t="s">
        <v>101</v>
      </c>
      <c r="I28" t="s">
        <v>190</v>
      </c>
      <c r="J28" t="s">
        <v>40</v>
      </c>
      <c r="K28" t="s">
        <v>59</v>
      </c>
      <c r="M28">
        <v>442514</v>
      </c>
      <c r="N28" t="s">
        <v>693</v>
      </c>
      <c r="O28" t="s">
        <v>36</v>
      </c>
      <c r="P28" t="s">
        <v>694</v>
      </c>
      <c r="Q28" t="s">
        <v>44</v>
      </c>
      <c r="R28" t="s">
        <v>695</v>
      </c>
      <c r="S28" t="s">
        <v>696</v>
      </c>
      <c r="T28" t="s">
        <v>47</v>
      </c>
      <c r="U28" t="s">
        <v>199</v>
      </c>
      <c r="V28" t="s">
        <v>49</v>
      </c>
      <c r="W28" t="s">
        <v>697</v>
      </c>
      <c r="X28" t="s">
        <v>51</v>
      </c>
      <c r="Y28" t="s">
        <v>698</v>
      </c>
      <c r="Z28" t="s">
        <v>698</v>
      </c>
      <c r="AA28" t="s">
        <v>702</v>
      </c>
      <c r="AB28" s="1">
        <f t="shared" si="0"/>
        <v>1</v>
      </c>
      <c r="AC28">
        <v>212.72</v>
      </c>
      <c r="AD28">
        <v>212.72</v>
      </c>
      <c r="AE28">
        <v>22.37</v>
      </c>
      <c r="AF28">
        <v>1.1000000000000001</v>
      </c>
      <c r="AG28">
        <v>236.19</v>
      </c>
      <c r="AH28">
        <v>0</v>
      </c>
      <c r="AI28">
        <v>236.19</v>
      </c>
      <c r="AJ28">
        <v>1.1809499999999999</v>
      </c>
      <c r="AK28" t="s">
        <v>54</v>
      </c>
      <c r="AL28">
        <v>44.16</v>
      </c>
      <c r="AM28" s="4">
        <f t="shared" si="1"/>
        <v>236.19</v>
      </c>
      <c r="AN28" s="4">
        <f t="shared" si="2"/>
        <v>398.85</v>
      </c>
      <c r="AO28" s="4">
        <f t="shared" si="3"/>
        <v>443.12235000000004</v>
      </c>
      <c r="AP28" s="4">
        <f t="shared" si="4"/>
        <v>646.09711500000003</v>
      </c>
      <c r="AQ28" s="10">
        <f t="shared" si="5"/>
        <v>410.75802900000002</v>
      </c>
      <c r="AR28" s="10">
        <f t="shared" si="6"/>
        <v>456.39324602190004</v>
      </c>
      <c r="AS28" s="10">
        <f t="shared" si="7"/>
        <v>639.46809954720004</v>
      </c>
    </row>
    <row r="29" spans="1:45" x14ac:dyDescent="0.3">
      <c r="A29">
        <v>2025</v>
      </c>
      <c r="B29">
        <v>5</v>
      </c>
      <c r="C29" t="s">
        <v>35</v>
      </c>
      <c r="D29">
        <v>10</v>
      </c>
      <c r="E29" t="s">
        <v>36</v>
      </c>
      <c r="F29" t="s">
        <v>37</v>
      </c>
      <c r="G29" t="s">
        <v>38</v>
      </c>
      <c r="H29" t="s">
        <v>101</v>
      </c>
      <c r="I29" t="s">
        <v>190</v>
      </c>
      <c r="J29" t="s">
        <v>40</v>
      </c>
      <c r="K29" t="s">
        <v>59</v>
      </c>
      <c r="M29">
        <v>442514</v>
      </c>
      <c r="N29" t="s">
        <v>693</v>
      </c>
      <c r="O29" t="s">
        <v>36</v>
      </c>
      <c r="P29" t="s">
        <v>694</v>
      </c>
      <c r="Q29" t="s">
        <v>44</v>
      </c>
      <c r="R29" t="s">
        <v>695</v>
      </c>
      <c r="S29" t="s">
        <v>696</v>
      </c>
      <c r="T29" t="s">
        <v>47</v>
      </c>
      <c r="U29" t="s">
        <v>199</v>
      </c>
      <c r="V29" t="s">
        <v>49</v>
      </c>
      <c r="W29" t="s">
        <v>697</v>
      </c>
      <c r="X29" t="s">
        <v>51</v>
      </c>
      <c r="Y29" t="s">
        <v>698</v>
      </c>
      <c r="Z29" t="s">
        <v>698</v>
      </c>
      <c r="AA29" t="s">
        <v>702</v>
      </c>
      <c r="AB29" s="1">
        <f t="shared" si="0"/>
        <v>1</v>
      </c>
      <c r="AC29">
        <v>212.72</v>
      </c>
      <c r="AD29">
        <v>212.72</v>
      </c>
      <c r="AE29">
        <v>22.37</v>
      </c>
      <c r="AF29">
        <v>1.1000000000000001</v>
      </c>
      <c r="AG29">
        <v>236.19</v>
      </c>
      <c r="AH29">
        <v>0</v>
      </c>
      <c r="AI29">
        <v>236.19</v>
      </c>
      <c r="AJ29">
        <v>1.1809499999999999</v>
      </c>
      <c r="AK29" t="s">
        <v>54</v>
      </c>
      <c r="AL29">
        <v>44.16</v>
      </c>
      <c r="AM29" s="4">
        <f t="shared" si="1"/>
        <v>236.19</v>
      </c>
      <c r="AN29" s="4">
        <f t="shared" si="2"/>
        <v>398.85</v>
      </c>
      <c r="AO29" s="4">
        <f t="shared" si="3"/>
        <v>443.12235000000004</v>
      </c>
      <c r="AP29" s="4">
        <f t="shared" si="4"/>
        <v>646.09711500000003</v>
      </c>
      <c r="AQ29" s="10">
        <f t="shared" si="5"/>
        <v>410.75802900000002</v>
      </c>
      <c r="AR29" s="10">
        <f t="shared" si="6"/>
        <v>456.39324602190004</v>
      </c>
      <c r="AS29" s="10">
        <f t="shared" si="7"/>
        <v>639.46809954720004</v>
      </c>
    </row>
    <row r="30" spans="1:45" x14ac:dyDescent="0.3">
      <c r="A30">
        <v>2025</v>
      </c>
      <c r="B30">
        <v>5</v>
      </c>
      <c r="C30" t="s">
        <v>35</v>
      </c>
      <c r="D30">
        <v>10</v>
      </c>
      <c r="E30" t="s">
        <v>36</v>
      </c>
      <c r="F30" t="s">
        <v>37</v>
      </c>
      <c r="G30" t="s">
        <v>38</v>
      </c>
      <c r="H30" t="s">
        <v>101</v>
      </c>
      <c r="I30" t="s">
        <v>190</v>
      </c>
      <c r="J30" t="s">
        <v>40</v>
      </c>
      <c r="K30" t="s">
        <v>59</v>
      </c>
      <c r="M30">
        <v>442514</v>
      </c>
      <c r="N30" t="s">
        <v>693</v>
      </c>
      <c r="O30" t="s">
        <v>36</v>
      </c>
      <c r="P30" t="s">
        <v>694</v>
      </c>
      <c r="Q30" t="s">
        <v>44</v>
      </c>
      <c r="R30" t="s">
        <v>695</v>
      </c>
      <c r="S30" t="s">
        <v>696</v>
      </c>
      <c r="T30" t="s">
        <v>47</v>
      </c>
      <c r="U30" t="s">
        <v>199</v>
      </c>
      <c r="V30" t="s">
        <v>49</v>
      </c>
      <c r="W30" t="s">
        <v>697</v>
      </c>
      <c r="X30" t="s">
        <v>51</v>
      </c>
      <c r="Y30" t="s">
        <v>698</v>
      </c>
      <c r="Z30" t="s">
        <v>698</v>
      </c>
      <c r="AA30" t="s">
        <v>702</v>
      </c>
      <c r="AB30" s="1">
        <f t="shared" si="0"/>
        <v>1</v>
      </c>
      <c r="AC30">
        <v>212.72</v>
      </c>
      <c r="AD30">
        <v>212.72</v>
      </c>
      <c r="AE30">
        <v>22.37</v>
      </c>
      <c r="AF30">
        <v>1.1000000000000001</v>
      </c>
      <c r="AG30">
        <v>236.19</v>
      </c>
      <c r="AH30">
        <v>0</v>
      </c>
      <c r="AI30">
        <v>236.19</v>
      </c>
      <c r="AJ30">
        <v>1.1809499999999999</v>
      </c>
      <c r="AK30" t="s">
        <v>54</v>
      </c>
      <c r="AL30">
        <v>44.16</v>
      </c>
      <c r="AM30" s="4">
        <f t="shared" si="1"/>
        <v>236.19</v>
      </c>
      <c r="AN30" s="4">
        <f t="shared" si="2"/>
        <v>398.85</v>
      </c>
      <c r="AO30" s="4">
        <f t="shared" si="3"/>
        <v>443.12235000000004</v>
      </c>
      <c r="AP30" s="4">
        <f t="shared" si="4"/>
        <v>646.09711500000003</v>
      </c>
      <c r="AQ30" s="10">
        <f t="shared" si="5"/>
        <v>410.75802900000002</v>
      </c>
      <c r="AR30" s="10">
        <f t="shared" si="6"/>
        <v>456.39324602190004</v>
      </c>
      <c r="AS30" s="10">
        <f t="shared" si="7"/>
        <v>639.46809954720004</v>
      </c>
    </row>
    <row r="31" spans="1:45" x14ac:dyDescent="0.3">
      <c r="A31">
        <v>2025</v>
      </c>
      <c r="B31">
        <v>5</v>
      </c>
      <c r="C31" t="s">
        <v>35</v>
      </c>
      <c r="D31">
        <v>10</v>
      </c>
      <c r="E31" t="s">
        <v>36</v>
      </c>
      <c r="F31" t="s">
        <v>37</v>
      </c>
      <c r="G31" t="s">
        <v>38</v>
      </c>
      <c r="H31" t="s">
        <v>101</v>
      </c>
      <c r="I31" t="s">
        <v>190</v>
      </c>
      <c r="J31" t="s">
        <v>40</v>
      </c>
      <c r="K31" t="s">
        <v>59</v>
      </c>
      <c r="M31">
        <v>442514</v>
      </c>
      <c r="N31" t="s">
        <v>693</v>
      </c>
      <c r="O31" t="s">
        <v>36</v>
      </c>
      <c r="P31" t="s">
        <v>694</v>
      </c>
      <c r="Q31" t="s">
        <v>44</v>
      </c>
      <c r="R31" t="s">
        <v>695</v>
      </c>
      <c r="S31" t="s">
        <v>696</v>
      </c>
      <c r="T31" t="s">
        <v>47</v>
      </c>
      <c r="U31" t="s">
        <v>199</v>
      </c>
      <c r="V31" t="s">
        <v>49</v>
      </c>
      <c r="W31" t="s">
        <v>697</v>
      </c>
      <c r="X31" t="s">
        <v>51</v>
      </c>
      <c r="Y31" t="s">
        <v>698</v>
      </c>
      <c r="Z31" t="s">
        <v>698</v>
      </c>
      <c r="AA31" t="s">
        <v>702</v>
      </c>
      <c r="AB31" s="1">
        <f t="shared" si="0"/>
        <v>1</v>
      </c>
      <c r="AC31">
        <v>212.72</v>
      </c>
      <c r="AD31">
        <v>212.72</v>
      </c>
      <c r="AE31">
        <v>22.37</v>
      </c>
      <c r="AF31">
        <v>1.1000000000000001</v>
      </c>
      <c r="AG31">
        <v>236.19</v>
      </c>
      <c r="AH31">
        <v>0</v>
      </c>
      <c r="AI31">
        <v>236.19</v>
      </c>
      <c r="AJ31">
        <v>1.1809499999999999</v>
      </c>
      <c r="AK31" t="s">
        <v>54</v>
      </c>
      <c r="AL31">
        <v>44.16</v>
      </c>
      <c r="AM31" s="4">
        <f t="shared" si="1"/>
        <v>236.19</v>
      </c>
      <c r="AN31" s="4">
        <f t="shared" si="2"/>
        <v>398.85</v>
      </c>
      <c r="AO31" s="4">
        <f t="shared" si="3"/>
        <v>443.12235000000004</v>
      </c>
      <c r="AP31" s="4">
        <f t="shared" si="4"/>
        <v>646.09711500000003</v>
      </c>
      <c r="AQ31" s="10">
        <f t="shared" si="5"/>
        <v>410.75802900000002</v>
      </c>
      <c r="AR31" s="10">
        <f t="shared" si="6"/>
        <v>456.39324602190004</v>
      </c>
      <c r="AS31" s="10">
        <f t="shared" si="7"/>
        <v>639.46809954720004</v>
      </c>
    </row>
    <row r="32" spans="1:45" x14ac:dyDescent="0.3">
      <c r="A32">
        <v>2025</v>
      </c>
      <c r="B32">
        <v>5</v>
      </c>
      <c r="C32" t="s">
        <v>35</v>
      </c>
      <c r="D32">
        <v>10</v>
      </c>
      <c r="E32" t="s">
        <v>36</v>
      </c>
      <c r="F32" t="s">
        <v>37</v>
      </c>
      <c r="G32" t="s">
        <v>38</v>
      </c>
      <c r="H32" t="s">
        <v>101</v>
      </c>
      <c r="I32" t="s">
        <v>190</v>
      </c>
      <c r="J32" t="s">
        <v>40</v>
      </c>
      <c r="K32" t="s">
        <v>59</v>
      </c>
      <c r="M32">
        <v>442514</v>
      </c>
      <c r="N32" t="s">
        <v>693</v>
      </c>
      <c r="O32" t="s">
        <v>36</v>
      </c>
      <c r="P32" t="s">
        <v>694</v>
      </c>
      <c r="Q32" t="s">
        <v>44</v>
      </c>
      <c r="R32" t="s">
        <v>695</v>
      </c>
      <c r="S32" t="s">
        <v>696</v>
      </c>
      <c r="T32" t="s">
        <v>47</v>
      </c>
      <c r="U32" t="s">
        <v>199</v>
      </c>
      <c r="V32" t="s">
        <v>49</v>
      </c>
      <c r="W32" t="s">
        <v>697</v>
      </c>
      <c r="X32" t="s">
        <v>51</v>
      </c>
      <c r="Y32" t="s">
        <v>698</v>
      </c>
      <c r="Z32" t="s">
        <v>698</v>
      </c>
      <c r="AA32" t="s">
        <v>702</v>
      </c>
      <c r="AB32" s="1">
        <f t="shared" si="0"/>
        <v>1</v>
      </c>
      <c r="AC32">
        <v>212.72</v>
      </c>
      <c r="AD32">
        <v>212.72</v>
      </c>
      <c r="AE32">
        <v>22.37</v>
      </c>
      <c r="AF32">
        <v>1.1000000000000001</v>
      </c>
      <c r="AG32">
        <v>236.19</v>
      </c>
      <c r="AH32">
        <v>0</v>
      </c>
      <c r="AI32">
        <v>236.19</v>
      </c>
      <c r="AJ32">
        <v>1.1809499999999999</v>
      </c>
      <c r="AK32" t="s">
        <v>54</v>
      </c>
      <c r="AL32">
        <v>44.16</v>
      </c>
      <c r="AM32" s="4">
        <f t="shared" si="1"/>
        <v>236.19</v>
      </c>
      <c r="AN32" s="4">
        <f t="shared" si="2"/>
        <v>398.85</v>
      </c>
      <c r="AO32" s="4">
        <f t="shared" si="3"/>
        <v>443.12235000000004</v>
      </c>
      <c r="AP32" s="4">
        <f t="shared" si="4"/>
        <v>646.09711500000003</v>
      </c>
      <c r="AQ32" s="10">
        <f t="shared" si="5"/>
        <v>410.75802900000002</v>
      </c>
      <c r="AR32" s="10">
        <f t="shared" si="6"/>
        <v>456.39324602190004</v>
      </c>
      <c r="AS32" s="10">
        <f t="shared" si="7"/>
        <v>639.46809954720004</v>
      </c>
    </row>
    <row r="33" spans="1:45" x14ac:dyDescent="0.3">
      <c r="A33">
        <v>2025</v>
      </c>
      <c r="B33">
        <v>5</v>
      </c>
      <c r="C33" t="s">
        <v>35</v>
      </c>
      <c r="D33">
        <v>10</v>
      </c>
      <c r="E33" t="s">
        <v>36</v>
      </c>
      <c r="F33" t="s">
        <v>37</v>
      </c>
      <c r="G33" t="s">
        <v>38</v>
      </c>
      <c r="H33" t="s">
        <v>101</v>
      </c>
      <c r="I33" t="s">
        <v>190</v>
      </c>
      <c r="J33" t="s">
        <v>40</v>
      </c>
      <c r="K33" t="s">
        <v>59</v>
      </c>
      <c r="M33">
        <v>442514</v>
      </c>
      <c r="N33" t="s">
        <v>693</v>
      </c>
      <c r="O33" t="s">
        <v>36</v>
      </c>
      <c r="P33" t="s">
        <v>694</v>
      </c>
      <c r="Q33" t="s">
        <v>44</v>
      </c>
      <c r="R33" t="s">
        <v>695</v>
      </c>
      <c r="S33" t="s">
        <v>696</v>
      </c>
      <c r="T33" t="s">
        <v>47</v>
      </c>
      <c r="U33" t="s">
        <v>199</v>
      </c>
      <c r="V33" t="s">
        <v>49</v>
      </c>
      <c r="W33" t="s">
        <v>697</v>
      </c>
      <c r="X33" t="s">
        <v>51</v>
      </c>
      <c r="Y33" t="s">
        <v>698</v>
      </c>
      <c r="Z33" t="s">
        <v>698</v>
      </c>
      <c r="AA33" t="s">
        <v>702</v>
      </c>
      <c r="AB33" s="1">
        <f t="shared" si="0"/>
        <v>1</v>
      </c>
      <c r="AC33">
        <v>212.72</v>
      </c>
      <c r="AD33">
        <v>212.72</v>
      </c>
      <c r="AE33">
        <v>22.37</v>
      </c>
      <c r="AF33">
        <v>1.1000000000000001</v>
      </c>
      <c r="AG33">
        <v>236.19</v>
      </c>
      <c r="AH33">
        <v>0</v>
      </c>
      <c r="AI33">
        <v>236.19</v>
      </c>
      <c r="AJ33">
        <v>1.1809499999999999</v>
      </c>
      <c r="AK33" t="s">
        <v>54</v>
      </c>
      <c r="AL33">
        <v>44.16</v>
      </c>
      <c r="AM33" s="4">
        <f t="shared" si="1"/>
        <v>236.19</v>
      </c>
      <c r="AN33" s="4">
        <f t="shared" si="2"/>
        <v>398.85</v>
      </c>
      <c r="AO33" s="4">
        <f t="shared" si="3"/>
        <v>443.12235000000004</v>
      </c>
      <c r="AP33" s="4">
        <f t="shared" si="4"/>
        <v>646.09711500000003</v>
      </c>
      <c r="AQ33" s="10">
        <f t="shared" si="5"/>
        <v>410.75802900000002</v>
      </c>
      <c r="AR33" s="10">
        <f t="shared" si="6"/>
        <v>456.39324602190004</v>
      </c>
      <c r="AS33" s="10">
        <f t="shared" si="7"/>
        <v>639.46809954720004</v>
      </c>
    </row>
    <row r="34" spans="1:45" x14ac:dyDescent="0.3">
      <c r="A34">
        <v>2025</v>
      </c>
      <c r="B34">
        <v>5</v>
      </c>
      <c r="C34" t="s">
        <v>35</v>
      </c>
      <c r="D34">
        <v>10</v>
      </c>
      <c r="E34" t="s">
        <v>36</v>
      </c>
      <c r="F34" t="s">
        <v>37</v>
      </c>
      <c r="G34" t="s">
        <v>38</v>
      </c>
      <c r="H34" t="s">
        <v>101</v>
      </c>
      <c r="I34" t="s">
        <v>190</v>
      </c>
      <c r="J34" t="s">
        <v>40</v>
      </c>
      <c r="K34" t="s">
        <v>59</v>
      </c>
      <c r="M34">
        <v>442514</v>
      </c>
      <c r="N34" t="s">
        <v>693</v>
      </c>
      <c r="O34" t="s">
        <v>36</v>
      </c>
      <c r="P34" t="s">
        <v>694</v>
      </c>
      <c r="Q34" t="s">
        <v>44</v>
      </c>
      <c r="R34" t="s">
        <v>695</v>
      </c>
      <c r="S34" t="s">
        <v>696</v>
      </c>
      <c r="T34" t="s">
        <v>47</v>
      </c>
      <c r="U34" t="s">
        <v>199</v>
      </c>
      <c r="V34" t="s">
        <v>49</v>
      </c>
      <c r="W34" t="s">
        <v>697</v>
      </c>
      <c r="X34" t="s">
        <v>51</v>
      </c>
      <c r="Y34" t="s">
        <v>698</v>
      </c>
      <c r="Z34" t="s">
        <v>698</v>
      </c>
      <c r="AA34" t="s">
        <v>702</v>
      </c>
      <c r="AB34" s="1">
        <f t="shared" si="0"/>
        <v>1</v>
      </c>
      <c r="AC34">
        <v>212.72</v>
      </c>
      <c r="AD34">
        <v>212.72</v>
      </c>
      <c r="AE34">
        <v>22.37</v>
      </c>
      <c r="AF34">
        <v>1.1000000000000001</v>
      </c>
      <c r="AG34">
        <v>236.19</v>
      </c>
      <c r="AH34">
        <v>0</v>
      </c>
      <c r="AI34">
        <v>236.19</v>
      </c>
      <c r="AJ34">
        <v>1.1809499999999999</v>
      </c>
      <c r="AK34" t="s">
        <v>54</v>
      </c>
      <c r="AL34">
        <v>44.16</v>
      </c>
      <c r="AM34" s="4">
        <f t="shared" si="1"/>
        <v>236.19</v>
      </c>
      <c r="AN34" s="4">
        <f t="shared" si="2"/>
        <v>398.85</v>
      </c>
      <c r="AO34" s="4">
        <f t="shared" si="3"/>
        <v>443.12235000000004</v>
      </c>
      <c r="AP34" s="4">
        <f t="shared" si="4"/>
        <v>646.09711500000003</v>
      </c>
      <c r="AQ34" s="10">
        <f t="shared" si="5"/>
        <v>410.75802900000002</v>
      </c>
      <c r="AR34" s="10">
        <f t="shared" si="6"/>
        <v>456.39324602190004</v>
      </c>
      <c r="AS34" s="10">
        <f t="shared" si="7"/>
        <v>639.46809954720004</v>
      </c>
    </row>
    <row r="35" spans="1:45" x14ac:dyDescent="0.3">
      <c r="A35">
        <v>2025</v>
      </c>
      <c r="B35">
        <v>5</v>
      </c>
      <c r="C35" t="s">
        <v>35</v>
      </c>
      <c r="D35">
        <v>10</v>
      </c>
      <c r="E35" t="s">
        <v>36</v>
      </c>
      <c r="F35" t="s">
        <v>37</v>
      </c>
      <c r="G35" t="s">
        <v>38</v>
      </c>
      <c r="H35" t="s">
        <v>101</v>
      </c>
      <c r="I35" t="s">
        <v>190</v>
      </c>
      <c r="J35" t="s">
        <v>40</v>
      </c>
      <c r="K35" t="s">
        <v>59</v>
      </c>
      <c r="M35">
        <v>442514</v>
      </c>
      <c r="N35" t="s">
        <v>693</v>
      </c>
      <c r="O35" t="s">
        <v>36</v>
      </c>
      <c r="P35" t="s">
        <v>694</v>
      </c>
      <c r="Q35" t="s">
        <v>44</v>
      </c>
      <c r="R35" t="s">
        <v>695</v>
      </c>
      <c r="S35" t="s">
        <v>696</v>
      </c>
      <c r="T35" t="s">
        <v>47</v>
      </c>
      <c r="U35" t="s">
        <v>199</v>
      </c>
      <c r="V35" t="s">
        <v>49</v>
      </c>
      <c r="W35" t="s">
        <v>697</v>
      </c>
      <c r="X35" t="s">
        <v>51</v>
      </c>
      <c r="Y35" t="s">
        <v>698</v>
      </c>
      <c r="Z35" t="s">
        <v>698</v>
      </c>
      <c r="AA35" t="s">
        <v>702</v>
      </c>
      <c r="AB35" s="1">
        <f t="shared" si="0"/>
        <v>1</v>
      </c>
      <c r="AC35">
        <v>212.72</v>
      </c>
      <c r="AD35">
        <v>212.72</v>
      </c>
      <c r="AE35">
        <v>22.37</v>
      </c>
      <c r="AF35">
        <v>1.1000000000000001</v>
      </c>
      <c r="AG35">
        <v>236.19</v>
      </c>
      <c r="AH35">
        <v>0</v>
      </c>
      <c r="AI35">
        <v>236.19</v>
      </c>
      <c r="AJ35">
        <v>1.1809499999999999</v>
      </c>
      <c r="AK35" t="s">
        <v>54</v>
      </c>
      <c r="AL35">
        <v>44.16</v>
      </c>
      <c r="AM35" s="4">
        <f t="shared" si="1"/>
        <v>236.19</v>
      </c>
      <c r="AN35" s="4">
        <f t="shared" si="2"/>
        <v>398.85</v>
      </c>
      <c r="AO35" s="4">
        <f t="shared" si="3"/>
        <v>443.12235000000004</v>
      </c>
      <c r="AP35" s="4">
        <f t="shared" si="4"/>
        <v>646.09711500000003</v>
      </c>
      <c r="AQ35" s="10">
        <f t="shared" si="5"/>
        <v>410.75802900000002</v>
      </c>
      <c r="AR35" s="10">
        <f t="shared" si="6"/>
        <v>456.39324602190004</v>
      </c>
      <c r="AS35" s="10">
        <f t="shared" si="7"/>
        <v>639.46809954720004</v>
      </c>
    </row>
    <row r="36" spans="1:45" x14ac:dyDescent="0.3">
      <c r="A36">
        <v>2025</v>
      </c>
      <c r="B36">
        <v>8</v>
      </c>
      <c r="C36" t="s">
        <v>35</v>
      </c>
      <c r="D36">
        <v>10</v>
      </c>
      <c r="E36" t="s">
        <v>36</v>
      </c>
      <c r="F36" t="s">
        <v>37</v>
      </c>
      <c r="G36" t="s">
        <v>38</v>
      </c>
      <c r="H36" t="s">
        <v>101</v>
      </c>
      <c r="I36" t="s">
        <v>190</v>
      </c>
      <c r="J36" t="s">
        <v>40</v>
      </c>
      <c r="K36" t="s">
        <v>59</v>
      </c>
      <c r="L36" t="s">
        <v>1292</v>
      </c>
      <c r="M36">
        <v>454450</v>
      </c>
      <c r="N36" t="s">
        <v>42</v>
      </c>
      <c r="O36" t="s">
        <v>1197</v>
      </c>
      <c r="P36" t="s">
        <v>191</v>
      </c>
      <c r="Q36" t="s">
        <v>44</v>
      </c>
      <c r="R36" t="s">
        <v>1035</v>
      </c>
      <c r="S36" t="s">
        <v>1198</v>
      </c>
      <c r="T36" t="s">
        <v>47</v>
      </c>
      <c r="U36" t="s">
        <v>199</v>
      </c>
      <c r="V36" t="s">
        <v>49</v>
      </c>
      <c r="W36" t="s">
        <v>697</v>
      </c>
      <c r="X36" t="s">
        <v>388</v>
      </c>
      <c r="Y36" t="s">
        <v>698</v>
      </c>
      <c r="Z36" t="s">
        <v>698</v>
      </c>
      <c r="AA36" t="s">
        <v>702</v>
      </c>
      <c r="AB36" s="1">
        <f t="shared" si="0"/>
        <v>1</v>
      </c>
      <c r="AC36">
        <v>213</v>
      </c>
      <c r="AD36">
        <v>213</v>
      </c>
      <c r="AE36">
        <v>22.4</v>
      </c>
      <c r="AF36">
        <v>1.1000000000000001</v>
      </c>
      <c r="AG36">
        <v>236.5</v>
      </c>
      <c r="AH36">
        <v>0</v>
      </c>
      <c r="AI36">
        <v>236.5</v>
      </c>
      <c r="AJ36">
        <v>1.1825000000000001</v>
      </c>
      <c r="AK36" t="s">
        <v>54</v>
      </c>
      <c r="AL36">
        <v>44.39</v>
      </c>
      <c r="AM36" s="4">
        <f t="shared" si="1"/>
        <v>236.5</v>
      </c>
      <c r="AN36" s="4">
        <f t="shared" si="2"/>
        <v>399.375</v>
      </c>
      <c r="AO36" s="4">
        <f t="shared" si="3"/>
        <v>443.705625</v>
      </c>
      <c r="AP36" s="4">
        <f t="shared" si="4"/>
        <v>646.9475625</v>
      </c>
      <c r="AQ36" s="10">
        <f t="shared" si="5"/>
        <v>411.29715000000004</v>
      </c>
      <c r="AR36" s="10">
        <f t="shared" si="6"/>
        <v>456.99226336500004</v>
      </c>
      <c r="AS36" s="10">
        <f t="shared" si="7"/>
        <v>640.30740312</v>
      </c>
    </row>
    <row r="37" spans="1:45" x14ac:dyDescent="0.3">
      <c r="A37">
        <v>2025</v>
      </c>
      <c r="B37">
        <v>9</v>
      </c>
      <c r="C37" t="s">
        <v>35</v>
      </c>
      <c r="D37">
        <v>10</v>
      </c>
      <c r="E37" t="s">
        <v>36</v>
      </c>
      <c r="F37" t="s">
        <v>37</v>
      </c>
      <c r="G37" t="s">
        <v>38</v>
      </c>
      <c r="H37" t="s">
        <v>101</v>
      </c>
      <c r="I37" t="s">
        <v>190</v>
      </c>
      <c r="J37" t="s">
        <v>40</v>
      </c>
      <c r="K37" t="s">
        <v>59</v>
      </c>
      <c r="L37" t="s">
        <v>1495</v>
      </c>
      <c r="M37">
        <v>457514</v>
      </c>
      <c r="N37" t="s">
        <v>42</v>
      </c>
      <c r="O37" t="s">
        <v>1197</v>
      </c>
      <c r="Q37" t="s">
        <v>44</v>
      </c>
      <c r="R37" t="s">
        <v>1496</v>
      </c>
      <c r="S37" t="s">
        <v>1488</v>
      </c>
      <c r="T37" t="s">
        <v>47</v>
      </c>
      <c r="U37" t="s">
        <v>199</v>
      </c>
      <c r="V37" t="s">
        <v>49</v>
      </c>
      <c r="W37" t="s">
        <v>697</v>
      </c>
      <c r="X37" t="s">
        <v>388</v>
      </c>
      <c r="Y37" t="s">
        <v>698</v>
      </c>
      <c r="Z37" t="s">
        <v>698</v>
      </c>
      <c r="AA37" t="s">
        <v>702</v>
      </c>
      <c r="AB37" s="1">
        <f t="shared" si="0"/>
        <v>1</v>
      </c>
      <c r="AC37">
        <v>156.57</v>
      </c>
      <c r="AD37">
        <v>156.57</v>
      </c>
      <c r="AE37">
        <v>25.82</v>
      </c>
      <c r="AF37">
        <v>1.1100000000000001</v>
      </c>
      <c r="AG37">
        <v>183.5</v>
      </c>
      <c r="AH37">
        <v>0</v>
      </c>
      <c r="AI37">
        <v>183.5</v>
      </c>
      <c r="AJ37">
        <v>0.91749999999999998</v>
      </c>
      <c r="AK37" t="s">
        <v>54</v>
      </c>
      <c r="AL37">
        <v>155.66999999999999</v>
      </c>
      <c r="AM37" s="4">
        <f t="shared" si="1"/>
        <v>183.5</v>
      </c>
      <c r="AN37" s="4">
        <f t="shared" si="2"/>
        <v>293.56874999999997</v>
      </c>
      <c r="AO37" s="4">
        <f t="shared" si="3"/>
        <v>326.15488124999996</v>
      </c>
      <c r="AP37" s="4">
        <f t="shared" si="4"/>
        <v>475.5520181249999</v>
      </c>
      <c r="AQ37" s="10">
        <f t="shared" si="5"/>
        <v>319.12485000000004</v>
      </c>
      <c r="AR37" s="10">
        <f t="shared" si="6"/>
        <v>354.57962083500001</v>
      </c>
      <c r="AS37" s="10">
        <f t="shared" si="7"/>
        <v>496.81356648000002</v>
      </c>
    </row>
    <row r="38" spans="1:45" x14ac:dyDescent="0.3">
      <c r="A38">
        <v>2025</v>
      </c>
      <c r="B38">
        <v>5</v>
      </c>
      <c r="C38" t="s">
        <v>35</v>
      </c>
      <c r="D38">
        <v>10</v>
      </c>
      <c r="E38" t="s">
        <v>36</v>
      </c>
      <c r="F38" t="s">
        <v>37</v>
      </c>
      <c r="G38" t="s">
        <v>38</v>
      </c>
      <c r="H38" t="s">
        <v>101</v>
      </c>
      <c r="I38" t="s">
        <v>190</v>
      </c>
      <c r="J38" t="s">
        <v>40</v>
      </c>
      <c r="K38" t="s">
        <v>59</v>
      </c>
      <c r="M38">
        <v>442514</v>
      </c>
      <c r="N38" t="s">
        <v>693</v>
      </c>
      <c r="O38" t="s">
        <v>36</v>
      </c>
      <c r="P38" t="s">
        <v>694</v>
      </c>
      <c r="Q38" t="s">
        <v>44</v>
      </c>
      <c r="R38" t="s">
        <v>695</v>
      </c>
      <c r="S38" t="s">
        <v>696</v>
      </c>
      <c r="T38" t="s">
        <v>47</v>
      </c>
      <c r="U38" t="s">
        <v>199</v>
      </c>
      <c r="V38" t="s">
        <v>49</v>
      </c>
      <c r="W38" t="s">
        <v>697</v>
      </c>
      <c r="X38" t="s">
        <v>51</v>
      </c>
      <c r="Y38" t="s">
        <v>460</v>
      </c>
      <c r="Z38" t="s">
        <v>460</v>
      </c>
      <c r="AA38" t="s">
        <v>702</v>
      </c>
      <c r="AB38" s="1">
        <f t="shared" si="0"/>
        <v>1</v>
      </c>
      <c r="AC38">
        <v>155.41999999999999</v>
      </c>
      <c r="AD38">
        <v>155.41999999999999</v>
      </c>
      <c r="AE38">
        <v>28.49</v>
      </c>
      <c r="AF38">
        <v>1.1499999999999999</v>
      </c>
      <c r="AG38">
        <v>185.7</v>
      </c>
      <c r="AH38">
        <v>0</v>
      </c>
      <c r="AI38">
        <v>185.7</v>
      </c>
      <c r="AJ38">
        <v>0.92849999999999999</v>
      </c>
      <c r="AK38" t="s">
        <v>54</v>
      </c>
      <c r="AL38">
        <v>6.34</v>
      </c>
      <c r="AM38" s="4">
        <f t="shared" si="1"/>
        <v>185.7</v>
      </c>
      <c r="AN38" s="4">
        <f t="shared" si="2"/>
        <v>291.41249999999997</v>
      </c>
      <c r="AO38" s="4">
        <f t="shared" si="3"/>
        <v>323.75928749999997</v>
      </c>
      <c r="AP38" s="4">
        <f t="shared" si="4"/>
        <v>472.05910874999989</v>
      </c>
      <c r="AQ38" s="10">
        <f t="shared" si="5"/>
        <v>322.95087000000001</v>
      </c>
      <c r="AR38" s="10">
        <f t="shared" si="6"/>
        <v>358.83071165699999</v>
      </c>
      <c r="AS38" s="10">
        <f t="shared" si="7"/>
        <v>502.76991441600001</v>
      </c>
    </row>
    <row r="39" spans="1:45" x14ac:dyDescent="0.3">
      <c r="A39">
        <v>2025</v>
      </c>
      <c r="B39">
        <v>5</v>
      </c>
      <c r="C39" t="s">
        <v>35</v>
      </c>
      <c r="D39">
        <v>10</v>
      </c>
      <c r="E39" t="s">
        <v>36</v>
      </c>
      <c r="F39" t="s">
        <v>37</v>
      </c>
      <c r="G39" t="s">
        <v>38</v>
      </c>
      <c r="H39" t="s">
        <v>101</v>
      </c>
      <c r="I39" t="s">
        <v>190</v>
      </c>
      <c r="J39" t="s">
        <v>40</v>
      </c>
      <c r="K39" t="s">
        <v>59</v>
      </c>
      <c r="M39">
        <v>442514</v>
      </c>
      <c r="N39" t="s">
        <v>693</v>
      </c>
      <c r="O39" t="s">
        <v>36</v>
      </c>
      <c r="P39" t="s">
        <v>694</v>
      </c>
      <c r="Q39" t="s">
        <v>44</v>
      </c>
      <c r="R39" t="s">
        <v>695</v>
      </c>
      <c r="S39" t="s">
        <v>696</v>
      </c>
      <c r="T39" t="s">
        <v>47</v>
      </c>
      <c r="U39" t="s">
        <v>199</v>
      </c>
      <c r="V39" t="s">
        <v>49</v>
      </c>
      <c r="W39" t="s">
        <v>697</v>
      </c>
      <c r="X39" t="s">
        <v>51</v>
      </c>
      <c r="Y39" t="s">
        <v>698</v>
      </c>
      <c r="Z39" t="s">
        <v>698</v>
      </c>
      <c r="AA39" t="s">
        <v>700</v>
      </c>
      <c r="AB39" s="1">
        <f t="shared" si="0"/>
        <v>1</v>
      </c>
      <c r="AC39">
        <v>227.72</v>
      </c>
      <c r="AD39">
        <v>227.72</v>
      </c>
      <c r="AE39">
        <v>23.94</v>
      </c>
      <c r="AF39">
        <v>1.21</v>
      </c>
      <c r="AG39">
        <v>252.87</v>
      </c>
      <c r="AH39">
        <v>0</v>
      </c>
      <c r="AI39">
        <v>252.87</v>
      </c>
      <c r="AJ39">
        <v>1.2643500000000001</v>
      </c>
      <c r="AK39" t="s">
        <v>54</v>
      </c>
      <c r="AL39">
        <v>44.16</v>
      </c>
      <c r="AM39" s="4">
        <f t="shared" si="1"/>
        <v>252.87</v>
      </c>
      <c r="AN39" s="4">
        <f t="shared" si="2"/>
        <v>426.97500000000002</v>
      </c>
      <c r="AO39" s="4">
        <f t="shared" si="3"/>
        <v>474.36922500000003</v>
      </c>
      <c r="AP39" s="4">
        <f t="shared" si="4"/>
        <v>691.65680250000003</v>
      </c>
      <c r="AQ39" s="10">
        <f t="shared" si="5"/>
        <v>439.76621700000004</v>
      </c>
      <c r="AR39" s="10">
        <f t="shared" si="6"/>
        <v>488.62424370870002</v>
      </c>
      <c r="AS39" s="10">
        <f t="shared" si="7"/>
        <v>684.62804662560006</v>
      </c>
    </row>
    <row r="40" spans="1:45" x14ac:dyDescent="0.3">
      <c r="A40">
        <v>2025</v>
      </c>
      <c r="B40">
        <v>5</v>
      </c>
      <c r="C40" t="s">
        <v>35</v>
      </c>
      <c r="D40">
        <v>10</v>
      </c>
      <c r="E40" t="s">
        <v>36</v>
      </c>
      <c r="F40" t="s">
        <v>37</v>
      </c>
      <c r="G40" t="s">
        <v>38</v>
      </c>
      <c r="H40" t="s">
        <v>101</v>
      </c>
      <c r="I40" t="s">
        <v>190</v>
      </c>
      <c r="J40" t="s">
        <v>40</v>
      </c>
      <c r="K40" t="s">
        <v>59</v>
      </c>
      <c r="M40">
        <v>442514</v>
      </c>
      <c r="N40" t="s">
        <v>693</v>
      </c>
      <c r="O40" t="s">
        <v>36</v>
      </c>
      <c r="P40" t="s">
        <v>694</v>
      </c>
      <c r="Q40" t="s">
        <v>44</v>
      </c>
      <c r="R40" t="s">
        <v>695</v>
      </c>
      <c r="S40" t="s">
        <v>696</v>
      </c>
      <c r="T40" t="s">
        <v>47</v>
      </c>
      <c r="U40" t="s">
        <v>199</v>
      </c>
      <c r="V40" t="s">
        <v>49</v>
      </c>
      <c r="W40" t="s">
        <v>697</v>
      </c>
      <c r="X40" t="s">
        <v>51</v>
      </c>
      <c r="Y40" t="s">
        <v>698</v>
      </c>
      <c r="Z40" t="s">
        <v>698</v>
      </c>
      <c r="AA40" t="s">
        <v>700</v>
      </c>
      <c r="AB40" s="1">
        <f t="shared" si="0"/>
        <v>1</v>
      </c>
      <c r="AC40">
        <v>227.72</v>
      </c>
      <c r="AD40">
        <v>227.72</v>
      </c>
      <c r="AE40">
        <v>23.94</v>
      </c>
      <c r="AF40">
        <v>1.21</v>
      </c>
      <c r="AG40">
        <v>252.87</v>
      </c>
      <c r="AH40">
        <v>0</v>
      </c>
      <c r="AI40">
        <v>252.87</v>
      </c>
      <c r="AJ40">
        <v>1.2643500000000001</v>
      </c>
      <c r="AK40" t="s">
        <v>54</v>
      </c>
      <c r="AL40">
        <v>44.16</v>
      </c>
      <c r="AM40" s="4">
        <f t="shared" si="1"/>
        <v>252.87</v>
      </c>
      <c r="AN40" s="4">
        <f t="shared" si="2"/>
        <v>426.97500000000002</v>
      </c>
      <c r="AO40" s="4">
        <f t="shared" si="3"/>
        <v>474.36922500000003</v>
      </c>
      <c r="AP40" s="4">
        <f t="shared" si="4"/>
        <v>691.65680250000003</v>
      </c>
      <c r="AQ40" s="10">
        <f t="shared" si="5"/>
        <v>439.76621700000004</v>
      </c>
      <c r="AR40" s="10">
        <f t="shared" si="6"/>
        <v>488.62424370870002</v>
      </c>
      <c r="AS40" s="10">
        <f t="shared" si="7"/>
        <v>684.62804662560006</v>
      </c>
    </row>
    <row r="41" spans="1:45" x14ac:dyDescent="0.3">
      <c r="A41">
        <v>2025</v>
      </c>
      <c r="B41">
        <v>5</v>
      </c>
      <c r="C41" t="s">
        <v>35</v>
      </c>
      <c r="D41">
        <v>10</v>
      </c>
      <c r="E41" t="s">
        <v>36</v>
      </c>
      <c r="F41" t="s">
        <v>37</v>
      </c>
      <c r="G41" t="s">
        <v>38</v>
      </c>
      <c r="H41" t="s">
        <v>101</v>
      </c>
      <c r="I41" t="s">
        <v>190</v>
      </c>
      <c r="J41" t="s">
        <v>40</v>
      </c>
      <c r="K41" t="s">
        <v>59</v>
      </c>
      <c r="M41">
        <v>442514</v>
      </c>
      <c r="N41" t="s">
        <v>693</v>
      </c>
      <c r="O41" t="s">
        <v>36</v>
      </c>
      <c r="P41" t="s">
        <v>694</v>
      </c>
      <c r="Q41" t="s">
        <v>44</v>
      </c>
      <c r="R41" t="s">
        <v>695</v>
      </c>
      <c r="S41" t="s">
        <v>696</v>
      </c>
      <c r="T41" t="s">
        <v>47</v>
      </c>
      <c r="U41" t="s">
        <v>199</v>
      </c>
      <c r="V41" t="s">
        <v>49</v>
      </c>
      <c r="W41" t="s">
        <v>697</v>
      </c>
      <c r="X41" t="s">
        <v>51</v>
      </c>
      <c r="Y41" t="s">
        <v>698</v>
      </c>
      <c r="Z41" t="s">
        <v>698</v>
      </c>
      <c r="AA41" t="s">
        <v>700</v>
      </c>
      <c r="AB41" s="1">
        <f t="shared" si="0"/>
        <v>1</v>
      </c>
      <c r="AC41">
        <v>227.72</v>
      </c>
      <c r="AD41">
        <v>227.72</v>
      </c>
      <c r="AE41">
        <v>23.94</v>
      </c>
      <c r="AF41">
        <v>1.21</v>
      </c>
      <c r="AG41">
        <v>252.87</v>
      </c>
      <c r="AH41">
        <v>0</v>
      </c>
      <c r="AI41">
        <v>252.87</v>
      </c>
      <c r="AJ41">
        <v>1.2643500000000001</v>
      </c>
      <c r="AK41" t="s">
        <v>54</v>
      </c>
      <c r="AL41">
        <v>44.16</v>
      </c>
      <c r="AM41" s="4">
        <f t="shared" si="1"/>
        <v>252.87</v>
      </c>
      <c r="AN41" s="4">
        <f t="shared" si="2"/>
        <v>426.97500000000002</v>
      </c>
      <c r="AO41" s="4">
        <f t="shared" si="3"/>
        <v>474.36922500000003</v>
      </c>
      <c r="AP41" s="4">
        <f t="shared" si="4"/>
        <v>691.65680250000003</v>
      </c>
      <c r="AQ41" s="10">
        <f t="shared" si="5"/>
        <v>439.76621700000004</v>
      </c>
      <c r="AR41" s="10">
        <f t="shared" si="6"/>
        <v>488.62424370870002</v>
      </c>
      <c r="AS41" s="10">
        <f t="shared" si="7"/>
        <v>684.62804662560006</v>
      </c>
    </row>
    <row r="42" spans="1:45" x14ac:dyDescent="0.3">
      <c r="A42">
        <v>2025</v>
      </c>
      <c r="B42">
        <v>5</v>
      </c>
      <c r="C42" t="s">
        <v>35</v>
      </c>
      <c r="D42">
        <v>10</v>
      </c>
      <c r="E42" t="s">
        <v>36</v>
      </c>
      <c r="F42" t="s">
        <v>37</v>
      </c>
      <c r="G42" t="s">
        <v>38</v>
      </c>
      <c r="H42" t="s">
        <v>101</v>
      </c>
      <c r="I42" t="s">
        <v>190</v>
      </c>
      <c r="J42" t="s">
        <v>40</v>
      </c>
      <c r="K42" t="s">
        <v>59</v>
      </c>
      <c r="M42">
        <v>442514</v>
      </c>
      <c r="N42" t="s">
        <v>693</v>
      </c>
      <c r="O42" t="s">
        <v>36</v>
      </c>
      <c r="P42" t="s">
        <v>694</v>
      </c>
      <c r="Q42" t="s">
        <v>44</v>
      </c>
      <c r="R42" t="s">
        <v>695</v>
      </c>
      <c r="S42" t="s">
        <v>696</v>
      </c>
      <c r="T42" t="s">
        <v>47</v>
      </c>
      <c r="U42" t="s">
        <v>199</v>
      </c>
      <c r="V42" t="s">
        <v>49</v>
      </c>
      <c r="W42" t="s">
        <v>697</v>
      </c>
      <c r="X42" t="s">
        <v>51</v>
      </c>
      <c r="Y42" t="s">
        <v>698</v>
      </c>
      <c r="Z42" t="s">
        <v>698</v>
      </c>
      <c r="AA42" t="s">
        <v>700</v>
      </c>
      <c r="AB42" s="1">
        <f t="shared" si="0"/>
        <v>1</v>
      </c>
      <c r="AC42">
        <v>227.72</v>
      </c>
      <c r="AD42">
        <v>227.72</v>
      </c>
      <c r="AE42">
        <v>23.94</v>
      </c>
      <c r="AF42">
        <v>1.21</v>
      </c>
      <c r="AG42">
        <v>252.87</v>
      </c>
      <c r="AH42">
        <v>0</v>
      </c>
      <c r="AI42">
        <v>252.87</v>
      </c>
      <c r="AJ42">
        <v>1.2643500000000001</v>
      </c>
      <c r="AK42" t="s">
        <v>54</v>
      </c>
      <c r="AL42">
        <v>44.16</v>
      </c>
      <c r="AM42" s="4">
        <f t="shared" si="1"/>
        <v>252.87</v>
      </c>
      <c r="AN42" s="4">
        <f t="shared" si="2"/>
        <v>426.97500000000002</v>
      </c>
      <c r="AO42" s="4">
        <f t="shared" si="3"/>
        <v>474.36922500000003</v>
      </c>
      <c r="AP42" s="4">
        <f t="shared" si="4"/>
        <v>691.65680250000003</v>
      </c>
      <c r="AQ42" s="10">
        <f t="shared" si="5"/>
        <v>439.76621700000004</v>
      </c>
      <c r="AR42" s="10">
        <f t="shared" si="6"/>
        <v>488.62424370870002</v>
      </c>
      <c r="AS42" s="10">
        <f t="shared" si="7"/>
        <v>684.62804662560006</v>
      </c>
    </row>
    <row r="43" spans="1:45" x14ac:dyDescent="0.3">
      <c r="A43">
        <v>2025</v>
      </c>
      <c r="B43">
        <v>5</v>
      </c>
      <c r="C43" t="s">
        <v>35</v>
      </c>
      <c r="D43">
        <v>10</v>
      </c>
      <c r="E43" t="s">
        <v>36</v>
      </c>
      <c r="F43" t="s">
        <v>37</v>
      </c>
      <c r="G43" t="s">
        <v>38</v>
      </c>
      <c r="H43" t="s">
        <v>101</v>
      </c>
      <c r="I43" t="s">
        <v>190</v>
      </c>
      <c r="J43" t="s">
        <v>40</v>
      </c>
      <c r="K43" t="s">
        <v>59</v>
      </c>
      <c r="M43">
        <v>442514</v>
      </c>
      <c r="N43" t="s">
        <v>693</v>
      </c>
      <c r="O43" t="s">
        <v>36</v>
      </c>
      <c r="P43" t="s">
        <v>694</v>
      </c>
      <c r="Q43" t="s">
        <v>44</v>
      </c>
      <c r="R43" t="s">
        <v>695</v>
      </c>
      <c r="S43" t="s">
        <v>696</v>
      </c>
      <c r="T43" t="s">
        <v>47</v>
      </c>
      <c r="U43" t="s">
        <v>199</v>
      </c>
      <c r="V43" t="s">
        <v>49</v>
      </c>
      <c r="W43" t="s">
        <v>697</v>
      </c>
      <c r="X43" t="s">
        <v>51</v>
      </c>
      <c r="Y43" t="s">
        <v>698</v>
      </c>
      <c r="Z43" t="s">
        <v>698</v>
      </c>
      <c r="AA43" t="s">
        <v>700</v>
      </c>
      <c r="AB43" s="1">
        <f t="shared" si="0"/>
        <v>1</v>
      </c>
      <c r="AC43">
        <v>227.72</v>
      </c>
      <c r="AD43">
        <v>227.72</v>
      </c>
      <c r="AE43">
        <v>23.94</v>
      </c>
      <c r="AF43">
        <v>1.21</v>
      </c>
      <c r="AG43">
        <v>252.87</v>
      </c>
      <c r="AH43">
        <v>0</v>
      </c>
      <c r="AI43">
        <v>252.87</v>
      </c>
      <c r="AJ43">
        <v>1.2643500000000001</v>
      </c>
      <c r="AK43" t="s">
        <v>54</v>
      </c>
      <c r="AL43">
        <v>44.16</v>
      </c>
      <c r="AM43" s="4">
        <f t="shared" si="1"/>
        <v>252.87</v>
      </c>
      <c r="AN43" s="4">
        <f t="shared" si="2"/>
        <v>426.97500000000002</v>
      </c>
      <c r="AO43" s="4">
        <f t="shared" si="3"/>
        <v>474.36922500000003</v>
      </c>
      <c r="AP43" s="4">
        <f t="shared" si="4"/>
        <v>691.65680250000003</v>
      </c>
      <c r="AQ43" s="10">
        <f t="shared" si="5"/>
        <v>439.76621700000004</v>
      </c>
      <c r="AR43" s="10">
        <f t="shared" si="6"/>
        <v>488.62424370870002</v>
      </c>
      <c r="AS43" s="10">
        <f t="shared" si="7"/>
        <v>684.62804662560006</v>
      </c>
    </row>
    <row r="44" spans="1:45" x14ac:dyDescent="0.3">
      <c r="A44">
        <v>2025</v>
      </c>
      <c r="B44">
        <v>5</v>
      </c>
      <c r="C44" t="s">
        <v>35</v>
      </c>
      <c r="D44">
        <v>10</v>
      </c>
      <c r="E44" t="s">
        <v>36</v>
      </c>
      <c r="F44" t="s">
        <v>37</v>
      </c>
      <c r="G44" t="s">
        <v>38</v>
      </c>
      <c r="H44" t="s">
        <v>101</v>
      </c>
      <c r="I44" t="s">
        <v>190</v>
      </c>
      <c r="J44" t="s">
        <v>40</v>
      </c>
      <c r="K44" t="s">
        <v>59</v>
      </c>
      <c r="M44">
        <v>442514</v>
      </c>
      <c r="N44" t="s">
        <v>693</v>
      </c>
      <c r="O44" t="s">
        <v>36</v>
      </c>
      <c r="P44" t="s">
        <v>694</v>
      </c>
      <c r="Q44" t="s">
        <v>44</v>
      </c>
      <c r="R44" t="s">
        <v>695</v>
      </c>
      <c r="S44" t="s">
        <v>696</v>
      </c>
      <c r="T44" t="s">
        <v>47</v>
      </c>
      <c r="U44" t="s">
        <v>199</v>
      </c>
      <c r="V44" t="s">
        <v>49</v>
      </c>
      <c r="W44" t="s">
        <v>697</v>
      </c>
      <c r="X44" t="s">
        <v>51</v>
      </c>
      <c r="Y44" t="s">
        <v>698</v>
      </c>
      <c r="Z44" t="s">
        <v>698</v>
      </c>
      <c r="AA44" t="s">
        <v>700</v>
      </c>
      <c r="AB44" s="1">
        <f t="shared" si="0"/>
        <v>1</v>
      </c>
      <c r="AC44">
        <v>227.72</v>
      </c>
      <c r="AD44">
        <v>227.72</v>
      </c>
      <c r="AE44">
        <v>23.94</v>
      </c>
      <c r="AF44">
        <v>1.21</v>
      </c>
      <c r="AG44">
        <v>252.87</v>
      </c>
      <c r="AH44">
        <v>0</v>
      </c>
      <c r="AI44">
        <v>252.87</v>
      </c>
      <c r="AJ44">
        <v>1.2643500000000001</v>
      </c>
      <c r="AK44" t="s">
        <v>54</v>
      </c>
      <c r="AL44">
        <v>44.16</v>
      </c>
      <c r="AM44" s="4">
        <f t="shared" si="1"/>
        <v>252.87</v>
      </c>
      <c r="AN44" s="4">
        <f t="shared" si="2"/>
        <v>426.97500000000002</v>
      </c>
      <c r="AO44" s="4">
        <f t="shared" si="3"/>
        <v>474.36922500000003</v>
      </c>
      <c r="AP44" s="4">
        <f t="shared" si="4"/>
        <v>691.65680250000003</v>
      </c>
      <c r="AQ44" s="10">
        <f t="shared" si="5"/>
        <v>439.76621700000004</v>
      </c>
      <c r="AR44" s="10">
        <f t="shared" si="6"/>
        <v>488.62424370870002</v>
      </c>
      <c r="AS44" s="10">
        <f t="shared" si="7"/>
        <v>684.62804662560006</v>
      </c>
    </row>
    <row r="45" spans="1:45" x14ac:dyDescent="0.3">
      <c r="A45">
        <v>2025</v>
      </c>
      <c r="B45">
        <v>5</v>
      </c>
      <c r="C45" t="s">
        <v>35</v>
      </c>
      <c r="D45">
        <v>10</v>
      </c>
      <c r="E45" t="s">
        <v>36</v>
      </c>
      <c r="F45" t="s">
        <v>37</v>
      </c>
      <c r="G45" t="s">
        <v>38</v>
      </c>
      <c r="H45" t="s">
        <v>101</v>
      </c>
      <c r="I45" t="s">
        <v>190</v>
      </c>
      <c r="J45" t="s">
        <v>40</v>
      </c>
      <c r="K45" t="s">
        <v>59</v>
      </c>
      <c r="M45">
        <v>442514</v>
      </c>
      <c r="N45" t="s">
        <v>693</v>
      </c>
      <c r="O45" t="s">
        <v>36</v>
      </c>
      <c r="P45" t="s">
        <v>694</v>
      </c>
      <c r="Q45" t="s">
        <v>44</v>
      </c>
      <c r="R45" t="s">
        <v>695</v>
      </c>
      <c r="S45" t="s">
        <v>696</v>
      </c>
      <c r="T45" t="s">
        <v>47</v>
      </c>
      <c r="U45" t="s">
        <v>199</v>
      </c>
      <c r="V45" t="s">
        <v>49</v>
      </c>
      <c r="W45" t="s">
        <v>697</v>
      </c>
      <c r="X45" t="s">
        <v>51</v>
      </c>
      <c r="Y45" t="s">
        <v>698</v>
      </c>
      <c r="Z45" t="s">
        <v>698</v>
      </c>
      <c r="AA45" t="s">
        <v>700</v>
      </c>
      <c r="AB45" s="1">
        <f t="shared" si="0"/>
        <v>1</v>
      </c>
      <c r="AC45">
        <v>227.72</v>
      </c>
      <c r="AD45">
        <v>227.72</v>
      </c>
      <c r="AE45">
        <v>23.94</v>
      </c>
      <c r="AF45">
        <v>1.21</v>
      </c>
      <c r="AG45">
        <v>252.87</v>
      </c>
      <c r="AH45">
        <v>0</v>
      </c>
      <c r="AI45">
        <v>252.87</v>
      </c>
      <c r="AJ45">
        <v>1.2643500000000001</v>
      </c>
      <c r="AK45" t="s">
        <v>54</v>
      </c>
      <c r="AL45">
        <v>44.16</v>
      </c>
      <c r="AM45" s="4">
        <f t="shared" si="1"/>
        <v>252.87</v>
      </c>
      <c r="AN45" s="4">
        <f t="shared" si="2"/>
        <v>426.97500000000002</v>
      </c>
      <c r="AO45" s="4">
        <f t="shared" si="3"/>
        <v>474.36922500000003</v>
      </c>
      <c r="AP45" s="4">
        <f t="shared" si="4"/>
        <v>691.65680250000003</v>
      </c>
      <c r="AQ45" s="10">
        <f t="shared" si="5"/>
        <v>439.76621700000004</v>
      </c>
      <c r="AR45" s="10">
        <f t="shared" si="6"/>
        <v>488.62424370870002</v>
      </c>
      <c r="AS45" s="10">
        <f t="shared" si="7"/>
        <v>684.62804662560006</v>
      </c>
    </row>
    <row r="46" spans="1:45" x14ac:dyDescent="0.3">
      <c r="A46">
        <v>2025</v>
      </c>
      <c r="B46">
        <v>5</v>
      </c>
      <c r="C46" t="s">
        <v>35</v>
      </c>
      <c r="D46">
        <v>10</v>
      </c>
      <c r="E46" t="s">
        <v>36</v>
      </c>
      <c r="F46" t="s">
        <v>37</v>
      </c>
      <c r="G46" t="s">
        <v>38</v>
      </c>
      <c r="H46" t="s">
        <v>101</v>
      </c>
      <c r="I46" t="s">
        <v>190</v>
      </c>
      <c r="J46" t="s">
        <v>40</v>
      </c>
      <c r="K46" t="s">
        <v>59</v>
      </c>
      <c r="M46">
        <v>442514</v>
      </c>
      <c r="N46" t="s">
        <v>693</v>
      </c>
      <c r="O46" t="s">
        <v>36</v>
      </c>
      <c r="P46" t="s">
        <v>694</v>
      </c>
      <c r="Q46" t="s">
        <v>44</v>
      </c>
      <c r="R46" t="s">
        <v>695</v>
      </c>
      <c r="S46" t="s">
        <v>696</v>
      </c>
      <c r="T46" t="s">
        <v>47</v>
      </c>
      <c r="U46" t="s">
        <v>199</v>
      </c>
      <c r="V46" t="s">
        <v>49</v>
      </c>
      <c r="W46" t="s">
        <v>697</v>
      </c>
      <c r="X46" t="s">
        <v>51</v>
      </c>
      <c r="Y46" t="s">
        <v>698</v>
      </c>
      <c r="Z46" t="s">
        <v>698</v>
      </c>
      <c r="AA46" t="s">
        <v>700</v>
      </c>
      <c r="AB46" s="1">
        <f t="shared" si="0"/>
        <v>1</v>
      </c>
      <c r="AC46">
        <v>227.72</v>
      </c>
      <c r="AD46">
        <v>227.72</v>
      </c>
      <c r="AE46">
        <v>23.94</v>
      </c>
      <c r="AF46">
        <v>1.21</v>
      </c>
      <c r="AG46">
        <v>252.87</v>
      </c>
      <c r="AH46">
        <v>0</v>
      </c>
      <c r="AI46">
        <v>252.87</v>
      </c>
      <c r="AJ46">
        <v>1.2643500000000001</v>
      </c>
      <c r="AK46" t="s">
        <v>54</v>
      </c>
      <c r="AL46">
        <v>44.16</v>
      </c>
      <c r="AM46" s="4">
        <f t="shared" si="1"/>
        <v>252.87</v>
      </c>
      <c r="AN46" s="4">
        <f t="shared" si="2"/>
        <v>426.97500000000002</v>
      </c>
      <c r="AO46" s="4">
        <f t="shared" si="3"/>
        <v>474.36922500000003</v>
      </c>
      <c r="AP46" s="4">
        <f t="shared" si="4"/>
        <v>691.65680250000003</v>
      </c>
      <c r="AQ46" s="10">
        <f t="shared" si="5"/>
        <v>439.76621700000004</v>
      </c>
      <c r="AR46" s="10">
        <f t="shared" si="6"/>
        <v>488.62424370870002</v>
      </c>
      <c r="AS46" s="10">
        <f t="shared" si="7"/>
        <v>684.62804662560006</v>
      </c>
    </row>
    <row r="47" spans="1:45" x14ac:dyDescent="0.3">
      <c r="A47">
        <v>2025</v>
      </c>
      <c r="B47">
        <v>5</v>
      </c>
      <c r="C47" t="s">
        <v>35</v>
      </c>
      <c r="D47">
        <v>10</v>
      </c>
      <c r="E47" t="s">
        <v>36</v>
      </c>
      <c r="F47" t="s">
        <v>37</v>
      </c>
      <c r="G47" t="s">
        <v>38</v>
      </c>
      <c r="H47" t="s">
        <v>101</v>
      </c>
      <c r="I47" t="s">
        <v>190</v>
      </c>
      <c r="J47" t="s">
        <v>40</v>
      </c>
      <c r="K47" t="s">
        <v>59</v>
      </c>
      <c r="M47">
        <v>442514</v>
      </c>
      <c r="N47" t="s">
        <v>693</v>
      </c>
      <c r="O47" t="s">
        <v>36</v>
      </c>
      <c r="P47" t="s">
        <v>694</v>
      </c>
      <c r="Q47" t="s">
        <v>44</v>
      </c>
      <c r="R47" t="s">
        <v>695</v>
      </c>
      <c r="S47" t="s">
        <v>696</v>
      </c>
      <c r="T47" t="s">
        <v>47</v>
      </c>
      <c r="U47" t="s">
        <v>199</v>
      </c>
      <c r="V47" t="s">
        <v>49</v>
      </c>
      <c r="W47" t="s">
        <v>697</v>
      </c>
      <c r="X47" t="s">
        <v>51</v>
      </c>
      <c r="Y47" t="s">
        <v>698</v>
      </c>
      <c r="Z47" t="s">
        <v>698</v>
      </c>
      <c r="AA47" t="s">
        <v>700</v>
      </c>
      <c r="AB47" s="1">
        <f t="shared" si="0"/>
        <v>1</v>
      </c>
      <c r="AC47">
        <v>227.72</v>
      </c>
      <c r="AD47">
        <v>227.72</v>
      </c>
      <c r="AE47">
        <v>23.94</v>
      </c>
      <c r="AF47">
        <v>1.21</v>
      </c>
      <c r="AG47">
        <v>252.87</v>
      </c>
      <c r="AH47">
        <v>0</v>
      </c>
      <c r="AI47">
        <v>252.87</v>
      </c>
      <c r="AJ47">
        <v>1.2643500000000001</v>
      </c>
      <c r="AK47" t="s">
        <v>54</v>
      </c>
      <c r="AL47">
        <v>44.16</v>
      </c>
      <c r="AM47" s="4">
        <f t="shared" si="1"/>
        <v>252.87</v>
      </c>
      <c r="AN47" s="4">
        <f t="shared" si="2"/>
        <v>426.97500000000002</v>
      </c>
      <c r="AO47" s="4">
        <f t="shared" si="3"/>
        <v>474.36922500000003</v>
      </c>
      <c r="AP47" s="4">
        <f t="shared" si="4"/>
        <v>691.65680250000003</v>
      </c>
      <c r="AQ47" s="10">
        <f t="shared" si="5"/>
        <v>439.76621700000004</v>
      </c>
      <c r="AR47" s="10">
        <f t="shared" si="6"/>
        <v>488.62424370870002</v>
      </c>
      <c r="AS47" s="10">
        <f t="shared" si="7"/>
        <v>684.62804662560006</v>
      </c>
    </row>
    <row r="48" spans="1:45" x14ac:dyDescent="0.3">
      <c r="A48">
        <v>2025</v>
      </c>
      <c r="B48">
        <v>5</v>
      </c>
      <c r="C48" t="s">
        <v>35</v>
      </c>
      <c r="D48">
        <v>10</v>
      </c>
      <c r="E48" t="s">
        <v>36</v>
      </c>
      <c r="F48" t="s">
        <v>37</v>
      </c>
      <c r="G48" t="s">
        <v>38</v>
      </c>
      <c r="H48" t="s">
        <v>101</v>
      </c>
      <c r="I48" t="s">
        <v>190</v>
      </c>
      <c r="J48" t="s">
        <v>40</v>
      </c>
      <c r="K48" t="s">
        <v>59</v>
      </c>
      <c r="M48">
        <v>442514</v>
      </c>
      <c r="N48" t="s">
        <v>693</v>
      </c>
      <c r="O48" t="s">
        <v>36</v>
      </c>
      <c r="P48" t="s">
        <v>694</v>
      </c>
      <c r="Q48" t="s">
        <v>44</v>
      </c>
      <c r="R48" t="s">
        <v>695</v>
      </c>
      <c r="S48" t="s">
        <v>696</v>
      </c>
      <c r="T48" t="s">
        <v>47</v>
      </c>
      <c r="U48" t="s">
        <v>199</v>
      </c>
      <c r="V48" t="s">
        <v>49</v>
      </c>
      <c r="W48" t="s">
        <v>697</v>
      </c>
      <c r="X48" t="s">
        <v>51</v>
      </c>
      <c r="Y48" t="s">
        <v>698</v>
      </c>
      <c r="Z48" t="s">
        <v>698</v>
      </c>
      <c r="AA48" t="s">
        <v>700</v>
      </c>
      <c r="AB48" s="3">
        <f t="shared" si="0"/>
        <v>1</v>
      </c>
      <c r="AC48">
        <v>227.72</v>
      </c>
      <c r="AD48">
        <v>227.72</v>
      </c>
      <c r="AE48">
        <v>23.94</v>
      </c>
      <c r="AF48">
        <v>1.21</v>
      </c>
      <c r="AG48">
        <v>252.87</v>
      </c>
      <c r="AH48">
        <v>0</v>
      </c>
      <c r="AI48">
        <v>252.87</v>
      </c>
      <c r="AJ48">
        <v>1.2643500000000001</v>
      </c>
      <c r="AK48" t="s">
        <v>54</v>
      </c>
      <c r="AL48">
        <v>44.16</v>
      </c>
      <c r="AM48" s="4">
        <f t="shared" si="1"/>
        <v>252.87</v>
      </c>
      <c r="AN48" s="4">
        <f t="shared" si="2"/>
        <v>426.97500000000002</v>
      </c>
      <c r="AO48" s="4">
        <f t="shared" si="3"/>
        <v>474.36922500000003</v>
      </c>
      <c r="AP48" s="4">
        <f t="shared" si="4"/>
        <v>691.65680250000003</v>
      </c>
      <c r="AQ48" s="10">
        <f t="shared" si="5"/>
        <v>439.76621700000004</v>
      </c>
      <c r="AR48" s="10">
        <f t="shared" si="6"/>
        <v>488.62424370870002</v>
      </c>
      <c r="AS48" s="10">
        <f t="shared" si="7"/>
        <v>684.62804662560006</v>
      </c>
    </row>
    <row r="49" spans="1:45" x14ac:dyDescent="0.3">
      <c r="A49">
        <v>2025</v>
      </c>
      <c r="B49">
        <v>5</v>
      </c>
      <c r="C49" t="s">
        <v>35</v>
      </c>
      <c r="D49">
        <v>10</v>
      </c>
      <c r="E49" t="s">
        <v>36</v>
      </c>
      <c r="F49" t="s">
        <v>37</v>
      </c>
      <c r="G49" t="s">
        <v>38</v>
      </c>
      <c r="H49" t="s">
        <v>101</v>
      </c>
      <c r="I49" t="s">
        <v>190</v>
      </c>
      <c r="J49" t="s">
        <v>40</v>
      </c>
      <c r="K49" t="s">
        <v>59</v>
      </c>
      <c r="M49">
        <v>442514</v>
      </c>
      <c r="N49" t="s">
        <v>693</v>
      </c>
      <c r="O49" t="s">
        <v>36</v>
      </c>
      <c r="P49" t="s">
        <v>694</v>
      </c>
      <c r="Q49" t="s">
        <v>44</v>
      </c>
      <c r="R49" t="s">
        <v>695</v>
      </c>
      <c r="S49" t="s">
        <v>696</v>
      </c>
      <c r="T49" t="s">
        <v>47</v>
      </c>
      <c r="U49" t="s">
        <v>199</v>
      </c>
      <c r="V49" t="s">
        <v>49</v>
      </c>
      <c r="W49" t="s">
        <v>697</v>
      </c>
      <c r="X49" t="s">
        <v>51</v>
      </c>
      <c r="Y49" t="s">
        <v>698</v>
      </c>
      <c r="Z49" t="s">
        <v>698</v>
      </c>
      <c r="AA49" t="s">
        <v>700</v>
      </c>
      <c r="AB49" s="3">
        <f t="shared" si="0"/>
        <v>1</v>
      </c>
      <c r="AC49">
        <v>227.72</v>
      </c>
      <c r="AD49">
        <v>227.72</v>
      </c>
      <c r="AE49">
        <v>23.94</v>
      </c>
      <c r="AF49">
        <v>1.21</v>
      </c>
      <c r="AG49">
        <v>252.87</v>
      </c>
      <c r="AH49">
        <v>0</v>
      </c>
      <c r="AI49">
        <v>252.87</v>
      </c>
      <c r="AJ49">
        <v>1.2643500000000001</v>
      </c>
      <c r="AK49" t="s">
        <v>54</v>
      </c>
      <c r="AL49">
        <v>44.16</v>
      </c>
      <c r="AM49" s="4">
        <f t="shared" si="1"/>
        <v>252.87</v>
      </c>
      <c r="AN49" s="4">
        <f t="shared" si="2"/>
        <v>426.97500000000002</v>
      </c>
      <c r="AO49" s="4">
        <f t="shared" si="3"/>
        <v>474.36922500000003</v>
      </c>
      <c r="AP49" s="4">
        <f t="shared" si="4"/>
        <v>691.65680250000003</v>
      </c>
      <c r="AQ49" s="10">
        <f t="shared" si="5"/>
        <v>439.76621700000004</v>
      </c>
      <c r="AR49" s="10">
        <f t="shared" si="6"/>
        <v>488.62424370870002</v>
      </c>
      <c r="AS49" s="10">
        <f t="shared" si="7"/>
        <v>684.62804662560006</v>
      </c>
    </row>
    <row r="50" spans="1:45" x14ac:dyDescent="0.3">
      <c r="A50">
        <v>2025</v>
      </c>
      <c r="B50">
        <v>5</v>
      </c>
      <c r="C50" t="s">
        <v>35</v>
      </c>
      <c r="D50">
        <v>10</v>
      </c>
      <c r="E50" t="s">
        <v>36</v>
      </c>
      <c r="F50" t="s">
        <v>37</v>
      </c>
      <c r="G50" t="s">
        <v>38</v>
      </c>
      <c r="H50" t="s">
        <v>101</v>
      </c>
      <c r="I50" t="s">
        <v>190</v>
      </c>
      <c r="J50" t="s">
        <v>40</v>
      </c>
      <c r="K50" t="s">
        <v>59</v>
      </c>
      <c r="M50">
        <v>442514</v>
      </c>
      <c r="N50" t="s">
        <v>693</v>
      </c>
      <c r="O50" t="s">
        <v>36</v>
      </c>
      <c r="P50" t="s">
        <v>694</v>
      </c>
      <c r="Q50" t="s">
        <v>44</v>
      </c>
      <c r="R50" t="s">
        <v>695</v>
      </c>
      <c r="S50" t="s">
        <v>696</v>
      </c>
      <c r="T50" t="s">
        <v>47</v>
      </c>
      <c r="U50" t="s">
        <v>199</v>
      </c>
      <c r="V50" t="s">
        <v>49</v>
      </c>
      <c r="W50" t="s">
        <v>697</v>
      </c>
      <c r="X50" t="s">
        <v>51</v>
      </c>
      <c r="Y50" t="s">
        <v>698</v>
      </c>
      <c r="Z50" t="s">
        <v>698</v>
      </c>
      <c r="AA50" t="s">
        <v>700</v>
      </c>
      <c r="AB50" s="3">
        <f t="shared" si="0"/>
        <v>1</v>
      </c>
      <c r="AC50">
        <v>227.72</v>
      </c>
      <c r="AD50">
        <v>227.72</v>
      </c>
      <c r="AE50">
        <v>23.94</v>
      </c>
      <c r="AF50">
        <v>1.21</v>
      </c>
      <c r="AG50">
        <v>252.87</v>
      </c>
      <c r="AH50">
        <v>0</v>
      </c>
      <c r="AI50">
        <v>252.87</v>
      </c>
      <c r="AJ50">
        <v>1.2643500000000001</v>
      </c>
      <c r="AK50" t="s">
        <v>54</v>
      </c>
      <c r="AL50">
        <v>44.16</v>
      </c>
      <c r="AM50" s="4">
        <f t="shared" si="1"/>
        <v>252.87</v>
      </c>
      <c r="AN50" s="4">
        <f t="shared" si="2"/>
        <v>426.97500000000002</v>
      </c>
      <c r="AO50" s="4">
        <f t="shared" si="3"/>
        <v>474.36922500000003</v>
      </c>
      <c r="AP50" s="4">
        <f t="shared" si="4"/>
        <v>691.65680250000003</v>
      </c>
      <c r="AQ50" s="10">
        <f t="shared" si="5"/>
        <v>439.76621700000004</v>
      </c>
      <c r="AR50" s="10">
        <f t="shared" si="6"/>
        <v>488.62424370870002</v>
      </c>
      <c r="AS50" s="10">
        <f t="shared" si="7"/>
        <v>684.62804662560006</v>
      </c>
    </row>
    <row r="51" spans="1:45" x14ac:dyDescent="0.3">
      <c r="A51">
        <v>2025</v>
      </c>
      <c r="B51">
        <v>5</v>
      </c>
      <c r="C51" t="s">
        <v>35</v>
      </c>
      <c r="D51">
        <v>10</v>
      </c>
      <c r="E51" t="s">
        <v>36</v>
      </c>
      <c r="F51" t="s">
        <v>37</v>
      </c>
      <c r="G51" t="s">
        <v>38</v>
      </c>
      <c r="H51" t="s">
        <v>101</v>
      </c>
      <c r="I51" t="s">
        <v>190</v>
      </c>
      <c r="J51" t="s">
        <v>40</v>
      </c>
      <c r="K51" t="s">
        <v>59</v>
      </c>
      <c r="M51">
        <v>442514</v>
      </c>
      <c r="N51" t="s">
        <v>693</v>
      </c>
      <c r="O51" t="s">
        <v>36</v>
      </c>
      <c r="P51" t="s">
        <v>694</v>
      </c>
      <c r="Q51" t="s">
        <v>44</v>
      </c>
      <c r="R51" t="s">
        <v>695</v>
      </c>
      <c r="S51" t="s">
        <v>696</v>
      </c>
      <c r="T51" t="s">
        <v>47</v>
      </c>
      <c r="U51" t="s">
        <v>199</v>
      </c>
      <c r="V51" t="s">
        <v>49</v>
      </c>
      <c r="W51" t="s">
        <v>697</v>
      </c>
      <c r="X51" t="s">
        <v>51</v>
      </c>
      <c r="Y51" t="s">
        <v>698</v>
      </c>
      <c r="Z51" t="s">
        <v>698</v>
      </c>
      <c r="AA51" t="s">
        <v>700</v>
      </c>
      <c r="AB51" s="3">
        <f t="shared" si="0"/>
        <v>1</v>
      </c>
      <c r="AC51">
        <v>227.72</v>
      </c>
      <c r="AD51">
        <v>227.72</v>
      </c>
      <c r="AE51">
        <v>23.94</v>
      </c>
      <c r="AF51">
        <v>1.21</v>
      </c>
      <c r="AG51">
        <v>252.87</v>
      </c>
      <c r="AH51">
        <v>0</v>
      </c>
      <c r="AI51">
        <v>252.87</v>
      </c>
      <c r="AJ51">
        <v>1.2643500000000001</v>
      </c>
      <c r="AK51" t="s">
        <v>54</v>
      </c>
      <c r="AL51">
        <v>44.16</v>
      </c>
      <c r="AM51" s="4">
        <f t="shared" si="1"/>
        <v>252.87</v>
      </c>
      <c r="AN51" s="4">
        <f t="shared" si="2"/>
        <v>426.97500000000002</v>
      </c>
      <c r="AO51" s="4">
        <f t="shared" si="3"/>
        <v>474.36922500000003</v>
      </c>
      <c r="AP51" s="4">
        <f t="shared" si="4"/>
        <v>691.65680250000003</v>
      </c>
      <c r="AQ51" s="10">
        <f t="shared" si="5"/>
        <v>439.76621700000004</v>
      </c>
      <c r="AR51" s="10">
        <f t="shared" si="6"/>
        <v>488.62424370870002</v>
      </c>
      <c r="AS51" s="10">
        <f t="shared" si="7"/>
        <v>684.62804662560006</v>
      </c>
    </row>
    <row r="52" spans="1:45" x14ac:dyDescent="0.3">
      <c r="A52">
        <v>2025</v>
      </c>
      <c r="B52">
        <v>9</v>
      </c>
      <c r="C52" t="s">
        <v>35</v>
      </c>
      <c r="D52">
        <v>10</v>
      </c>
      <c r="E52" t="s">
        <v>36</v>
      </c>
      <c r="F52" t="s">
        <v>37</v>
      </c>
      <c r="G52" t="s">
        <v>38</v>
      </c>
      <c r="H52" t="s">
        <v>101</v>
      </c>
      <c r="I52" t="s">
        <v>190</v>
      </c>
      <c r="J52" t="s">
        <v>40</v>
      </c>
      <c r="K52" t="s">
        <v>59</v>
      </c>
      <c r="L52" t="s">
        <v>1495</v>
      </c>
      <c r="M52">
        <v>457514</v>
      </c>
      <c r="N52" t="s">
        <v>42</v>
      </c>
      <c r="O52" t="s">
        <v>1197</v>
      </c>
      <c r="Q52" t="s">
        <v>44</v>
      </c>
      <c r="R52" t="s">
        <v>1496</v>
      </c>
      <c r="S52" t="s">
        <v>1488</v>
      </c>
      <c r="T52" t="s">
        <v>47</v>
      </c>
      <c r="U52" t="s">
        <v>199</v>
      </c>
      <c r="V52" t="s">
        <v>49</v>
      </c>
      <c r="W52" t="s">
        <v>697</v>
      </c>
      <c r="X52" t="s">
        <v>388</v>
      </c>
      <c r="Y52" t="s">
        <v>698</v>
      </c>
      <c r="Z52" t="s">
        <v>698</v>
      </c>
      <c r="AA52" t="s">
        <v>700</v>
      </c>
      <c r="AB52" s="3">
        <f t="shared" si="0"/>
        <v>1</v>
      </c>
      <c r="AC52">
        <v>227.72</v>
      </c>
      <c r="AD52">
        <v>227.72</v>
      </c>
      <c r="AE52">
        <v>23.94</v>
      </c>
      <c r="AF52">
        <v>1.21</v>
      </c>
      <c r="AG52">
        <v>252.87</v>
      </c>
      <c r="AH52">
        <v>0</v>
      </c>
      <c r="AI52">
        <v>252.87</v>
      </c>
      <c r="AJ52">
        <v>1.2643500000000001</v>
      </c>
      <c r="AK52" t="s">
        <v>54</v>
      </c>
      <c r="AL52">
        <v>44.16</v>
      </c>
      <c r="AM52" s="4">
        <f t="shared" si="1"/>
        <v>252.87</v>
      </c>
      <c r="AN52" s="4">
        <f t="shared" si="2"/>
        <v>426.97500000000002</v>
      </c>
      <c r="AO52" s="4">
        <f t="shared" si="3"/>
        <v>474.36922500000003</v>
      </c>
      <c r="AP52" s="4">
        <f t="shared" si="4"/>
        <v>691.65680250000003</v>
      </c>
      <c r="AQ52" s="10">
        <f t="shared" si="5"/>
        <v>439.76621700000004</v>
      </c>
      <c r="AR52" s="10">
        <f t="shared" si="6"/>
        <v>488.62424370870002</v>
      </c>
      <c r="AS52" s="10">
        <f t="shared" si="7"/>
        <v>684.62804662560006</v>
      </c>
    </row>
    <row r="53" spans="1:45" x14ac:dyDescent="0.3">
      <c r="A53">
        <v>2025</v>
      </c>
      <c r="B53">
        <v>10</v>
      </c>
      <c r="C53" t="s">
        <v>35</v>
      </c>
      <c r="D53">
        <v>10</v>
      </c>
      <c r="E53" t="s">
        <v>36</v>
      </c>
      <c r="F53" t="s">
        <v>37</v>
      </c>
      <c r="G53" t="s">
        <v>38</v>
      </c>
      <c r="H53" t="s">
        <v>101</v>
      </c>
      <c r="J53" t="s">
        <v>40</v>
      </c>
      <c r="K53" t="s">
        <v>59</v>
      </c>
      <c r="L53" t="s">
        <v>1566</v>
      </c>
      <c r="M53">
        <v>458452</v>
      </c>
      <c r="N53" t="s">
        <v>1567</v>
      </c>
      <c r="O53" t="s">
        <v>1197</v>
      </c>
      <c r="P53" t="s">
        <v>191</v>
      </c>
      <c r="Q53" t="s">
        <v>44</v>
      </c>
      <c r="R53" t="s">
        <v>1505</v>
      </c>
      <c r="S53" t="s">
        <v>1568</v>
      </c>
      <c r="T53" t="s">
        <v>47</v>
      </c>
      <c r="U53" t="s">
        <v>199</v>
      </c>
      <c r="V53" t="s">
        <v>49</v>
      </c>
      <c r="W53" t="s">
        <v>697</v>
      </c>
      <c r="X53" t="s">
        <v>388</v>
      </c>
      <c r="Y53" t="s">
        <v>460</v>
      </c>
      <c r="Z53" t="s">
        <v>460</v>
      </c>
      <c r="AA53" t="s">
        <v>700</v>
      </c>
      <c r="AB53" s="3">
        <f t="shared" si="0"/>
        <v>1</v>
      </c>
      <c r="AC53">
        <v>173.48</v>
      </c>
      <c r="AD53">
        <v>173.48</v>
      </c>
      <c r="AE53">
        <v>31.8</v>
      </c>
      <c r="AF53">
        <v>1.29</v>
      </c>
      <c r="AG53">
        <v>206.57</v>
      </c>
      <c r="AH53">
        <v>0</v>
      </c>
      <c r="AI53">
        <v>206.57</v>
      </c>
      <c r="AJ53">
        <v>1.03285</v>
      </c>
      <c r="AK53" t="s">
        <v>54</v>
      </c>
      <c r="AL53">
        <v>7.8</v>
      </c>
      <c r="AM53" s="4">
        <f t="shared" si="1"/>
        <v>206.57</v>
      </c>
      <c r="AN53" s="4">
        <f t="shared" si="2"/>
        <v>325.27499999999998</v>
      </c>
      <c r="AO53" s="4">
        <f t="shared" si="3"/>
        <v>361.38052499999998</v>
      </c>
      <c r="AP53" s="4">
        <f t="shared" si="4"/>
        <v>526.91297249999991</v>
      </c>
      <c r="AQ53" s="10">
        <f t="shared" si="5"/>
        <v>359.24588699999998</v>
      </c>
      <c r="AR53" s="10">
        <f t="shared" si="6"/>
        <v>399.15810504569998</v>
      </c>
      <c r="AS53" s="10">
        <f t="shared" si="7"/>
        <v>559.27399688159994</v>
      </c>
    </row>
    <row r="54" spans="1:45" x14ac:dyDescent="0.3">
      <c r="A54">
        <v>2025</v>
      </c>
      <c r="B54">
        <v>12</v>
      </c>
      <c r="C54" t="s">
        <v>35</v>
      </c>
      <c r="D54">
        <v>10</v>
      </c>
      <c r="E54" t="s">
        <v>36</v>
      </c>
      <c r="F54" t="s">
        <v>37</v>
      </c>
      <c r="G54" t="s">
        <v>38</v>
      </c>
      <c r="H54" t="s">
        <v>101</v>
      </c>
      <c r="K54" t="s">
        <v>59</v>
      </c>
      <c r="L54" t="s">
        <v>1817</v>
      </c>
      <c r="M54">
        <v>464176</v>
      </c>
      <c r="N54" t="s">
        <v>42</v>
      </c>
      <c r="O54" t="s">
        <v>1197</v>
      </c>
      <c r="P54" t="s">
        <v>191</v>
      </c>
      <c r="Q54" t="s">
        <v>44</v>
      </c>
      <c r="R54" t="s">
        <v>1818</v>
      </c>
      <c r="S54" t="s">
        <v>1794</v>
      </c>
      <c r="T54" t="s">
        <v>47</v>
      </c>
      <c r="U54" t="s">
        <v>202</v>
      </c>
      <c r="V54" t="s">
        <v>49</v>
      </c>
      <c r="W54" t="s">
        <v>1303</v>
      </c>
      <c r="X54" t="s">
        <v>388</v>
      </c>
      <c r="Y54" t="s">
        <v>460</v>
      </c>
      <c r="Z54" t="s">
        <v>460</v>
      </c>
      <c r="AA54" t="s">
        <v>700</v>
      </c>
      <c r="AB54" s="3">
        <f t="shared" si="0"/>
        <v>1</v>
      </c>
      <c r="AC54">
        <v>179.4</v>
      </c>
      <c r="AD54">
        <v>179.4</v>
      </c>
      <c r="AE54">
        <v>38.130000000000003</v>
      </c>
      <c r="AF54">
        <v>1.37</v>
      </c>
      <c r="AG54">
        <v>218.54</v>
      </c>
      <c r="AH54">
        <v>0</v>
      </c>
      <c r="AI54">
        <v>218.54</v>
      </c>
      <c r="AJ54">
        <v>1.0927</v>
      </c>
      <c r="AK54" t="s">
        <v>54</v>
      </c>
      <c r="AL54">
        <v>8.66</v>
      </c>
      <c r="AM54" s="4">
        <f t="shared" si="1"/>
        <v>218.54</v>
      </c>
      <c r="AN54" s="4">
        <f t="shared" si="2"/>
        <v>336.375</v>
      </c>
      <c r="AO54" s="4">
        <f t="shared" si="3"/>
        <v>373.712625</v>
      </c>
      <c r="AP54" s="4">
        <f t="shared" si="4"/>
        <v>544.89386249999995</v>
      </c>
      <c r="AQ54" s="10">
        <f t="shared" si="5"/>
        <v>380.06291399999998</v>
      </c>
      <c r="AR54" s="10">
        <f t="shared" si="6"/>
        <v>422.28790374539994</v>
      </c>
      <c r="AS54" s="10">
        <f t="shared" si="7"/>
        <v>591.68194451519992</v>
      </c>
    </row>
    <row r="55" spans="1:45" x14ac:dyDescent="0.3">
      <c r="A55">
        <v>2025</v>
      </c>
      <c r="B55">
        <v>12</v>
      </c>
      <c r="C55" t="s">
        <v>35</v>
      </c>
      <c r="D55">
        <v>10</v>
      </c>
      <c r="E55" t="s">
        <v>36</v>
      </c>
      <c r="F55" t="s">
        <v>37</v>
      </c>
      <c r="G55" t="s">
        <v>38</v>
      </c>
      <c r="H55" t="s">
        <v>101</v>
      </c>
      <c r="K55" t="s">
        <v>59</v>
      </c>
      <c r="L55" t="s">
        <v>1812</v>
      </c>
      <c r="M55">
        <v>463649</v>
      </c>
      <c r="N55" t="s">
        <v>42</v>
      </c>
      <c r="O55" t="s">
        <v>1197</v>
      </c>
      <c r="P55" t="s">
        <v>191</v>
      </c>
      <c r="Q55" t="s">
        <v>44</v>
      </c>
      <c r="R55" t="s">
        <v>1626</v>
      </c>
      <c r="S55" t="s">
        <v>1794</v>
      </c>
      <c r="T55" t="s">
        <v>47</v>
      </c>
      <c r="U55" t="s">
        <v>1688</v>
      </c>
      <c r="V55" t="s">
        <v>49</v>
      </c>
      <c r="W55" t="s">
        <v>1289</v>
      </c>
      <c r="X55" t="s">
        <v>388</v>
      </c>
      <c r="Y55" t="s">
        <v>1826</v>
      </c>
      <c r="Z55" t="s">
        <v>1826</v>
      </c>
      <c r="AA55" t="s">
        <v>1828</v>
      </c>
      <c r="AB55" s="3">
        <f t="shared" si="0"/>
        <v>1</v>
      </c>
      <c r="AC55">
        <v>158.4</v>
      </c>
      <c r="AD55">
        <v>158.4</v>
      </c>
      <c r="AE55">
        <v>22.89</v>
      </c>
      <c r="AF55">
        <v>1.1200000000000001</v>
      </c>
      <c r="AG55">
        <v>182.41</v>
      </c>
      <c r="AH55">
        <v>0</v>
      </c>
      <c r="AI55">
        <v>182.41</v>
      </c>
      <c r="AJ55">
        <v>0.91205000000000003</v>
      </c>
      <c r="AK55" t="s">
        <v>54</v>
      </c>
      <c r="AL55">
        <v>452.1</v>
      </c>
      <c r="AM55" s="4">
        <f t="shared" si="1"/>
        <v>182.41</v>
      </c>
      <c r="AN55" s="4">
        <f t="shared" si="2"/>
        <v>297</v>
      </c>
      <c r="AO55" s="4">
        <f t="shared" si="3"/>
        <v>329.96699999999998</v>
      </c>
      <c r="AP55" s="4">
        <f t="shared" si="4"/>
        <v>481.1103</v>
      </c>
      <c r="AQ55" s="10">
        <f t="shared" si="5"/>
        <v>317.22923100000003</v>
      </c>
      <c r="AR55" s="10">
        <f t="shared" si="6"/>
        <v>352.47339856410002</v>
      </c>
      <c r="AS55" s="10">
        <f t="shared" si="7"/>
        <v>493.86246682080002</v>
      </c>
    </row>
    <row r="56" spans="1:45" x14ac:dyDescent="0.3">
      <c r="A56">
        <v>2025</v>
      </c>
      <c r="B56">
        <v>12</v>
      </c>
      <c r="C56" t="s">
        <v>35</v>
      </c>
      <c r="D56">
        <v>10</v>
      </c>
      <c r="E56" t="s">
        <v>36</v>
      </c>
      <c r="F56" t="s">
        <v>37</v>
      </c>
      <c r="G56" t="s">
        <v>38</v>
      </c>
      <c r="H56" t="s">
        <v>101</v>
      </c>
      <c r="K56" t="s">
        <v>59</v>
      </c>
      <c r="L56" t="s">
        <v>1812</v>
      </c>
      <c r="M56">
        <v>463649</v>
      </c>
      <c r="N56" t="s">
        <v>42</v>
      </c>
      <c r="O56" t="s">
        <v>1197</v>
      </c>
      <c r="P56" t="s">
        <v>191</v>
      </c>
      <c r="Q56" t="s">
        <v>44</v>
      </c>
      <c r="R56" t="s">
        <v>1626</v>
      </c>
      <c r="S56" t="s">
        <v>1794</v>
      </c>
      <c r="T56" t="s">
        <v>47</v>
      </c>
      <c r="U56" t="s">
        <v>1688</v>
      </c>
      <c r="V56" t="s">
        <v>49</v>
      </c>
      <c r="W56" t="s">
        <v>1289</v>
      </c>
      <c r="X56" t="s">
        <v>388</v>
      </c>
      <c r="Y56" t="s">
        <v>460</v>
      </c>
      <c r="Z56" t="s">
        <v>460</v>
      </c>
      <c r="AA56" t="s">
        <v>1816</v>
      </c>
      <c r="AB56" s="3">
        <f t="shared" si="0"/>
        <v>1</v>
      </c>
      <c r="AC56">
        <v>732.18</v>
      </c>
      <c r="AD56">
        <v>732.18</v>
      </c>
      <c r="AE56">
        <v>97.52</v>
      </c>
      <c r="AF56">
        <v>5.13</v>
      </c>
      <c r="AG56">
        <v>834.83</v>
      </c>
      <c r="AH56">
        <v>0</v>
      </c>
      <c r="AI56">
        <v>834.83</v>
      </c>
      <c r="AJ56">
        <v>4.17415</v>
      </c>
      <c r="AK56" t="s">
        <v>54</v>
      </c>
      <c r="AL56">
        <v>180.2</v>
      </c>
      <c r="AM56" s="4">
        <f t="shared" si="1"/>
        <v>834.83</v>
      </c>
      <c r="AN56" s="4">
        <f t="shared" si="2"/>
        <v>1372.8374999999999</v>
      </c>
      <c r="AO56" s="4">
        <f t="shared" si="3"/>
        <v>1525.2224624999999</v>
      </c>
      <c r="AP56" s="4">
        <f t="shared" si="4"/>
        <v>2223.8594662499995</v>
      </c>
      <c r="AQ56" s="10">
        <f t="shared" si="5"/>
        <v>1451.8528530000001</v>
      </c>
      <c r="AR56" s="10">
        <f t="shared" si="6"/>
        <v>1613.1537049683</v>
      </c>
      <c r="AS56" s="10">
        <f t="shared" si="7"/>
        <v>2260.2445215503999</v>
      </c>
    </row>
    <row r="57" spans="1:45" x14ac:dyDescent="0.3">
      <c r="A57">
        <v>2025</v>
      </c>
      <c r="B57">
        <v>12</v>
      </c>
      <c r="C57" t="s">
        <v>35</v>
      </c>
      <c r="D57">
        <v>10</v>
      </c>
      <c r="E57" t="s">
        <v>36</v>
      </c>
      <c r="F57" t="s">
        <v>37</v>
      </c>
      <c r="G57" t="s">
        <v>38</v>
      </c>
      <c r="H57" t="s">
        <v>101</v>
      </c>
      <c r="K57" t="s">
        <v>59</v>
      </c>
      <c r="L57" t="s">
        <v>1812</v>
      </c>
      <c r="M57">
        <v>463649</v>
      </c>
      <c r="N57" t="s">
        <v>42</v>
      </c>
      <c r="O57" t="s">
        <v>1197</v>
      </c>
      <c r="P57" t="s">
        <v>191</v>
      </c>
      <c r="Q57" t="s">
        <v>44</v>
      </c>
      <c r="R57" t="s">
        <v>1626</v>
      </c>
      <c r="S57" t="s">
        <v>1794</v>
      </c>
      <c r="T57" t="s">
        <v>47</v>
      </c>
      <c r="U57" t="s">
        <v>1688</v>
      </c>
      <c r="V57" t="s">
        <v>49</v>
      </c>
      <c r="W57" t="s">
        <v>1289</v>
      </c>
      <c r="X57" t="s">
        <v>388</v>
      </c>
      <c r="Y57" t="s">
        <v>460</v>
      </c>
      <c r="Z57" t="s">
        <v>460</v>
      </c>
      <c r="AA57" t="s">
        <v>1816</v>
      </c>
      <c r="AB57" s="3">
        <f t="shared" si="0"/>
        <v>1</v>
      </c>
      <c r="AC57">
        <v>732.18</v>
      </c>
      <c r="AD57" s="2">
        <v>732.18</v>
      </c>
      <c r="AE57" s="2">
        <v>97.52</v>
      </c>
      <c r="AF57" s="2">
        <v>5.13</v>
      </c>
      <c r="AG57" s="2">
        <v>834.83</v>
      </c>
      <c r="AH57">
        <v>0</v>
      </c>
      <c r="AI57">
        <v>834.83</v>
      </c>
      <c r="AJ57">
        <v>4.17415</v>
      </c>
      <c r="AK57" t="s">
        <v>54</v>
      </c>
      <c r="AL57">
        <v>180.2</v>
      </c>
      <c r="AM57" s="4">
        <f t="shared" si="1"/>
        <v>834.83</v>
      </c>
      <c r="AN57" s="4">
        <f t="shared" si="2"/>
        <v>1372.8374999999999</v>
      </c>
      <c r="AO57" s="4">
        <f t="shared" si="3"/>
        <v>1525.2224624999999</v>
      </c>
      <c r="AP57" s="4">
        <f t="shared" si="4"/>
        <v>2223.8594662499995</v>
      </c>
      <c r="AQ57" s="10">
        <f t="shared" si="5"/>
        <v>1451.8528530000001</v>
      </c>
      <c r="AR57" s="10">
        <f t="shared" si="6"/>
        <v>1613.1537049683</v>
      </c>
      <c r="AS57" s="10">
        <f t="shared" si="7"/>
        <v>2260.2445215503999</v>
      </c>
    </row>
    <row r="58" spans="1:45" x14ac:dyDescent="0.3">
      <c r="A58">
        <v>2025</v>
      </c>
      <c r="B58">
        <v>12</v>
      </c>
      <c r="C58" t="s">
        <v>35</v>
      </c>
      <c r="D58">
        <v>10</v>
      </c>
      <c r="E58" t="s">
        <v>36</v>
      </c>
      <c r="F58" t="s">
        <v>37</v>
      </c>
      <c r="G58" t="s">
        <v>38</v>
      </c>
      <c r="H58" t="s">
        <v>101</v>
      </c>
      <c r="K58" t="s">
        <v>59</v>
      </c>
      <c r="L58" t="s">
        <v>1812</v>
      </c>
      <c r="M58">
        <v>463649</v>
      </c>
      <c r="N58" t="s">
        <v>42</v>
      </c>
      <c r="O58" t="s">
        <v>1197</v>
      </c>
      <c r="P58" t="s">
        <v>191</v>
      </c>
      <c r="Q58" t="s">
        <v>44</v>
      </c>
      <c r="R58" t="s">
        <v>1626</v>
      </c>
      <c r="S58" t="s">
        <v>1794</v>
      </c>
      <c r="T58" t="s">
        <v>47</v>
      </c>
      <c r="U58" t="s">
        <v>1688</v>
      </c>
      <c r="V58" t="s">
        <v>49</v>
      </c>
      <c r="W58" t="s">
        <v>1289</v>
      </c>
      <c r="X58" t="s">
        <v>388</v>
      </c>
      <c r="Y58" t="s">
        <v>460</v>
      </c>
      <c r="Z58" t="s">
        <v>460</v>
      </c>
      <c r="AA58" t="s">
        <v>1816</v>
      </c>
      <c r="AB58" s="3">
        <f t="shared" si="0"/>
        <v>1</v>
      </c>
      <c r="AC58">
        <v>732.18</v>
      </c>
      <c r="AD58" s="2">
        <v>732.18</v>
      </c>
      <c r="AE58" s="2">
        <v>97.52</v>
      </c>
      <c r="AF58" s="2">
        <v>5.13</v>
      </c>
      <c r="AG58" s="2">
        <v>834.83</v>
      </c>
      <c r="AH58">
        <v>0</v>
      </c>
      <c r="AI58">
        <v>834.83</v>
      </c>
      <c r="AJ58">
        <v>4.17415</v>
      </c>
      <c r="AK58" t="s">
        <v>54</v>
      </c>
      <c r="AL58">
        <v>180.2</v>
      </c>
      <c r="AM58" s="4">
        <f t="shared" si="1"/>
        <v>834.83</v>
      </c>
      <c r="AN58" s="4">
        <f t="shared" si="2"/>
        <v>1372.8374999999999</v>
      </c>
      <c r="AO58" s="4">
        <f t="shared" si="3"/>
        <v>1525.2224624999999</v>
      </c>
      <c r="AP58" s="4">
        <f t="shared" si="4"/>
        <v>2223.8594662499995</v>
      </c>
      <c r="AQ58" s="10">
        <f t="shared" si="5"/>
        <v>1451.8528530000001</v>
      </c>
      <c r="AR58" s="10">
        <f t="shared" si="6"/>
        <v>1613.1537049683</v>
      </c>
      <c r="AS58" s="10">
        <f t="shared" si="7"/>
        <v>2260.2445215503999</v>
      </c>
    </row>
    <row r="59" spans="1:45" x14ac:dyDescent="0.3">
      <c r="A59">
        <v>2025</v>
      </c>
      <c r="B59">
        <v>12</v>
      </c>
      <c r="C59" t="s">
        <v>35</v>
      </c>
      <c r="D59">
        <v>10</v>
      </c>
      <c r="E59" t="s">
        <v>36</v>
      </c>
      <c r="F59" t="s">
        <v>37</v>
      </c>
      <c r="G59" t="s">
        <v>38</v>
      </c>
      <c r="H59" t="s">
        <v>101</v>
      </c>
      <c r="K59" t="s">
        <v>59</v>
      </c>
      <c r="L59" t="s">
        <v>1812</v>
      </c>
      <c r="M59">
        <v>463649</v>
      </c>
      <c r="N59" t="s">
        <v>42</v>
      </c>
      <c r="O59" t="s">
        <v>1197</v>
      </c>
      <c r="P59" t="s">
        <v>191</v>
      </c>
      <c r="Q59" t="s">
        <v>44</v>
      </c>
      <c r="R59" t="s">
        <v>1626</v>
      </c>
      <c r="S59" t="s">
        <v>1794</v>
      </c>
      <c r="T59" t="s">
        <v>47</v>
      </c>
      <c r="U59" t="s">
        <v>1688</v>
      </c>
      <c r="V59" t="s">
        <v>49</v>
      </c>
      <c r="W59" t="s">
        <v>1289</v>
      </c>
      <c r="X59" t="s">
        <v>388</v>
      </c>
      <c r="Y59" t="s">
        <v>460</v>
      </c>
      <c r="Z59" t="s">
        <v>460</v>
      </c>
      <c r="AA59" t="s">
        <v>1816</v>
      </c>
      <c r="AB59" s="3">
        <f t="shared" si="0"/>
        <v>1</v>
      </c>
      <c r="AC59">
        <v>732.18</v>
      </c>
      <c r="AD59" s="2">
        <v>732.18</v>
      </c>
      <c r="AE59" s="2">
        <v>97.52</v>
      </c>
      <c r="AF59" s="2">
        <v>5.13</v>
      </c>
      <c r="AG59" s="2">
        <v>834.83</v>
      </c>
      <c r="AH59">
        <v>0</v>
      </c>
      <c r="AI59">
        <v>834.83</v>
      </c>
      <c r="AJ59">
        <v>4.17415</v>
      </c>
      <c r="AK59" t="s">
        <v>54</v>
      </c>
      <c r="AL59">
        <v>180.2</v>
      </c>
      <c r="AM59" s="4">
        <f t="shared" si="1"/>
        <v>834.83</v>
      </c>
      <c r="AN59" s="4">
        <f t="shared" si="2"/>
        <v>1372.8374999999999</v>
      </c>
      <c r="AO59" s="4">
        <f t="shared" si="3"/>
        <v>1525.2224624999999</v>
      </c>
      <c r="AP59" s="4">
        <f t="shared" si="4"/>
        <v>2223.8594662499995</v>
      </c>
      <c r="AQ59" s="10">
        <f t="shared" si="5"/>
        <v>1451.8528530000001</v>
      </c>
      <c r="AR59" s="10">
        <f t="shared" si="6"/>
        <v>1613.1537049683</v>
      </c>
      <c r="AS59" s="10">
        <f t="shared" si="7"/>
        <v>2260.2445215503999</v>
      </c>
    </row>
    <row r="60" spans="1:45" x14ac:dyDescent="0.3">
      <c r="A60">
        <v>2025</v>
      </c>
      <c r="B60">
        <v>12</v>
      </c>
      <c r="C60" t="s">
        <v>35</v>
      </c>
      <c r="D60">
        <v>10</v>
      </c>
      <c r="E60" t="s">
        <v>36</v>
      </c>
      <c r="F60" t="s">
        <v>37</v>
      </c>
      <c r="G60" t="s">
        <v>38</v>
      </c>
      <c r="H60" t="s">
        <v>101</v>
      </c>
      <c r="K60" t="s">
        <v>59</v>
      </c>
      <c r="L60" t="s">
        <v>1812</v>
      </c>
      <c r="M60">
        <v>463649</v>
      </c>
      <c r="N60" t="s">
        <v>42</v>
      </c>
      <c r="O60" t="s">
        <v>1197</v>
      </c>
      <c r="P60" t="s">
        <v>191</v>
      </c>
      <c r="Q60" t="s">
        <v>44</v>
      </c>
      <c r="R60" t="s">
        <v>1626</v>
      </c>
      <c r="S60" t="s">
        <v>1794</v>
      </c>
      <c r="T60" t="s">
        <v>47</v>
      </c>
      <c r="U60" t="s">
        <v>1688</v>
      </c>
      <c r="V60" t="s">
        <v>49</v>
      </c>
      <c r="W60" t="s">
        <v>1289</v>
      </c>
      <c r="X60" t="s">
        <v>388</v>
      </c>
      <c r="Y60" t="s">
        <v>460</v>
      </c>
      <c r="Z60" t="s">
        <v>460</v>
      </c>
      <c r="AA60" t="s">
        <v>1815</v>
      </c>
      <c r="AB60" s="3">
        <f t="shared" si="0"/>
        <v>1</v>
      </c>
      <c r="AC60">
        <v>268.33</v>
      </c>
      <c r="AD60" s="2">
        <v>268.33</v>
      </c>
      <c r="AE60" s="2">
        <v>35.74</v>
      </c>
      <c r="AF60" s="2">
        <v>1.88</v>
      </c>
      <c r="AG60" s="2">
        <v>305.95</v>
      </c>
      <c r="AH60">
        <v>0</v>
      </c>
      <c r="AI60">
        <v>305.95</v>
      </c>
      <c r="AJ60">
        <v>1.5297499999999999</v>
      </c>
      <c r="AK60" t="s">
        <v>54</v>
      </c>
      <c r="AL60">
        <v>180.2</v>
      </c>
      <c r="AM60" s="4">
        <f t="shared" si="1"/>
        <v>305.95</v>
      </c>
      <c r="AN60" s="4">
        <f t="shared" si="2"/>
        <v>503.11874999999998</v>
      </c>
      <c r="AO60" s="4">
        <f t="shared" si="3"/>
        <v>558.96493124999995</v>
      </c>
      <c r="AP60" s="4">
        <f t="shared" si="4"/>
        <v>815.00206312499995</v>
      </c>
      <c r="AQ60" s="10">
        <f t="shared" si="5"/>
        <v>532.07764499999996</v>
      </c>
      <c r="AR60" s="10">
        <f t="shared" si="6"/>
        <v>591.19147135949993</v>
      </c>
      <c r="AS60" s="10">
        <f t="shared" si="7"/>
        <v>828.33847773599996</v>
      </c>
    </row>
    <row r="61" spans="1:45" x14ac:dyDescent="0.3">
      <c r="A61">
        <v>2025</v>
      </c>
      <c r="B61">
        <v>12</v>
      </c>
      <c r="C61" t="s">
        <v>35</v>
      </c>
      <c r="D61">
        <v>10</v>
      </c>
      <c r="E61" t="s">
        <v>36</v>
      </c>
      <c r="F61" t="s">
        <v>37</v>
      </c>
      <c r="G61" t="s">
        <v>38</v>
      </c>
      <c r="H61" t="s">
        <v>101</v>
      </c>
      <c r="K61" t="s">
        <v>59</v>
      </c>
      <c r="L61" t="s">
        <v>1812</v>
      </c>
      <c r="M61">
        <v>463649</v>
      </c>
      <c r="N61" t="s">
        <v>42</v>
      </c>
      <c r="O61" t="s">
        <v>1197</v>
      </c>
      <c r="P61" t="s">
        <v>191</v>
      </c>
      <c r="Q61" t="s">
        <v>44</v>
      </c>
      <c r="R61" t="s">
        <v>1626</v>
      </c>
      <c r="S61" t="s">
        <v>1794</v>
      </c>
      <c r="T61" t="s">
        <v>47</v>
      </c>
      <c r="U61" t="s">
        <v>1688</v>
      </c>
      <c r="V61" t="s">
        <v>49</v>
      </c>
      <c r="W61" t="s">
        <v>1289</v>
      </c>
      <c r="X61" t="s">
        <v>388</v>
      </c>
      <c r="Y61" t="s">
        <v>460</v>
      </c>
      <c r="Z61" t="s">
        <v>460</v>
      </c>
      <c r="AA61" t="s">
        <v>1815</v>
      </c>
      <c r="AB61" s="3">
        <f t="shared" si="0"/>
        <v>1</v>
      </c>
      <c r="AC61">
        <v>732.18</v>
      </c>
      <c r="AD61" s="2">
        <v>732.18</v>
      </c>
      <c r="AE61" s="2">
        <v>97.52</v>
      </c>
      <c r="AF61" s="2">
        <v>5.13</v>
      </c>
      <c r="AG61" s="2">
        <v>834.83</v>
      </c>
      <c r="AH61">
        <v>0</v>
      </c>
      <c r="AI61">
        <v>834.83</v>
      </c>
      <c r="AJ61">
        <v>4.17415</v>
      </c>
      <c r="AK61" t="s">
        <v>54</v>
      </c>
      <c r="AL61">
        <v>180.2</v>
      </c>
      <c r="AM61" s="4">
        <f t="shared" si="1"/>
        <v>834.83</v>
      </c>
      <c r="AN61" s="4">
        <f t="shared" si="2"/>
        <v>1372.8374999999999</v>
      </c>
      <c r="AO61" s="4">
        <f t="shared" si="3"/>
        <v>1525.2224624999999</v>
      </c>
      <c r="AP61" s="4">
        <f t="shared" si="4"/>
        <v>2223.8594662499995</v>
      </c>
      <c r="AQ61" s="10">
        <f t="shared" si="5"/>
        <v>1451.8528530000001</v>
      </c>
      <c r="AR61" s="10">
        <f t="shared" si="6"/>
        <v>1613.1537049683</v>
      </c>
      <c r="AS61" s="10">
        <f t="shared" si="7"/>
        <v>2260.2445215503999</v>
      </c>
    </row>
    <row r="62" spans="1:45" x14ac:dyDescent="0.3">
      <c r="A62">
        <v>2025</v>
      </c>
      <c r="B62">
        <v>12</v>
      </c>
      <c r="C62" t="s">
        <v>35</v>
      </c>
      <c r="D62">
        <v>10</v>
      </c>
      <c r="E62" t="s">
        <v>36</v>
      </c>
      <c r="F62" t="s">
        <v>37</v>
      </c>
      <c r="G62" t="s">
        <v>38</v>
      </c>
      <c r="H62" t="s">
        <v>101</v>
      </c>
      <c r="K62" t="s">
        <v>59</v>
      </c>
      <c r="L62" t="s">
        <v>1812</v>
      </c>
      <c r="M62">
        <v>463649</v>
      </c>
      <c r="N62" t="s">
        <v>42</v>
      </c>
      <c r="O62" t="s">
        <v>1197</v>
      </c>
      <c r="P62" t="s">
        <v>191</v>
      </c>
      <c r="Q62" t="s">
        <v>44</v>
      </c>
      <c r="R62" t="s">
        <v>1626</v>
      </c>
      <c r="S62" t="s">
        <v>1794</v>
      </c>
      <c r="T62" t="s">
        <v>47</v>
      </c>
      <c r="U62" t="s">
        <v>1688</v>
      </c>
      <c r="V62" t="s">
        <v>49</v>
      </c>
      <c r="W62" t="s">
        <v>1289</v>
      </c>
      <c r="X62" t="s">
        <v>388</v>
      </c>
      <c r="Y62" t="s">
        <v>460</v>
      </c>
      <c r="Z62" t="s">
        <v>460</v>
      </c>
      <c r="AA62" t="s">
        <v>1815</v>
      </c>
      <c r="AB62" s="3">
        <f t="shared" si="0"/>
        <v>1</v>
      </c>
      <c r="AC62">
        <v>268.33</v>
      </c>
      <c r="AD62" s="2">
        <v>268.33</v>
      </c>
      <c r="AE62" s="2">
        <v>35.74</v>
      </c>
      <c r="AF62" s="2">
        <v>1.88</v>
      </c>
      <c r="AG62" s="2">
        <v>305.95</v>
      </c>
      <c r="AH62">
        <v>0</v>
      </c>
      <c r="AI62">
        <v>305.95</v>
      </c>
      <c r="AJ62">
        <v>1.5297499999999999</v>
      </c>
      <c r="AK62" t="s">
        <v>54</v>
      </c>
      <c r="AL62">
        <v>180.2</v>
      </c>
      <c r="AM62" s="4">
        <f t="shared" si="1"/>
        <v>305.95</v>
      </c>
      <c r="AN62" s="4">
        <f t="shared" si="2"/>
        <v>503.11874999999998</v>
      </c>
      <c r="AO62" s="4">
        <f t="shared" si="3"/>
        <v>558.96493124999995</v>
      </c>
      <c r="AP62" s="4">
        <f t="shared" si="4"/>
        <v>815.00206312499995</v>
      </c>
      <c r="AQ62" s="10">
        <f t="shared" si="5"/>
        <v>532.07764499999996</v>
      </c>
      <c r="AR62" s="10">
        <f t="shared" si="6"/>
        <v>591.19147135949993</v>
      </c>
      <c r="AS62" s="10">
        <f t="shared" si="7"/>
        <v>828.33847773599996</v>
      </c>
    </row>
    <row r="63" spans="1:45" x14ac:dyDescent="0.3">
      <c r="A63">
        <v>2025</v>
      </c>
      <c r="B63">
        <v>12</v>
      </c>
      <c r="C63" t="s">
        <v>35</v>
      </c>
      <c r="D63">
        <v>10</v>
      </c>
      <c r="E63" t="s">
        <v>36</v>
      </c>
      <c r="F63" t="s">
        <v>37</v>
      </c>
      <c r="G63" t="s">
        <v>38</v>
      </c>
      <c r="H63" t="s">
        <v>101</v>
      </c>
      <c r="K63" t="s">
        <v>59</v>
      </c>
      <c r="L63" t="s">
        <v>1812</v>
      </c>
      <c r="M63">
        <v>463649</v>
      </c>
      <c r="N63" t="s">
        <v>42</v>
      </c>
      <c r="O63" t="s">
        <v>1197</v>
      </c>
      <c r="P63" t="s">
        <v>191</v>
      </c>
      <c r="Q63" t="s">
        <v>44</v>
      </c>
      <c r="R63" t="s">
        <v>1626</v>
      </c>
      <c r="S63" t="s">
        <v>1794</v>
      </c>
      <c r="T63" t="s">
        <v>47</v>
      </c>
      <c r="U63" t="s">
        <v>1688</v>
      </c>
      <c r="V63" t="s">
        <v>49</v>
      </c>
      <c r="W63" t="s">
        <v>1289</v>
      </c>
      <c r="X63" t="s">
        <v>388</v>
      </c>
      <c r="Y63" t="s">
        <v>460</v>
      </c>
      <c r="Z63" t="s">
        <v>460</v>
      </c>
      <c r="AA63" t="s">
        <v>1815</v>
      </c>
      <c r="AB63" s="3">
        <f t="shared" si="0"/>
        <v>1</v>
      </c>
      <c r="AC63">
        <v>268.33</v>
      </c>
      <c r="AD63" s="2">
        <v>268.33</v>
      </c>
      <c r="AE63" s="2">
        <v>35.74</v>
      </c>
      <c r="AF63" s="2">
        <v>1.88</v>
      </c>
      <c r="AG63" s="2">
        <v>305.95</v>
      </c>
      <c r="AH63">
        <v>0</v>
      </c>
      <c r="AI63">
        <v>305.95</v>
      </c>
      <c r="AJ63">
        <v>1.5297499999999999</v>
      </c>
      <c r="AK63" t="s">
        <v>54</v>
      </c>
      <c r="AL63">
        <v>180.2</v>
      </c>
      <c r="AM63" s="4">
        <f t="shared" si="1"/>
        <v>305.95</v>
      </c>
      <c r="AN63" s="4">
        <f t="shared" si="2"/>
        <v>503.11874999999998</v>
      </c>
      <c r="AO63" s="4">
        <f t="shared" si="3"/>
        <v>558.96493124999995</v>
      </c>
      <c r="AP63" s="4">
        <f t="shared" si="4"/>
        <v>815.00206312499995</v>
      </c>
      <c r="AQ63" s="10">
        <f t="shared" si="5"/>
        <v>532.07764499999996</v>
      </c>
      <c r="AR63" s="10">
        <f t="shared" si="6"/>
        <v>591.19147135949993</v>
      </c>
      <c r="AS63" s="10">
        <f t="shared" si="7"/>
        <v>828.33847773599996</v>
      </c>
    </row>
    <row r="64" spans="1:45" x14ac:dyDescent="0.3">
      <c r="A64">
        <v>2025</v>
      </c>
      <c r="B64">
        <v>12</v>
      </c>
      <c r="C64" t="s">
        <v>35</v>
      </c>
      <c r="D64">
        <v>10</v>
      </c>
      <c r="E64" t="s">
        <v>36</v>
      </c>
      <c r="F64" t="s">
        <v>37</v>
      </c>
      <c r="G64" t="s">
        <v>38</v>
      </c>
      <c r="H64" t="s">
        <v>101</v>
      </c>
      <c r="K64" t="s">
        <v>59</v>
      </c>
      <c r="L64" t="s">
        <v>1812</v>
      </c>
      <c r="M64">
        <v>463649</v>
      </c>
      <c r="N64" t="s">
        <v>42</v>
      </c>
      <c r="O64" t="s">
        <v>1197</v>
      </c>
      <c r="P64" t="s">
        <v>191</v>
      </c>
      <c r="Q64" t="s">
        <v>44</v>
      </c>
      <c r="R64" t="s">
        <v>1626</v>
      </c>
      <c r="S64" t="s">
        <v>1794</v>
      </c>
      <c r="T64" t="s">
        <v>47</v>
      </c>
      <c r="U64" t="s">
        <v>1688</v>
      </c>
      <c r="V64" t="s">
        <v>49</v>
      </c>
      <c r="W64" t="s">
        <v>1289</v>
      </c>
      <c r="X64" t="s">
        <v>388</v>
      </c>
      <c r="Y64" t="s">
        <v>460</v>
      </c>
      <c r="Z64" t="s">
        <v>460</v>
      </c>
      <c r="AA64" t="s">
        <v>1815</v>
      </c>
      <c r="AB64" s="3">
        <f t="shared" si="0"/>
        <v>1</v>
      </c>
      <c r="AC64">
        <v>268.33</v>
      </c>
      <c r="AD64" s="2">
        <v>268.33</v>
      </c>
      <c r="AE64" s="2">
        <v>35.74</v>
      </c>
      <c r="AF64" s="2">
        <v>1.88</v>
      </c>
      <c r="AG64" s="2">
        <v>305.95</v>
      </c>
      <c r="AH64">
        <v>0</v>
      </c>
      <c r="AI64">
        <v>305.95</v>
      </c>
      <c r="AJ64">
        <v>1.5297499999999999</v>
      </c>
      <c r="AK64" t="s">
        <v>54</v>
      </c>
      <c r="AL64">
        <v>180.2</v>
      </c>
      <c r="AM64" s="4">
        <f t="shared" si="1"/>
        <v>305.95</v>
      </c>
      <c r="AN64" s="4">
        <f t="shared" si="2"/>
        <v>503.11874999999998</v>
      </c>
      <c r="AO64" s="4">
        <f t="shared" si="3"/>
        <v>558.96493124999995</v>
      </c>
      <c r="AP64" s="4">
        <f t="shared" si="4"/>
        <v>815.00206312499995</v>
      </c>
      <c r="AQ64" s="10">
        <f t="shared" si="5"/>
        <v>532.07764499999996</v>
      </c>
      <c r="AR64" s="10">
        <f t="shared" si="6"/>
        <v>591.19147135949993</v>
      </c>
      <c r="AS64" s="10">
        <f t="shared" si="7"/>
        <v>828.33847773599996</v>
      </c>
    </row>
    <row r="65" spans="1:45" x14ac:dyDescent="0.3">
      <c r="A65">
        <v>2025</v>
      </c>
      <c r="B65">
        <v>11</v>
      </c>
      <c r="C65" t="s">
        <v>35</v>
      </c>
      <c r="D65">
        <v>10</v>
      </c>
      <c r="E65" t="s">
        <v>36</v>
      </c>
      <c r="F65" t="s">
        <v>37</v>
      </c>
      <c r="G65" t="s">
        <v>38</v>
      </c>
      <c r="H65" t="s">
        <v>83</v>
      </c>
      <c r="I65" t="s">
        <v>190</v>
      </c>
      <c r="K65" t="s">
        <v>59</v>
      </c>
      <c r="L65" t="s">
        <v>1673</v>
      </c>
      <c r="M65">
        <v>462409</v>
      </c>
      <c r="N65" t="s">
        <v>42</v>
      </c>
      <c r="O65" t="s">
        <v>1197</v>
      </c>
      <c r="Q65" t="s">
        <v>44</v>
      </c>
      <c r="R65" t="s">
        <v>1674</v>
      </c>
      <c r="S65" t="s">
        <v>1675</v>
      </c>
      <c r="T65" t="s">
        <v>47</v>
      </c>
      <c r="U65" t="s">
        <v>199</v>
      </c>
      <c r="V65" t="s">
        <v>49</v>
      </c>
      <c r="W65" t="s">
        <v>697</v>
      </c>
      <c r="X65" t="s">
        <v>388</v>
      </c>
      <c r="Y65" t="s">
        <v>460</v>
      </c>
      <c r="Z65" t="s">
        <v>460</v>
      </c>
      <c r="AA65" t="s">
        <v>1815</v>
      </c>
      <c r="AB65" s="3">
        <f t="shared" si="0"/>
        <v>1</v>
      </c>
      <c r="AC65">
        <v>268.33</v>
      </c>
      <c r="AD65" s="2">
        <v>268.33</v>
      </c>
      <c r="AE65" s="2">
        <v>35.74</v>
      </c>
      <c r="AF65" s="2">
        <v>1.88</v>
      </c>
      <c r="AG65" s="2">
        <v>305.95</v>
      </c>
      <c r="AH65">
        <v>0</v>
      </c>
      <c r="AI65">
        <v>305.95</v>
      </c>
      <c r="AJ65">
        <v>1.5297499999999999</v>
      </c>
      <c r="AK65" t="s">
        <v>54</v>
      </c>
      <c r="AL65">
        <v>180.2</v>
      </c>
      <c r="AM65" s="4">
        <f t="shared" si="1"/>
        <v>305.95</v>
      </c>
      <c r="AN65" s="4">
        <f t="shared" si="2"/>
        <v>503.11874999999998</v>
      </c>
      <c r="AO65" s="4">
        <f t="shared" si="3"/>
        <v>558.96493124999995</v>
      </c>
      <c r="AP65" s="4">
        <f t="shared" si="4"/>
        <v>815.00206312499995</v>
      </c>
      <c r="AQ65" s="10">
        <f t="shared" si="5"/>
        <v>532.07764499999996</v>
      </c>
      <c r="AR65" s="10">
        <f t="shared" si="6"/>
        <v>591.19147135949993</v>
      </c>
      <c r="AS65" s="10">
        <f t="shared" si="7"/>
        <v>828.33847773599996</v>
      </c>
    </row>
    <row r="66" spans="1:45" x14ac:dyDescent="0.3">
      <c r="A66">
        <v>2025</v>
      </c>
      <c r="B66">
        <v>5</v>
      </c>
      <c r="C66" t="s">
        <v>35</v>
      </c>
      <c r="D66">
        <v>10</v>
      </c>
      <c r="E66" t="s">
        <v>36</v>
      </c>
      <c r="F66" t="s">
        <v>37</v>
      </c>
      <c r="G66" t="s">
        <v>38</v>
      </c>
      <c r="H66" t="s">
        <v>83</v>
      </c>
      <c r="I66" t="s">
        <v>190</v>
      </c>
      <c r="J66" t="s">
        <v>40</v>
      </c>
      <c r="K66" t="s">
        <v>59</v>
      </c>
      <c r="M66">
        <v>443015</v>
      </c>
      <c r="N66" t="s">
        <v>42</v>
      </c>
      <c r="O66" t="s">
        <v>36</v>
      </c>
      <c r="P66" t="s">
        <v>191</v>
      </c>
      <c r="Q66" t="s">
        <v>44</v>
      </c>
      <c r="R66" t="s">
        <v>695</v>
      </c>
      <c r="S66" t="s">
        <v>673</v>
      </c>
      <c r="T66" t="s">
        <v>47</v>
      </c>
      <c r="U66" t="s">
        <v>199</v>
      </c>
      <c r="V66" t="s">
        <v>49</v>
      </c>
      <c r="W66" t="s">
        <v>697</v>
      </c>
      <c r="X66" t="s">
        <v>388</v>
      </c>
      <c r="Y66" t="s">
        <v>460</v>
      </c>
      <c r="Z66" t="s">
        <v>460</v>
      </c>
      <c r="AA66" t="s">
        <v>1677</v>
      </c>
      <c r="AB66" s="3">
        <f t="shared" si="0"/>
        <v>1</v>
      </c>
      <c r="AC66">
        <v>674.53</v>
      </c>
      <c r="AD66" s="2">
        <v>674.53</v>
      </c>
      <c r="AE66" s="2">
        <v>51.63</v>
      </c>
      <c r="AF66" s="2">
        <v>4.49</v>
      </c>
      <c r="AG66" s="2">
        <v>730.65</v>
      </c>
      <c r="AH66">
        <v>0</v>
      </c>
      <c r="AI66">
        <v>730.65</v>
      </c>
      <c r="AJ66">
        <v>3.6532499999999999</v>
      </c>
      <c r="AK66" t="s">
        <v>54</v>
      </c>
      <c r="AL66">
        <v>19.489999999999998</v>
      </c>
      <c r="AM66" s="4">
        <f t="shared" si="1"/>
        <v>730.65</v>
      </c>
      <c r="AN66" s="4">
        <f t="shared" si="2"/>
        <v>1264.7437499999999</v>
      </c>
      <c r="AO66" s="4">
        <f t="shared" si="3"/>
        <v>1405.1303062499999</v>
      </c>
      <c r="AP66" s="4">
        <f t="shared" si="4"/>
        <v>2048.7584006249995</v>
      </c>
      <c r="AQ66" s="10">
        <f t="shared" si="5"/>
        <v>1270.673415</v>
      </c>
      <c r="AR66" s="10">
        <f t="shared" si="6"/>
        <v>1411.8452314065</v>
      </c>
      <c r="AS66" s="10">
        <f t="shared" si="7"/>
        <v>1978.1843724719999</v>
      </c>
    </row>
    <row r="67" spans="1:45" x14ac:dyDescent="0.3">
      <c r="A67">
        <v>2025</v>
      </c>
      <c r="B67">
        <v>12</v>
      </c>
      <c r="C67" t="s">
        <v>55</v>
      </c>
      <c r="D67">
        <v>10</v>
      </c>
      <c r="E67" t="s">
        <v>36</v>
      </c>
      <c r="F67" t="s">
        <v>37</v>
      </c>
      <c r="G67" t="s">
        <v>38</v>
      </c>
      <c r="H67" t="s">
        <v>78</v>
      </c>
      <c r="I67" t="s">
        <v>57</v>
      </c>
      <c r="J67" t="s">
        <v>58</v>
      </c>
      <c r="K67" t="s">
        <v>59</v>
      </c>
      <c r="L67" t="s">
        <v>1769</v>
      </c>
      <c r="M67" t="s">
        <v>1770</v>
      </c>
      <c r="N67" t="s">
        <v>1771</v>
      </c>
      <c r="O67" t="s">
        <v>1197</v>
      </c>
      <c r="Q67" t="s">
        <v>62</v>
      </c>
      <c r="R67" t="s">
        <v>1772</v>
      </c>
      <c r="S67" t="s">
        <v>1772</v>
      </c>
      <c r="T67" t="s">
        <v>47</v>
      </c>
      <c r="U67" t="s">
        <v>1936</v>
      </c>
      <c r="V67" t="s">
        <v>49</v>
      </c>
      <c r="W67" t="s">
        <v>935</v>
      </c>
      <c r="X67" t="s">
        <v>51</v>
      </c>
      <c r="Y67" t="s">
        <v>196</v>
      </c>
      <c r="Z67" t="s">
        <v>196</v>
      </c>
      <c r="AA67" t="s">
        <v>703</v>
      </c>
      <c r="AB67" s="3">
        <f t="shared" ref="AB67:AB130" si="8">SUM(AC67/AD67)</f>
        <v>1</v>
      </c>
      <c r="AC67">
        <v>206.92</v>
      </c>
      <c r="AD67" s="2">
        <v>206.92</v>
      </c>
      <c r="AE67" s="2">
        <v>20.83</v>
      </c>
      <c r="AF67" s="2">
        <v>1.41</v>
      </c>
      <c r="AG67" s="2">
        <v>229.16</v>
      </c>
      <c r="AH67">
        <v>0</v>
      </c>
      <c r="AI67">
        <v>229.16</v>
      </c>
      <c r="AJ67">
        <v>1.1457999999999999</v>
      </c>
      <c r="AK67" t="s">
        <v>54</v>
      </c>
      <c r="AL67">
        <v>495.66</v>
      </c>
      <c r="AM67" s="4">
        <f t="shared" ref="AM67:AM130" si="9">SUM(AG67/AB67)</f>
        <v>229.16</v>
      </c>
      <c r="AN67" s="4">
        <f t="shared" ref="AN67:AN130" si="10">SUM(AD67*1.875)</f>
        <v>387.97499999999997</v>
      </c>
      <c r="AO67" s="4">
        <f t="shared" si="3"/>
        <v>431.04022499999996</v>
      </c>
      <c r="AP67" s="4">
        <f t="shared" si="4"/>
        <v>628.48070249999989</v>
      </c>
      <c r="AQ67" s="10">
        <f t="shared" si="5"/>
        <v>398.53215600000004</v>
      </c>
      <c r="AR67" s="10">
        <f t="shared" si="6"/>
        <v>442.80907853160005</v>
      </c>
      <c r="AS67" s="10">
        <f t="shared" si="7"/>
        <v>620.4348604608</v>
      </c>
    </row>
    <row r="68" spans="1:45" x14ac:dyDescent="0.3">
      <c r="A68">
        <v>2025</v>
      </c>
      <c r="B68">
        <v>8</v>
      </c>
      <c r="C68" t="s">
        <v>55</v>
      </c>
      <c r="D68">
        <v>10</v>
      </c>
      <c r="E68" t="s">
        <v>36</v>
      </c>
      <c r="F68" t="s">
        <v>37</v>
      </c>
      <c r="G68" t="s">
        <v>38</v>
      </c>
      <c r="H68" t="s">
        <v>132</v>
      </c>
      <c r="I68" t="s">
        <v>190</v>
      </c>
      <c r="J68" t="s">
        <v>58</v>
      </c>
      <c r="K68" t="s">
        <v>59</v>
      </c>
      <c r="L68" t="s">
        <v>1194</v>
      </c>
      <c r="M68" t="s">
        <v>1195</v>
      </c>
      <c r="N68" t="s">
        <v>1196</v>
      </c>
      <c r="O68" t="s">
        <v>1197</v>
      </c>
      <c r="Q68" t="s">
        <v>62</v>
      </c>
      <c r="R68" t="s">
        <v>1198</v>
      </c>
      <c r="S68" t="s">
        <v>1198</v>
      </c>
      <c r="T68" t="s">
        <v>47</v>
      </c>
      <c r="U68" t="s">
        <v>79</v>
      </c>
      <c r="V68" t="s">
        <v>49</v>
      </c>
      <c r="W68" t="s">
        <v>80</v>
      </c>
      <c r="X68" t="s">
        <v>388</v>
      </c>
      <c r="Y68" t="s">
        <v>369</v>
      </c>
      <c r="Z68" t="s">
        <v>369</v>
      </c>
      <c r="AA68" t="s">
        <v>1937</v>
      </c>
      <c r="AB68" s="3">
        <f t="shared" si="8"/>
        <v>10</v>
      </c>
      <c r="AC68">
        <v>54.15</v>
      </c>
      <c r="AD68" s="2">
        <v>5.415</v>
      </c>
      <c r="AE68" s="2">
        <v>16.7</v>
      </c>
      <c r="AF68" s="2">
        <v>0.41</v>
      </c>
      <c r="AG68" s="2">
        <v>70.63</v>
      </c>
      <c r="AH68">
        <v>0</v>
      </c>
      <c r="AI68">
        <v>7.0629999999999997</v>
      </c>
      <c r="AJ68">
        <v>0.35315000000000002</v>
      </c>
      <c r="AK68" t="s">
        <v>54</v>
      </c>
      <c r="AL68">
        <v>0.4</v>
      </c>
      <c r="AM68" s="4">
        <f t="shared" si="9"/>
        <v>7.0629999999999997</v>
      </c>
      <c r="AN68" s="4">
        <f t="shared" si="10"/>
        <v>10.153124999999999</v>
      </c>
      <c r="AO68" s="4">
        <f t="shared" ref="AO68:AO131" si="11">SUM(AN68)*1.111</f>
        <v>11.280121874999999</v>
      </c>
      <c r="AP68" s="4">
        <f t="shared" ref="AP68:AP131" si="12">SUM(AN68)*1.6199</f>
        <v>16.447047187499997</v>
      </c>
      <c r="AQ68" s="10">
        <f t="shared" ref="AQ68:AQ131" si="13">SUM(AM68)*1.7391</f>
        <v>12.2832633</v>
      </c>
      <c r="AR68" s="10">
        <f t="shared" ref="AR68:AR131" si="14">SUM(AQ68)*1.1111</f>
        <v>13.647933852629999</v>
      </c>
      <c r="AS68" s="10">
        <f t="shared" ref="AS68:AS131" si="15">SUM(AQ68)*1.5568</f>
        <v>19.12258430544</v>
      </c>
    </row>
    <row r="69" spans="1:45" x14ac:dyDescent="0.3">
      <c r="A69">
        <v>2025</v>
      </c>
      <c r="B69">
        <v>11</v>
      </c>
      <c r="C69" t="s">
        <v>55</v>
      </c>
      <c r="D69">
        <v>10</v>
      </c>
      <c r="E69" t="s">
        <v>36</v>
      </c>
      <c r="F69" t="s">
        <v>37</v>
      </c>
      <c r="G69" t="s">
        <v>38</v>
      </c>
      <c r="H69" t="s">
        <v>132</v>
      </c>
      <c r="I69" t="s">
        <v>375</v>
      </c>
      <c r="J69" t="s">
        <v>376</v>
      </c>
      <c r="K69" t="s">
        <v>59</v>
      </c>
      <c r="L69" t="s">
        <v>1632</v>
      </c>
      <c r="M69" t="s">
        <v>1633</v>
      </c>
      <c r="N69" t="s">
        <v>1485</v>
      </c>
      <c r="O69" t="s">
        <v>1197</v>
      </c>
      <c r="Q69" t="s">
        <v>62</v>
      </c>
      <c r="R69" t="s">
        <v>1634</v>
      </c>
      <c r="S69" t="s">
        <v>1634</v>
      </c>
      <c r="T69" t="s">
        <v>47</v>
      </c>
      <c r="U69" t="s">
        <v>968</v>
      </c>
      <c r="V69" t="s">
        <v>49</v>
      </c>
      <c r="W69" t="s">
        <v>80</v>
      </c>
      <c r="X69" t="s">
        <v>51</v>
      </c>
      <c r="Y69" t="s">
        <v>1207</v>
      </c>
      <c r="Z69" t="s">
        <v>1207</v>
      </c>
      <c r="AA69" t="s">
        <v>1208</v>
      </c>
      <c r="AB69" s="3">
        <f t="shared" si="8"/>
        <v>10</v>
      </c>
      <c r="AC69">
        <v>108.42</v>
      </c>
      <c r="AD69" s="2">
        <v>10.842000000000001</v>
      </c>
      <c r="AE69" s="2">
        <v>7.77</v>
      </c>
      <c r="AF69" s="2">
        <v>0.7</v>
      </c>
      <c r="AG69" s="2">
        <v>116.89</v>
      </c>
      <c r="AH69">
        <v>0</v>
      </c>
      <c r="AI69">
        <v>11.689</v>
      </c>
      <c r="AJ69">
        <v>0.58445000000000003</v>
      </c>
      <c r="AK69" t="s">
        <v>54</v>
      </c>
      <c r="AL69">
        <v>0.91</v>
      </c>
      <c r="AM69" s="4">
        <f t="shared" si="9"/>
        <v>11.689</v>
      </c>
      <c r="AN69" s="4">
        <f t="shared" si="10"/>
        <v>20.328749999999999</v>
      </c>
      <c r="AO69" s="4">
        <f t="shared" si="11"/>
        <v>22.585241249999999</v>
      </c>
      <c r="AP69" s="4">
        <f t="shared" si="12"/>
        <v>32.930542124999995</v>
      </c>
      <c r="AQ69" s="10">
        <f t="shared" si="13"/>
        <v>20.3283399</v>
      </c>
      <c r="AR69" s="10">
        <f t="shared" si="14"/>
        <v>22.586818462889998</v>
      </c>
      <c r="AS69" s="10">
        <f t="shared" si="15"/>
        <v>31.647159556319998</v>
      </c>
    </row>
    <row r="70" spans="1:45" x14ac:dyDescent="0.3">
      <c r="A70">
        <v>2025</v>
      </c>
      <c r="B70">
        <v>11</v>
      </c>
      <c r="C70" t="s">
        <v>55</v>
      </c>
      <c r="D70">
        <v>10</v>
      </c>
      <c r="E70" t="s">
        <v>36</v>
      </c>
      <c r="F70" t="s">
        <v>37</v>
      </c>
      <c r="G70" t="s">
        <v>38</v>
      </c>
      <c r="H70" t="s">
        <v>132</v>
      </c>
      <c r="I70" t="s">
        <v>375</v>
      </c>
      <c r="J70" t="s">
        <v>376</v>
      </c>
      <c r="K70" t="s">
        <v>59</v>
      </c>
      <c r="L70" t="s">
        <v>1632</v>
      </c>
      <c r="M70" t="s">
        <v>1633</v>
      </c>
      <c r="N70" t="s">
        <v>1485</v>
      </c>
      <c r="O70" t="s">
        <v>1197</v>
      </c>
      <c r="Q70" t="s">
        <v>62</v>
      </c>
      <c r="R70" t="s">
        <v>1634</v>
      </c>
      <c r="S70" t="s">
        <v>1634</v>
      </c>
      <c r="T70" t="s">
        <v>47</v>
      </c>
      <c r="U70" t="s">
        <v>968</v>
      </c>
      <c r="V70" t="s">
        <v>49</v>
      </c>
      <c r="W70" t="s">
        <v>80</v>
      </c>
      <c r="X70" t="s">
        <v>51</v>
      </c>
      <c r="Y70" t="s">
        <v>1209</v>
      </c>
      <c r="Z70" t="s">
        <v>1209</v>
      </c>
      <c r="AA70" t="s">
        <v>1637</v>
      </c>
      <c r="AB70" s="3">
        <f t="shared" si="8"/>
        <v>10</v>
      </c>
      <c r="AC70">
        <v>36.450000000000003</v>
      </c>
      <c r="AD70" s="2">
        <v>3.645</v>
      </c>
      <c r="AE70" s="2">
        <v>0.1</v>
      </c>
      <c r="AF70" s="2">
        <v>0.1</v>
      </c>
      <c r="AG70" s="2">
        <v>36.479999999999997</v>
      </c>
      <c r="AH70">
        <v>0</v>
      </c>
      <c r="AI70">
        <v>3.6480000000000001</v>
      </c>
      <c r="AJ70">
        <v>0.18240000000000001</v>
      </c>
      <c r="AK70" t="s">
        <v>54</v>
      </c>
      <c r="AL70">
        <v>0.32</v>
      </c>
      <c r="AM70" s="4">
        <f t="shared" si="9"/>
        <v>3.6479999999999997</v>
      </c>
      <c r="AN70" s="4">
        <f t="shared" si="10"/>
        <v>6.8343749999999996</v>
      </c>
      <c r="AO70" s="4">
        <f t="shared" si="11"/>
        <v>7.5929906249999997</v>
      </c>
      <c r="AP70" s="4">
        <f t="shared" si="12"/>
        <v>11.071004062499998</v>
      </c>
      <c r="AQ70" s="10">
        <f t="shared" si="13"/>
        <v>6.3442368</v>
      </c>
      <c r="AR70" s="10">
        <f t="shared" si="14"/>
        <v>7.0490815084799996</v>
      </c>
      <c r="AS70" s="10">
        <f t="shared" si="15"/>
        <v>9.876707850239999</v>
      </c>
    </row>
    <row r="71" spans="1:45" x14ac:dyDescent="0.3">
      <c r="A71">
        <v>2025</v>
      </c>
      <c r="B71">
        <v>7</v>
      </c>
      <c r="C71" t="s">
        <v>55</v>
      </c>
      <c r="D71">
        <v>10</v>
      </c>
      <c r="E71" t="s">
        <v>36</v>
      </c>
      <c r="F71" t="s">
        <v>37</v>
      </c>
      <c r="G71" t="s">
        <v>38</v>
      </c>
      <c r="H71" t="s">
        <v>341</v>
      </c>
      <c r="I71" t="s">
        <v>190</v>
      </c>
      <c r="J71" t="s">
        <v>58</v>
      </c>
      <c r="K71" t="s">
        <v>41</v>
      </c>
      <c r="L71" t="s">
        <v>953</v>
      </c>
      <c r="M71" t="s">
        <v>954</v>
      </c>
      <c r="N71" t="s">
        <v>731</v>
      </c>
      <c r="O71" t="s">
        <v>36</v>
      </c>
      <c r="Q71" t="s">
        <v>62</v>
      </c>
      <c r="R71" t="s">
        <v>955</v>
      </c>
      <c r="S71" t="s">
        <v>956</v>
      </c>
      <c r="T71" t="s">
        <v>47</v>
      </c>
      <c r="U71" t="s">
        <v>79</v>
      </c>
      <c r="V71" t="s">
        <v>49</v>
      </c>
      <c r="W71" t="s">
        <v>80</v>
      </c>
      <c r="X71" t="s">
        <v>51</v>
      </c>
      <c r="Y71" t="s">
        <v>1635</v>
      </c>
      <c r="Z71" t="s">
        <v>1635</v>
      </c>
      <c r="AA71" t="s">
        <v>1636</v>
      </c>
      <c r="AB71" s="3">
        <f t="shared" si="8"/>
        <v>14.000000000000098</v>
      </c>
      <c r="AC71">
        <v>84.95</v>
      </c>
      <c r="AD71" s="2">
        <v>6.0678571428571004</v>
      </c>
      <c r="AE71" s="2">
        <v>0.3</v>
      </c>
      <c r="AF71" s="2">
        <v>0.3</v>
      </c>
      <c r="AG71" s="2">
        <v>85.1</v>
      </c>
      <c r="AH71">
        <v>0</v>
      </c>
      <c r="AI71">
        <v>6.0785714285713999</v>
      </c>
      <c r="AJ71">
        <v>0.42549999999999999</v>
      </c>
      <c r="AK71" t="s">
        <v>54</v>
      </c>
      <c r="AL71">
        <v>0.74</v>
      </c>
      <c r="AM71" s="4">
        <f t="shared" si="9"/>
        <v>6.0785714285713857</v>
      </c>
      <c r="AN71" s="4">
        <f t="shared" si="10"/>
        <v>11.377232142857064</v>
      </c>
      <c r="AO71" s="4">
        <f t="shared" si="11"/>
        <v>12.640104910714198</v>
      </c>
      <c r="AP71" s="4">
        <f t="shared" si="12"/>
        <v>18.429978348214156</v>
      </c>
      <c r="AQ71" s="10">
        <f t="shared" si="13"/>
        <v>10.571243571428496</v>
      </c>
      <c r="AR71" s="10">
        <f t="shared" si="14"/>
        <v>11.745708732214203</v>
      </c>
      <c r="AS71" s="10">
        <f t="shared" si="15"/>
        <v>16.457311991999884</v>
      </c>
    </row>
    <row r="72" spans="1:45" x14ac:dyDescent="0.3">
      <c r="A72">
        <v>2025</v>
      </c>
      <c r="B72">
        <v>12</v>
      </c>
      <c r="C72" t="s">
        <v>55</v>
      </c>
      <c r="D72">
        <v>10</v>
      </c>
      <c r="E72" t="s">
        <v>36</v>
      </c>
      <c r="F72" t="s">
        <v>37</v>
      </c>
      <c r="G72" t="s">
        <v>38</v>
      </c>
      <c r="H72" t="s">
        <v>341</v>
      </c>
      <c r="I72" t="s">
        <v>57</v>
      </c>
      <c r="J72" t="s">
        <v>58</v>
      </c>
      <c r="K72" t="s">
        <v>59</v>
      </c>
      <c r="L72" t="s">
        <v>1769</v>
      </c>
      <c r="M72" t="s">
        <v>1770</v>
      </c>
      <c r="N72" t="s">
        <v>1771</v>
      </c>
      <c r="O72" t="s">
        <v>1197</v>
      </c>
      <c r="Q72" t="s">
        <v>62</v>
      </c>
      <c r="R72" t="s">
        <v>1772</v>
      </c>
      <c r="S72" t="s">
        <v>1772</v>
      </c>
      <c r="T72" t="s">
        <v>47</v>
      </c>
      <c r="U72" t="s">
        <v>968</v>
      </c>
      <c r="V72" t="s">
        <v>49</v>
      </c>
      <c r="W72" t="s">
        <v>80</v>
      </c>
      <c r="X72" t="s">
        <v>51</v>
      </c>
      <c r="Y72" t="s">
        <v>974</v>
      </c>
      <c r="Z72" t="s">
        <v>974</v>
      </c>
      <c r="AA72" t="s">
        <v>975</v>
      </c>
      <c r="AB72" s="3">
        <f t="shared" si="8"/>
        <v>12.929999999999833</v>
      </c>
      <c r="AC72">
        <v>49.86</v>
      </c>
      <c r="AD72" s="2">
        <v>3.8561484918794</v>
      </c>
      <c r="AE72" s="2">
        <v>174.25</v>
      </c>
      <c r="AF72" s="2">
        <v>0.2</v>
      </c>
      <c r="AG72" s="2">
        <v>224.31</v>
      </c>
      <c r="AH72">
        <v>0</v>
      </c>
      <c r="AI72">
        <v>17.348027842227001</v>
      </c>
      <c r="AJ72">
        <v>1.12155</v>
      </c>
      <c r="AK72" t="s">
        <v>54</v>
      </c>
      <c r="AL72">
        <v>13.4</v>
      </c>
      <c r="AM72" s="4">
        <f t="shared" si="9"/>
        <v>17.348027842227602</v>
      </c>
      <c r="AN72" s="4">
        <f t="shared" si="10"/>
        <v>7.2302784222738747</v>
      </c>
      <c r="AO72" s="4">
        <f t="shared" si="11"/>
        <v>8.0328393271462755</v>
      </c>
      <c r="AP72" s="4">
        <f t="shared" si="12"/>
        <v>11.712328016241448</v>
      </c>
      <c r="AQ72" s="10">
        <f t="shared" si="13"/>
        <v>30.169955220418025</v>
      </c>
      <c r="AR72" s="10">
        <f t="shared" si="14"/>
        <v>33.521837245406466</v>
      </c>
      <c r="AS72" s="10">
        <f t="shared" si="15"/>
        <v>46.968586287146778</v>
      </c>
    </row>
    <row r="73" spans="1:45" x14ac:dyDescent="0.3">
      <c r="A73">
        <v>2025</v>
      </c>
      <c r="B73">
        <v>7</v>
      </c>
      <c r="C73" t="s">
        <v>55</v>
      </c>
      <c r="D73">
        <v>10</v>
      </c>
      <c r="E73" t="s">
        <v>36</v>
      </c>
      <c r="F73" t="s">
        <v>37</v>
      </c>
      <c r="G73" t="s">
        <v>38</v>
      </c>
      <c r="H73" t="s">
        <v>83</v>
      </c>
      <c r="I73" t="s">
        <v>190</v>
      </c>
      <c r="J73" t="s">
        <v>58</v>
      </c>
      <c r="K73" t="s">
        <v>41</v>
      </c>
      <c r="L73" t="s">
        <v>953</v>
      </c>
      <c r="M73" t="s">
        <v>954</v>
      </c>
      <c r="N73" t="s">
        <v>731</v>
      </c>
      <c r="O73" t="s">
        <v>36</v>
      </c>
      <c r="Q73" t="s">
        <v>62</v>
      </c>
      <c r="R73" t="s">
        <v>955</v>
      </c>
      <c r="S73" t="s">
        <v>956</v>
      </c>
      <c r="T73" t="s">
        <v>47</v>
      </c>
      <c r="U73" t="s">
        <v>79</v>
      </c>
      <c r="V73" t="s">
        <v>49</v>
      </c>
      <c r="W73" t="s">
        <v>80</v>
      </c>
      <c r="X73" t="s">
        <v>51</v>
      </c>
      <c r="Y73" t="s">
        <v>974</v>
      </c>
      <c r="Z73" t="s">
        <v>974</v>
      </c>
      <c r="AA73" t="s">
        <v>975</v>
      </c>
      <c r="AB73" s="3">
        <f t="shared" si="8"/>
        <v>6.0000000000000382</v>
      </c>
      <c r="AC73">
        <v>31.64</v>
      </c>
      <c r="AD73" s="2">
        <v>5.2733333333332997</v>
      </c>
      <c r="AE73" s="2">
        <v>9.39</v>
      </c>
      <c r="AF73" s="2">
        <v>0.24</v>
      </c>
      <c r="AG73" s="2">
        <v>41.27</v>
      </c>
      <c r="AH73">
        <v>0</v>
      </c>
      <c r="AI73">
        <v>6.8783333333333001</v>
      </c>
      <c r="AJ73">
        <v>0.20635000000000001</v>
      </c>
      <c r="AK73" t="s">
        <v>54</v>
      </c>
      <c r="AL73">
        <v>0.24</v>
      </c>
      <c r="AM73" s="4">
        <f t="shared" si="9"/>
        <v>6.8783333333332903</v>
      </c>
      <c r="AN73" s="4">
        <f t="shared" si="10"/>
        <v>9.8874999999999371</v>
      </c>
      <c r="AO73" s="4">
        <f t="shared" si="11"/>
        <v>10.985012499999931</v>
      </c>
      <c r="AP73" s="4">
        <f t="shared" si="12"/>
        <v>16.016761249999899</v>
      </c>
      <c r="AQ73" s="10">
        <f t="shared" si="13"/>
        <v>11.962109499999926</v>
      </c>
      <c r="AR73" s="10">
        <f t="shared" si="14"/>
        <v>13.291099865449917</v>
      </c>
      <c r="AS73" s="10">
        <f t="shared" si="15"/>
        <v>18.622612069599885</v>
      </c>
    </row>
    <row r="74" spans="1:45" x14ac:dyDescent="0.3">
      <c r="A74">
        <v>2025</v>
      </c>
      <c r="B74">
        <v>9</v>
      </c>
      <c r="C74" t="s">
        <v>55</v>
      </c>
      <c r="D74">
        <v>10</v>
      </c>
      <c r="E74" t="s">
        <v>36</v>
      </c>
      <c r="F74" t="s">
        <v>37</v>
      </c>
      <c r="G74" t="s">
        <v>38</v>
      </c>
      <c r="H74" t="s">
        <v>83</v>
      </c>
      <c r="I74" t="s">
        <v>375</v>
      </c>
      <c r="J74" t="s">
        <v>376</v>
      </c>
      <c r="K74" t="s">
        <v>59</v>
      </c>
      <c r="L74" t="s">
        <v>1483</v>
      </c>
      <c r="M74" t="s">
        <v>1484</v>
      </c>
      <c r="N74" t="s">
        <v>1485</v>
      </c>
      <c r="O74" t="s">
        <v>1197</v>
      </c>
      <c r="Q74" t="s">
        <v>62</v>
      </c>
      <c r="R74" t="s">
        <v>1486</v>
      </c>
      <c r="S74" t="s">
        <v>1486</v>
      </c>
      <c r="T74" t="s">
        <v>47</v>
      </c>
      <c r="U74" t="s">
        <v>968</v>
      </c>
      <c r="V74" t="s">
        <v>49</v>
      </c>
      <c r="W74" t="s">
        <v>80</v>
      </c>
      <c r="X74" t="s">
        <v>51</v>
      </c>
      <c r="Y74" t="s">
        <v>760</v>
      </c>
      <c r="Z74" t="s">
        <v>760</v>
      </c>
      <c r="AA74" t="s">
        <v>971</v>
      </c>
      <c r="AB74" s="3">
        <f t="shared" si="8"/>
        <v>4.3099999999999854</v>
      </c>
      <c r="AC74">
        <v>24.25</v>
      </c>
      <c r="AD74" s="2">
        <v>5.6264501160093001</v>
      </c>
      <c r="AE74" s="2">
        <v>58.8</v>
      </c>
      <c r="AF74" s="2">
        <v>0.12</v>
      </c>
      <c r="AG74" s="2">
        <v>82.45</v>
      </c>
      <c r="AH74">
        <v>0</v>
      </c>
      <c r="AI74">
        <v>19.129930394432002</v>
      </c>
      <c r="AJ74">
        <v>0.41225000000000001</v>
      </c>
      <c r="AK74" t="s">
        <v>54</v>
      </c>
      <c r="AL74">
        <v>4.3499999999999996</v>
      </c>
      <c r="AM74" s="4">
        <f t="shared" si="9"/>
        <v>19.129930394431621</v>
      </c>
      <c r="AN74" s="4">
        <f t="shared" si="10"/>
        <v>10.549593967517438</v>
      </c>
      <c r="AO74" s="4">
        <f t="shared" si="11"/>
        <v>11.720598897911874</v>
      </c>
      <c r="AP74" s="4">
        <f t="shared" si="12"/>
        <v>17.089287267981497</v>
      </c>
      <c r="AQ74" s="10">
        <f t="shared" si="13"/>
        <v>33.268861948956037</v>
      </c>
      <c r="AR74" s="10">
        <f t="shared" si="14"/>
        <v>36.965032511485049</v>
      </c>
      <c r="AS74" s="10">
        <f t="shared" si="15"/>
        <v>51.792964282134754</v>
      </c>
    </row>
    <row r="75" spans="1:45" x14ac:dyDescent="0.3">
      <c r="A75">
        <v>2025</v>
      </c>
      <c r="B75">
        <v>7</v>
      </c>
      <c r="C75" t="s">
        <v>55</v>
      </c>
      <c r="D75">
        <v>10</v>
      </c>
      <c r="E75" t="s">
        <v>36</v>
      </c>
      <c r="F75" t="s">
        <v>37</v>
      </c>
      <c r="G75" t="s">
        <v>38</v>
      </c>
      <c r="H75" t="s">
        <v>132</v>
      </c>
      <c r="I75" t="s">
        <v>190</v>
      </c>
      <c r="J75" t="s">
        <v>58</v>
      </c>
      <c r="K75" t="s">
        <v>41</v>
      </c>
      <c r="L75" t="s">
        <v>953</v>
      </c>
      <c r="M75" t="s">
        <v>954</v>
      </c>
      <c r="N75" t="s">
        <v>731</v>
      </c>
      <c r="O75" t="s">
        <v>36</v>
      </c>
      <c r="Q75" t="s">
        <v>62</v>
      </c>
      <c r="R75" t="s">
        <v>955</v>
      </c>
      <c r="S75" t="s">
        <v>956</v>
      </c>
      <c r="T75" t="s">
        <v>47</v>
      </c>
      <c r="U75" t="s">
        <v>79</v>
      </c>
      <c r="V75" t="s">
        <v>49</v>
      </c>
      <c r="W75" t="s">
        <v>80</v>
      </c>
      <c r="X75" t="s">
        <v>51</v>
      </c>
      <c r="Y75" t="s">
        <v>1489</v>
      </c>
      <c r="Z75" t="s">
        <v>1489</v>
      </c>
      <c r="AA75" t="s">
        <v>971</v>
      </c>
      <c r="AB75" s="3">
        <f t="shared" si="8"/>
        <v>1</v>
      </c>
      <c r="AC75">
        <v>9.23</v>
      </c>
      <c r="AD75" s="2">
        <v>9.23</v>
      </c>
      <c r="AE75" s="2">
        <v>1.45</v>
      </c>
      <c r="AF75" s="2">
        <v>0.7</v>
      </c>
      <c r="AG75" s="2">
        <v>10.75</v>
      </c>
      <c r="AH75">
        <v>0</v>
      </c>
      <c r="AI75">
        <v>10.75</v>
      </c>
      <c r="AJ75">
        <v>5.3749999999999999E-2</v>
      </c>
      <c r="AK75" t="s">
        <v>54</v>
      </c>
      <c r="AL75">
        <v>0.6</v>
      </c>
      <c r="AM75" s="4">
        <f t="shared" si="9"/>
        <v>10.75</v>
      </c>
      <c r="AN75" s="4">
        <f t="shared" si="10"/>
        <v>17.306250000000002</v>
      </c>
      <c r="AO75" s="4">
        <f t="shared" si="11"/>
        <v>19.227243750000003</v>
      </c>
      <c r="AP75" s="4">
        <f t="shared" si="12"/>
        <v>28.034394375000002</v>
      </c>
      <c r="AQ75" s="10">
        <f t="shared" si="13"/>
        <v>18.695325</v>
      </c>
      <c r="AR75" s="10">
        <f t="shared" si="14"/>
        <v>20.772375607499999</v>
      </c>
      <c r="AS75" s="10">
        <f t="shared" si="15"/>
        <v>29.10488196</v>
      </c>
    </row>
    <row r="76" spans="1:45" x14ac:dyDescent="0.3">
      <c r="A76">
        <v>2025</v>
      </c>
      <c r="B76">
        <v>7</v>
      </c>
      <c r="C76" t="s">
        <v>55</v>
      </c>
      <c r="D76">
        <v>10</v>
      </c>
      <c r="E76" t="s">
        <v>36</v>
      </c>
      <c r="F76" t="s">
        <v>37</v>
      </c>
      <c r="G76" t="s">
        <v>38</v>
      </c>
      <c r="H76" t="s">
        <v>132</v>
      </c>
      <c r="I76" t="s">
        <v>190</v>
      </c>
      <c r="J76" t="s">
        <v>58</v>
      </c>
      <c r="K76" t="s">
        <v>41</v>
      </c>
      <c r="L76" t="s">
        <v>953</v>
      </c>
      <c r="M76" t="s">
        <v>954</v>
      </c>
      <c r="N76" t="s">
        <v>731</v>
      </c>
      <c r="O76" t="s">
        <v>36</v>
      </c>
      <c r="Q76" t="s">
        <v>62</v>
      </c>
      <c r="R76" t="s">
        <v>955</v>
      </c>
      <c r="S76" t="s">
        <v>956</v>
      </c>
      <c r="T76" t="s">
        <v>47</v>
      </c>
      <c r="U76" t="s">
        <v>968</v>
      </c>
      <c r="V76" t="s">
        <v>49</v>
      </c>
      <c r="W76" t="s">
        <v>80</v>
      </c>
      <c r="X76" t="s">
        <v>51</v>
      </c>
      <c r="Y76" t="s">
        <v>972</v>
      </c>
      <c r="Z76" t="s">
        <v>972</v>
      </c>
      <c r="AA76" t="s">
        <v>973</v>
      </c>
      <c r="AB76" s="3">
        <f t="shared" si="8"/>
        <v>12.929999999999927</v>
      </c>
      <c r="AC76">
        <v>84.47</v>
      </c>
      <c r="AD76" s="2">
        <v>6.5328692962104</v>
      </c>
      <c r="AE76" s="2">
        <v>174.25</v>
      </c>
      <c r="AF76" s="2">
        <v>0.44</v>
      </c>
      <c r="AG76" s="2">
        <v>259.16000000000003</v>
      </c>
      <c r="AH76">
        <v>0</v>
      </c>
      <c r="AI76">
        <v>20.043310131477</v>
      </c>
      <c r="AJ76">
        <v>1.2958000000000001</v>
      </c>
      <c r="AK76" t="s">
        <v>54</v>
      </c>
      <c r="AL76">
        <v>13.4</v>
      </c>
      <c r="AM76" s="4">
        <f t="shared" si="9"/>
        <v>20.043310131477298</v>
      </c>
      <c r="AN76" s="4">
        <f t="shared" si="10"/>
        <v>12.249129930394499</v>
      </c>
      <c r="AO76" s="4">
        <f t="shared" si="11"/>
        <v>13.608783352668288</v>
      </c>
      <c r="AP76" s="4">
        <f t="shared" si="12"/>
        <v>19.842365574246049</v>
      </c>
      <c r="AQ76" s="10">
        <f t="shared" si="13"/>
        <v>34.857320649652173</v>
      </c>
      <c r="AR76" s="10">
        <f t="shared" si="14"/>
        <v>38.729968973828527</v>
      </c>
      <c r="AS76" s="10">
        <f t="shared" si="15"/>
        <v>54.265876787378502</v>
      </c>
    </row>
    <row r="77" spans="1:45" x14ac:dyDescent="0.3">
      <c r="A77">
        <v>2025</v>
      </c>
      <c r="B77">
        <v>8</v>
      </c>
      <c r="C77" t="s">
        <v>55</v>
      </c>
      <c r="D77">
        <v>10</v>
      </c>
      <c r="E77" t="s">
        <v>36</v>
      </c>
      <c r="F77" t="s">
        <v>37</v>
      </c>
      <c r="G77" t="s">
        <v>38</v>
      </c>
      <c r="H77" t="s">
        <v>101</v>
      </c>
      <c r="I77" t="s">
        <v>190</v>
      </c>
      <c r="J77" t="s">
        <v>58</v>
      </c>
      <c r="K77" t="s">
        <v>59</v>
      </c>
      <c r="L77" t="s">
        <v>1194</v>
      </c>
      <c r="M77" t="s">
        <v>1195</v>
      </c>
      <c r="N77" t="s">
        <v>1196</v>
      </c>
      <c r="O77" t="s">
        <v>1197</v>
      </c>
      <c r="Q77" t="s">
        <v>62</v>
      </c>
      <c r="R77" t="s">
        <v>1198</v>
      </c>
      <c r="S77" t="s">
        <v>1198</v>
      </c>
      <c r="T77" t="s">
        <v>47</v>
      </c>
      <c r="U77" t="s">
        <v>79</v>
      </c>
      <c r="V77" t="s">
        <v>49</v>
      </c>
      <c r="W77" t="s">
        <v>80</v>
      </c>
      <c r="X77" t="s">
        <v>388</v>
      </c>
      <c r="Y77" t="s">
        <v>969</v>
      </c>
      <c r="Z77" t="s">
        <v>969</v>
      </c>
      <c r="AA77" t="s">
        <v>970</v>
      </c>
      <c r="AB77" s="3">
        <f t="shared" si="8"/>
        <v>4.3100000000000049</v>
      </c>
      <c r="AC77">
        <v>10.43</v>
      </c>
      <c r="AD77" s="2">
        <v>2.4199535962877001</v>
      </c>
      <c r="AE77" s="2">
        <v>58.8</v>
      </c>
      <c r="AF77" s="2">
        <v>0.2</v>
      </c>
      <c r="AG77" s="2">
        <v>68.53</v>
      </c>
      <c r="AH77">
        <v>0</v>
      </c>
      <c r="AI77">
        <v>15.900232018561001</v>
      </c>
      <c r="AJ77">
        <v>0.34265000000000001</v>
      </c>
      <c r="AK77" t="s">
        <v>54</v>
      </c>
      <c r="AL77">
        <v>4.3499999999999996</v>
      </c>
      <c r="AM77" s="4">
        <f t="shared" si="9"/>
        <v>15.900232018561468</v>
      </c>
      <c r="AN77" s="4">
        <f t="shared" si="10"/>
        <v>4.537412993039438</v>
      </c>
      <c r="AO77" s="4">
        <f t="shared" si="11"/>
        <v>5.0410658352668154</v>
      </c>
      <c r="AP77" s="4">
        <f t="shared" si="12"/>
        <v>7.3501553074245853</v>
      </c>
      <c r="AQ77" s="10">
        <f t="shared" si="13"/>
        <v>27.652093503480248</v>
      </c>
      <c r="AR77" s="10">
        <f t="shared" si="14"/>
        <v>30.724241091716902</v>
      </c>
      <c r="AS77" s="10">
        <f t="shared" si="15"/>
        <v>43.048779166218047</v>
      </c>
    </row>
    <row r="78" spans="1:45" x14ac:dyDescent="0.3">
      <c r="A78">
        <v>2025</v>
      </c>
      <c r="B78">
        <v>8</v>
      </c>
      <c r="C78" t="s">
        <v>55</v>
      </c>
      <c r="D78">
        <v>10</v>
      </c>
      <c r="E78" t="s">
        <v>36</v>
      </c>
      <c r="F78" t="s">
        <v>37</v>
      </c>
      <c r="G78" t="s">
        <v>38</v>
      </c>
      <c r="H78" t="s">
        <v>132</v>
      </c>
      <c r="I78" t="s">
        <v>190</v>
      </c>
      <c r="J78" t="s">
        <v>58</v>
      </c>
      <c r="K78" t="s">
        <v>59</v>
      </c>
      <c r="L78" t="s">
        <v>1194</v>
      </c>
      <c r="M78" t="s">
        <v>1195</v>
      </c>
      <c r="N78" t="s">
        <v>1196</v>
      </c>
      <c r="O78" t="s">
        <v>1197</v>
      </c>
      <c r="Q78" t="s">
        <v>62</v>
      </c>
      <c r="R78" t="s">
        <v>1198</v>
      </c>
      <c r="S78" t="s">
        <v>1198</v>
      </c>
      <c r="T78" t="s">
        <v>47</v>
      </c>
      <c r="U78" t="s">
        <v>79</v>
      </c>
      <c r="V78" t="s">
        <v>49</v>
      </c>
      <c r="W78" t="s">
        <v>80</v>
      </c>
      <c r="X78" t="s">
        <v>388</v>
      </c>
      <c r="Y78" t="s">
        <v>1211</v>
      </c>
      <c r="Z78" t="s">
        <v>1211</v>
      </c>
      <c r="AA78" t="s">
        <v>1212</v>
      </c>
      <c r="AB78" s="3">
        <f t="shared" si="8"/>
        <v>5</v>
      </c>
      <c r="AC78">
        <v>36.5</v>
      </c>
      <c r="AD78" s="2">
        <v>7.3</v>
      </c>
      <c r="AE78" s="2">
        <v>2.58</v>
      </c>
      <c r="AF78" s="2">
        <v>0.23</v>
      </c>
      <c r="AG78" s="2">
        <v>38.86</v>
      </c>
      <c r="AH78">
        <v>0</v>
      </c>
      <c r="AI78">
        <v>7.7720000000000002</v>
      </c>
      <c r="AJ78">
        <v>0.1943</v>
      </c>
      <c r="AK78" t="s">
        <v>54</v>
      </c>
      <c r="AL78">
        <v>0.3</v>
      </c>
      <c r="AM78" s="4">
        <f t="shared" si="9"/>
        <v>7.7720000000000002</v>
      </c>
      <c r="AN78" s="4">
        <f t="shared" si="10"/>
        <v>13.6875</v>
      </c>
      <c r="AO78" s="4">
        <f t="shared" si="11"/>
        <v>15.2068125</v>
      </c>
      <c r="AP78" s="4">
        <f t="shared" si="12"/>
        <v>22.172381249999997</v>
      </c>
      <c r="AQ78" s="10">
        <f t="shared" si="13"/>
        <v>13.5162852</v>
      </c>
      <c r="AR78" s="10">
        <f t="shared" si="14"/>
        <v>15.017944485719999</v>
      </c>
      <c r="AS78" s="10">
        <f t="shared" si="15"/>
        <v>21.04215279936</v>
      </c>
    </row>
    <row r="79" spans="1:45" x14ac:dyDescent="0.3">
      <c r="A79">
        <v>2025</v>
      </c>
      <c r="B79">
        <v>11</v>
      </c>
      <c r="C79" t="s">
        <v>55</v>
      </c>
      <c r="D79">
        <v>10</v>
      </c>
      <c r="E79" t="s">
        <v>36</v>
      </c>
      <c r="F79" t="s">
        <v>37</v>
      </c>
      <c r="G79" t="s">
        <v>38</v>
      </c>
      <c r="H79" t="s">
        <v>132</v>
      </c>
      <c r="I79" t="s">
        <v>375</v>
      </c>
      <c r="J79" t="s">
        <v>376</v>
      </c>
      <c r="K79" t="s">
        <v>59</v>
      </c>
      <c r="L79" t="s">
        <v>1632</v>
      </c>
      <c r="M79" t="s">
        <v>1633</v>
      </c>
      <c r="N79" t="s">
        <v>1485</v>
      </c>
      <c r="O79" t="s">
        <v>1197</v>
      </c>
      <c r="Q79" t="s">
        <v>62</v>
      </c>
      <c r="R79" t="s">
        <v>1634</v>
      </c>
      <c r="S79" t="s">
        <v>1634</v>
      </c>
      <c r="T79" t="s">
        <v>47</v>
      </c>
      <c r="U79" t="s">
        <v>968</v>
      </c>
      <c r="V79" t="s">
        <v>49</v>
      </c>
      <c r="W79" t="s">
        <v>80</v>
      </c>
      <c r="X79" t="s">
        <v>51</v>
      </c>
      <c r="Y79" t="s">
        <v>1209</v>
      </c>
      <c r="Z79" t="s">
        <v>1209</v>
      </c>
      <c r="AA79" t="s">
        <v>1210</v>
      </c>
      <c r="AB79" s="3">
        <f t="shared" si="8"/>
        <v>10</v>
      </c>
      <c r="AC79">
        <v>44.75</v>
      </c>
      <c r="AD79" s="2">
        <v>4.4749999999999996</v>
      </c>
      <c r="AE79" s="2">
        <v>3.21</v>
      </c>
      <c r="AF79" s="2">
        <v>0.28999999999999998</v>
      </c>
      <c r="AG79" s="2">
        <v>48.25</v>
      </c>
      <c r="AH79">
        <v>0</v>
      </c>
      <c r="AI79">
        <v>4.8250000000000002</v>
      </c>
      <c r="AJ79">
        <v>0.24124999999999999</v>
      </c>
      <c r="AK79" t="s">
        <v>54</v>
      </c>
      <c r="AL79">
        <v>0.38</v>
      </c>
      <c r="AM79" s="4">
        <f t="shared" si="9"/>
        <v>4.8250000000000002</v>
      </c>
      <c r="AN79" s="4">
        <f t="shared" si="10"/>
        <v>8.390625</v>
      </c>
      <c r="AO79" s="4">
        <f t="shared" si="11"/>
        <v>9.3219843749999995</v>
      </c>
      <c r="AP79" s="4">
        <f t="shared" si="12"/>
        <v>13.591973437499998</v>
      </c>
      <c r="AQ79" s="10">
        <f t="shared" si="13"/>
        <v>8.3911575000000003</v>
      </c>
      <c r="AR79" s="10">
        <f t="shared" si="14"/>
        <v>9.3234150982500008</v>
      </c>
      <c r="AS79" s="10">
        <f t="shared" si="15"/>
        <v>13.063353996</v>
      </c>
    </row>
    <row r="80" spans="1:45" x14ac:dyDescent="0.3">
      <c r="A80">
        <v>2025</v>
      </c>
      <c r="B80">
        <v>11</v>
      </c>
      <c r="C80" t="s">
        <v>55</v>
      </c>
      <c r="D80">
        <v>10</v>
      </c>
      <c r="E80" t="s">
        <v>36</v>
      </c>
      <c r="F80" t="s">
        <v>37</v>
      </c>
      <c r="G80" t="s">
        <v>38</v>
      </c>
      <c r="H80" t="s">
        <v>132</v>
      </c>
      <c r="I80" t="s">
        <v>375</v>
      </c>
      <c r="J80" t="s">
        <v>376</v>
      </c>
      <c r="K80" t="s">
        <v>59</v>
      </c>
      <c r="L80" t="s">
        <v>1632</v>
      </c>
      <c r="M80" t="s">
        <v>1633</v>
      </c>
      <c r="N80" t="s">
        <v>1485</v>
      </c>
      <c r="O80" t="s">
        <v>1197</v>
      </c>
      <c r="Q80" t="s">
        <v>62</v>
      </c>
      <c r="R80" t="s">
        <v>1634</v>
      </c>
      <c r="S80" t="s">
        <v>1634</v>
      </c>
      <c r="T80" t="s">
        <v>47</v>
      </c>
      <c r="U80" t="s">
        <v>79</v>
      </c>
      <c r="V80" t="s">
        <v>49</v>
      </c>
      <c r="W80" t="s">
        <v>80</v>
      </c>
      <c r="X80" t="s">
        <v>51</v>
      </c>
      <c r="Y80" t="s">
        <v>1209</v>
      </c>
      <c r="Z80" t="s">
        <v>1209</v>
      </c>
      <c r="AA80" t="s">
        <v>1210</v>
      </c>
      <c r="AB80" s="3">
        <f t="shared" si="8"/>
        <v>2.9999999999999996</v>
      </c>
      <c r="AC80">
        <v>13.44</v>
      </c>
      <c r="AD80" s="2">
        <v>4.4800000000000004</v>
      </c>
      <c r="AE80" s="2">
        <v>0.1</v>
      </c>
      <c r="AF80" s="2">
        <v>0</v>
      </c>
      <c r="AG80" s="2">
        <v>13.44</v>
      </c>
      <c r="AH80">
        <v>0</v>
      </c>
      <c r="AI80">
        <v>4.4800000000000004</v>
      </c>
      <c r="AJ80">
        <v>6.7199999999999996E-2</v>
      </c>
      <c r="AK80" t="s">
        <v>54</v>
      </c>
      <c r="AL80">
        <v>0.12</v>
      </c>
      <c r="AM80" s="4">
        <f t="shared" si="9"/>
        <v>4.4800000000000004</v>
      </c>
      <c r="AN80" s="4">
        <f t="shared" si="10"/>
        <v>8.4</v>
      </c>
      <c r="AO80" s="4">
        <f t="shared" si="11"/>
        <v>9.3323999999999998</v>
      </c>
      <c r="AP80" s="4">
        <f t="shared" si="12"/>
        <v>13.60716</v>
      </c>
      <c r="AQ80" s="10">
        <f t="shared" si="13"/>
        <v>7.7911680000000008</v>
      </c>
      <c r="AR80" s="10">
        <f t="shared" si="14"/>
        <v>8.6567667648000004</v>
      </c>
      <c r="AS80" s="10">
        <f t="shared" si="15"/>
        <v>12.129290342400001</v>
      </c>
    </row>
    <row r="81" spans="1:45" x14ac:dyDescent="0.3">
      <c r="A81">
        <v>2025</v>
      </c>
      <c r="B81">
        <v>7</v>
      </c>
      <c r="C81" t="s">
        <v>55</v>
      </c>
      <c r="D81">
        <v>10</v>
      </c>
      <c r="E81" t="s">
        <v>36</v>
      </c>
      <c r="F81" t="s">
        <v>37</v>
      </c>
      <c r="G81" t="s">
        <v>38</v>
      </c>
      <c r="H81" t="s">
        <v>78</v>
      </c>
      <c r="I81" t="s">
        <v>190</v>
      </c>
      <c r="J81" t="s">
        <v>58</v>
      </c>
      <c r="K81" t="s">
        <v>41</v>
      </c>
      <c r="L81" t="s">
        <v>953</v>
      </c>
      <c r="M81" t="s">
        <v>954</v>
      </c>
      <c r="N81" t="s">
        <v>731</v>
      </c>
      <c r="O81" t="s">
        <v>36</v>
      </c>
      <c r="Q81" t="s">
        <v>62</v>
      </c>
      <c r="R81" t="s">
        <v>955</v>
      </c>
      <c r="S81" t="s">
        <v>956</v>
      </c>
      <c r="T81" t="s">
        <v>47</v>
      </c>
      <c r="U81" t="s">
        <v>999</v>
      </c>
      <c r="V81" t="s">
        <v>49</v>
      </c>
      <c r="W81" t="s">
        <v>996</v>
      </c>
      <c r="X81" t="s">
        <v>51</v>
      </c>
      <c r="Y81" t="s">
        <v>1638</v>
      </c>
      <c r="Z81" t="s">
        <v>1638</v>
      </c>
      <c r="AA81" t="s">
        <v>1639</v>
      </c>
      <c r="AB81" s="3">
        <f t="shared" si="8"/>
        <v>2</v>
      </c>
      <c r="AC81">
        <v>15.68</v>
      </c>
      <c r="AD81" s="2">
        <v>7.84</v>
      </c>
      <c r="AE81" s="2">
        <v>0.1</v>
      </c>
      <c r="AF81" s="2">
        <v>0.1</v>
      </c>
      <c r="AG81" s="2">
        <v>15.69</v>
      </c>
      <c r="AH81">
        <v>0</v>
      </c>
      <c r="AI81">
        <v>7.8449999999999998</v>
      </c>
      <c r="AJ81">
        <v>7.8450000000000006E-2</v>
      </c>
      <c r="AK81" t="s">
        <v>54</v>
      </c>
      <c r="AL81">
        <v>0.14000000000000001</v>
      </c>
      <c r="AM81" s="4">
        <f t="shared" si="9"/>
        <v>7.8449999999999998</v>
      </c>
      <c r="AN81" s="4">
        <f t="shared" si="10"/>
        <v>14.7</v>
      </c>
      <c r="AO81" s="4">
        <f t="shared" si="11"/>
        <v>16.331699999999998</v>
      </c>
      <c r="AP81" s="4">
        <f t="shared" si="12"/>
        <v>23.812529999999999</v>
      </c>
      <c r="AQ81" s="10">
        <f t="shared" si="13"/>
        <v>13.6432395</v>
      </c>
      <c r="AR81" s="10">
        <f t="shared" si="14"/>
        <v>15.159003408449999</v>
      </c>
      <c r="AS81" s="10">
        <f t="shared" si="15"/>
        <v>21.239795253600001</v>
      </c>
    </row>
    <row r="82" spans="1:45" x14ac:dyDescent="0.3">
      <c r="A82">
        <v>2025</v>
      </c>
      <c r="B82">
        <v>6</v>
      </c>
      <c r="C82" t="s">
        <v>55</v>
      </c>
      <c r="D82">
        <v>10</v>
      </c>
      <c r="E82" t="s">
        <v>36</v>
      </c>
      <c r="F82" t="s">
        <v>37</v>
      </c>
      <c r="G82" t="s">
        <v>38</v>
      </c>
      <c r="H82" t="s">
        <v>641</v>
      </c>
      <c r="I82" t="s">
        <v>190</v>
      </c>
      <c r="J82" t="s">
        <v>58</v>
      </c>
      <c r="K82" t="s">
        <v>59</v>
      </c>
      <c r="M82" t="s">
        <v>730</v>
      </c>
      <c r="N82" t="s">
        <v>731</v>
      </c>
      <c r="O82" t="s">
        <v>36</v>
      </c>
      <c r="Q82" t="s">
        <v>62</v>
      </c>
      <c r="R82" t="s">
        <v>732</v>
      </c>
      <c r="S82" t="s">
        <v>732</v>
      </c>
      <c r="T82" t="s">
        <v>47</v>
      </c>
      <c r="U82" t="s">
        <v>88</v>
      </c>
      <c r="V82" t="s">
        <v>49</v>
      </c>
      <c r="W82" t="s">
        <v>90</v>
      </c>
      <c r="X82" t="s">
        <v>686</v>
      </c>
      <c r="Y82" t="s">
        <v>1000</v>
      </c>
      <c r="Z82" t="s">
        <v>1000</v>
      </c>
      <c r="AA82" t="s">
        <v>1001</v>
      </c>
      <c r="AB82" s="3">
        <f t="shared" si="8"/>
        <v>43.899999999999288</v>
      </c>
      <c r="AC82">
        <v>532.30999999999995</v>
      </c>
      <c r="AD82" s="2">
        <v>12.125512528473999</v>
      </c>
      <c r="AE82" s="2">
        <v>580.83000000000004</v>
      </c>
      <c r="AF82" s="2">
        <v>3.23</v>
      </c>
      <c r="AG82" s="2">
        <v>1116.3699999999999</v>
      </c>
      <c r="AH82">
        <v>0</v>
      </c>
      <c r="AI82">
        <v>25.429840546697001</v>
      </c>
      <c r="AJ82">
        <v>5.5818500000000002</v>
      </c>
      <c r="AK82" t="s">
        <v>54</v>
      </c>
      <c r="AL82">
        <v>43.48</v>
      </c>
      <c r="AM82" s="4">
        <f t="shared" si="9"/>
        <v>25.429840546697449</v>
      </c>
      <c r="AN82" s="4">
        <f t="shared" si="10"/>
        <v>22.73533599088875</v>
      </c>
      <c r="AO82" s="4">
        <f t="shared" si="11"/>
        <v>25.258958285877402</v>
      </c>
      <c r="AP82" s="4">
        <f t="shared" si="12"/>
        <v>36.828970771640684</v>
      </c>
      <c r="AQ82" s="10">
        <f t="shared" si="13"/>
        <v>44.225035694761537</v>
      </c>
      <c r="AR82" s="10">
        <f t="shared" si="14"/>
        <v>49.138437160449541</v>
      </c>
      <c r="AS82" s="10">
        <f t="shared" si="15"/>
        <v>68.849535569604754</v>
      </c>
    </row>
    <row r="83" spans="1:45" x14ac:dyDescent="0.3">
      <c r="A83">
        <v>2025</v>
      </c>
      <c r="B83">
        <v>7</v>
      </c>
      <c r="C83" t="s">
        <v>55</v>
      </c>
      <c r="D83">
        <v>10</v>
      </c>
      <c r="E83" t="s">
        <v>36</v>
      </c>
      <c r="F83" t="s">
        <v>37</v>
      </c>
      <c r="G83" t="s">
        <v>38</v>
      </c>
      <c r="H83" t="s">
        <v>641</v>
      </c>
      <c r="I83" t="s">
        <v>190</v>
      </c>
      <c r="J83" t="s">
        <v>58</v>
      </c>
      <c r="K83" t="s">
        <v>41</v>
      </c>
      <c r="L83" t="s">
        <v>953</v>
      </c>
      <c r="M83" t="s">
        <v>954</v>
      </c>
      <c r="N83" t="s">
        <v>731</v>
      </c>
      <c r="O83" t="s">
        <v>36</v>
      </c>
      <c r="Q83" t="s">
        <v>62</v>
      </c>
      <c r="R83" t="s">
        <v>955</v>
      </c>
      <c r="S83" t="s">
        <v>956</v>
      </c>
      <c r="T83" t="s">
        <v>47</v>
      </c>
      <c r="U83" t="s">
        <v>88</v>
      </c>
      <c r="V83" t="s">
        <v>49</v>
      </c>
      <c r="W83" t="s">
        <v>90</v>
      </c>
      <c r="X83" t="s">
        <v>51</v>
      </c>
      <c r="Y83" t="s">
        <v>780</v>
      </c>
      <c r="Z83" t="s">
        <v>780</v>
      </c>
      <c r="AA83" t="s">
        <v>781</v>
      </c>
      <c r="AB83" s="3">
        <f t="shared" si="8"/>
        <v>0.4</v>
      </c>
      <c r="AC83">
        <v>0.43</v>
      </c>
      <c r="AD83" s="2">
        <v>1.075</v>
      </c>
      <c r="AE83" s="2">
        <v>0.9</v>
      </c>
      <c r="AF83" s="2">
        <v>0</v>
      </c>
      <c r="AG83" s="2">
        <v>0.53</v>
      </c>
      <c r="AH83">
        <v>0</v>
      </c>
      <c r="AI83">
        <v>1.325</v>
      </c>
      <c r="AJ83">
        <v>2.65E-3</v>
      </c>
      <c r="AK83" t="s">
        <v>54</v>
      </c>
      <c r="AL83">
        <v>0</v>
      </c>
      <c r="AM83" s="4">
        <f t="shared" si="9"/>
        <v>1.325</v>
      </c>
      <c r="AN83" s="4">
        <f t="shared" si="10"/>
        <v>2.015625</v>
      </c>
      <c r="AO83" s="4">
        <f t="shared" si="11"/>
        <v>2.2393593749999998</v>
      </c>
      <c r="AP83" s="4">
        <f t="shared" si="12"/>
        <v>3.2651109374999998</v>
      </c>
      <c r="AQ83" s="10">
        <f t="shared" si="13"/>
        <v>2.3043075000000002</v>
      </c>
      <c r="AR83" s="10">
        <f t="shared" si="14"/>
        <v>2.5603160632500002</v>
      </c>
      <c r="AS83" s="10">
        <f t="shared" si="15"/>
        <v>3.5873459160000003</v>
      </c>
    </row>
    <row r="84" spans="1:45" x14ac:dyDescent="0.3">
      <c r="A84">
        <v>2025</v>
      </c>
      <c r="B84">
        <v>11</v>
      </c>
      <c r="C84" t="s">
        <v>55</v>
      </c>
      <c r="D84">
        <v>10</v>
      </c>
      <c r="E84" t="s">
        <v>36</v>
      </c>
      <c r="F84" t="s">
        <v>37</v>
      </c>
      <c r="G84" t="s">
        <v>38</v>
      </c>
      <c r="H84" t="s">
        <v>341</v>
      </c>
      <c r="I84" t="s">
        <v>375</v>
      </c>
      <c r="J84" t="s">
        <v>376</v>
      </c>
      <c r="K84" t="s">
        <v>51</v>
      </c>
      <c r="L84" t="s">
        <v>1622</v>
      </c>
      <c r="M84" t="s">
        <v>1623</v>
      </c>
      <c r="N84" t="s">
        <v>1485</v>
      </c>
      <c r="O84" t="s">
        <v>1197</v>
      </c>
      <c r="Q84" t="s">
        <v>62</v>
      </c>
      <c r="R84" t="s">
        <v>1624</v>
      </c>
      <c r="S84" t="s">
        <v>1624</v>
      </c>
      <c r="T84" t="s">
        <v>47</v>
      </c>
      <c r="U84" t="s">
        <v>88</v>
      </c>
      <c r="V84" t="s">
        <v>49</v>
      </c>
      <c r="W84" t="s">
        <v>90</v>
      </c>
      <c r="X84" t="s">
        <v>51</v>
      </c>
      <c r="Y84" t="s">
        <v>1018</v>
      </c>
      <c r="Z84" t="s">
        <v>1018</v>
      </c>
      <c r="AA84" t="s">
        <v>1019</v>
      </c>
      <c r="AB84" s="3">
        <f t="shared" si="8"/>
        <v>4.3100000000000183</v>
      </c>
      <c r="AC84">
        <v>7.3</v>
      </c>
      <c r="AD84" s="2">
        <v>1.6937354988399</v>
      </c>
      <c r="AE84" s="2">
        <v>58.8</v>
      </c>
      <c r="AF84" s="2">
        <v>0</v>
      </c>
      <c r="AG84" s="2">
        <v>65.38</v>
      </c>
      <c r="AH84">
        <v>0</v>
      </c>
      <c r="AI84">
        <v>15.169373549884</v>
      </c>
      <c r="AJ84">
        <v>0.32690000000000002</v>
      </c>
      <c r="AK84" t="s">
        <v>54</v>
      </c>
      <c r="AL84">
        <v>4.3499999999999996</v>
      </c>
      <c r="AM84" s="4">
        <f t="shared" si="9"/>
        <v>15.169373549883925</v>
      </c>
      <c r="AN84" s="4">
        <f t="shared" si="10"/>
        <v>3.1757540603248127</v>
      </c>
      <c r="AO84" s="4">
        <f t="shared" si="11"/>
        <v>3.528262761020867</v>
      </c>
      <c r="AP84" s="4">
        <f t="shared" si="12"/>
        <v>5.1444040023201634</v>
      </c>
      <c r="AQ84" s="10">
        <f t="shared" si="13"/>
        <v>26.381057540603138</v>
      </c>
      <c r="AR84" s="10">
        <f t="shared" si="14"/>
        <v>29.311993033364146</v>
      </c>
      <c r="AS84" s="10">
        <f t="shared" si="15"/>
        <v>41.070030379210962</v>
      </c>
    </row>
    <row r="85" spans="1:45" x14ac:dyDescent="0.3">
      <c r="A85">
        <v>2025</v>
      </c>
      <c r="B85">
        <v>12</v>
      </c>
      <c r="C85" t="s">
        <v>55</v>
      </c>
      <c r="D85">
        <v>10</v>
      </c>
      <c r="E85" t="s">
        <v>36</v>
      </c>
      <c r="F85" t="s">
        <v>37</v>
      </c>
      <c r="G85" t="s">
        <v>38</v>
      </c>
      <c r="H85" t="s">
        <v>1795</v>
      </c>
      <c r="I85" t="s">
        <v>57</v>
      </c>
      <c r="J85" t="s">
        <v>58</v>
      </c>
      <c r="K85" t="s">
        <v>59</v>
      </c>
      <c r="L85" t="s">
        <v>1769</v>
      </c>
      <c r="M85" t="s">
        <v>1770</v>
      </c>
      <c r="N85" t="s">
        <v>1771</v>
      </c>
      <c r="O85" t="s">
        <v>1197</v>
      </c>
      <c r="Q85" t="s">
        <v>62</v>
      </c>
      <c r="R85" t="s">
        <v>1772</v>
      </c>
      <c r="S85" t="s">
        <v>1772</v>
      </c>
      <c r="T85" t="s">
        <v>47</v>
      </c>
      <c r="U85" t="s">
        <v>88</v>
      </c>
      <c r="V85" t="s">
        <v>89</v>
      </c>
      <c r="W85" t="s">
        <v>90</v>
      </c>
      <c r="X85" t="s">
        <v>51</v>
      </c>
      <c r="Y85" t="s">
        <v>1653</v>
      </c>
      <c r="Z85" t="s">
        <v>1653</v>
      </c>
      <c r="AA85" t="s">
        <v>1655</v>
      </c>
      <c r="AB85" s="3">
        <f t="shared" si="8"/>
        <v>1</v>
      </c>
      <c r="AC85">
        <v>0.43</v>
      </c>
      <c r="AD85" s="2">
        <v>0.43</v>
      </c>
      <c r="AE85" s="2">
        <v>0.6</v>
      </c>
      <c r="AF85" s="2">
        <v>0</v>
      </c>
      <c r="AG85" s="2">
        <v>0.5</v>
      </c>
      <c r="AH85">
        <v>0</v>
      </c>
      <c r="AI85">
        <v>0.5</v>
      </c>
      <c r="AJ85">
        <v>2.5000000000000001E-3</v>
      </c>
      <c r="AK85" t="s">
        <v>54</v>
      </c>
      <c r="AL85">
        <v>0.1</v>
      </c>
      <c r="AM85" s="4">
        <f t="shared" si="9"/>
        <v>0.5</v>
      </c>
      <c r="AN85" s="4">
        <f t="shared" si="10"/>
        <v>0.80625000000000002</v>
      </c>
      <c r="AO85" s="4">
        <f t="shared" si="11"/>
        <v>0.89574375000000006</v>
      </c>
      <c r="AP85" s="4">
        <f t="shared" si="12"/>
        <v>1.3060443749999999</v>
      </c>
      <c r="AQ85" s="10">
        <f t="shared" si="13"/>
        <v>0.86955000000000005</v>
      </c>
      <c r="AR85" s="10">
        <f t="shared" si="14"/>
        <v>0.96615700500000001</v>
      </c>
      <c r="AS85" s="10">
        <f t="shared" si="15"/>
        <v>1.35371544</v>
      </c>
    </row>
    <row r="86" spans="1:45" x14ac:dyDescent="0.3">
      <c r="A86">
        <v>2025</v>
      </c>
      <c r="B86">
        <v>12</v>
      </c>
      <c r="C86" t="s">
        <v>55</v>
      </c>
      <c r="D86">
        <v>10</v>
      </c>
      <c r="E86" t="s">
        <v>36</v>
      </c>
      <c r="F86" t="s">
        <v>37</v>
      </c>
      <c r="G86" t="s">
        <v>38</v>
      </c>
      <c r="H86" t="s">
        <v>1795</v>
      </c>
      <c r="I86" t="s">
        <v>57</v>
      </c>
      <c r="J86" t="s">
        <v>58</v>
      </c>
      <c r="K86" t="s">
        <v>59</v>
      </c>
      <c r="L86" t="s">
        <v>1769</v>
      </c>
      <c r="M86" t="s">
        <v>1770</v>
      </c>
      <c r="N86" t="s">
        <v>1771</v>
      </c>
      <c r="O86" t="s">
        <v>1197</v>
      </c>
      <c r="Q86" t="s">
        <v>62</v>
      </c>
      <c r="R86" t="s">
        <v>1772</v>
      </c>
      <c r="S86" t="s">
        <v>1772</v>
      </c>
      <c r="T86" t="s">
        <v>47</v>
      </c>
      <c r="U86" t="s">
        <v>88</v>
      </c>
      <c r="V86" t="s">
        <v>89</v>
      </c>
      <c r="W86" t="s">
        <v>90</v>
      </c>
      <c r="X86" t="s">
        <v>51</v>
      </c>
      <c r="Y86" t="s">
        <v>1796</v>
      </c>
      <c r="Z86" t="s">
        <v>1796</v>
      </c>
      <c r="AA86" t="s">
        <v>1797</v>
      </c>
      <c r="AB86" s="3">
        <f t="shared" si="8"/>
        <v>2.9999999999999765</v>
      </c>
      <c r="AC86">
        <v>1.28</v>
      </c>
      <c r="AD86" s="2">
        <v>0.42666666666667002</v>
      </c>
      <c r="AE86" s="2">
        <v>0.38</v>
      </c>
      <c r="AF86" s="2">
        <v>0.1</v>
      </c>
      <c r="AG86" s="2">
        <v>1.66</v>
      </c>
      <c r="AH86">
        <v>0</v>
      </c>
      <c r="AI86">
        <v>0.55333333333333001</v>
      </c>
      <c r="AJ86">
        <v>8.3000000000000001E-3</v>
      </c>
      <c r="AK86" t="s">
        <v>54</v>
      </c>
      <c r="AL86">
        <v>0.1</v>
      </c>
      <c r="AM86" s="4">
        <f t="shared" si="9"/>
        <v>0.55333333333333767</v>
      </c>
      <c r="AN86" s="4">
        <f t="shared" si="10"/>
        <v>0.80000000000000626</v>
      </c>
      <c r="AO86" s="4">
        <f t="shared" si="11"/>
        <v>0.88880000000000692</v>
      </c>
      <c r="AP86" s="4">
        <f t="shared" si="12"/>
        <v>1.29592000000001</v>
      </c>
      <c r="AQ86" s="10">
        <f t="shared" si="13"/>
        <v>0.96230200000000765</v>
      </c>
      <c r="AR86" s="10">
        <f t="shared" si="14"/>
        <v>1.0692137522000085</v>
      </c>
      <c r="AS86" s="10">
        <f t="shared" si="15"/>
        <v>1.4981117536000119</v>
      </c>
    </row>
    <row r="87" spans="1:45" x14ac:dyDescent="0.3">
      <c r="A87">
        <v>2025</v>
      </c>
      <c r="B87">
        <v>12</v>
      </c>
      <c r="C87" t="s">
        <v>55</v>
      </c>
      <c r="D87">
        <v>10</v>
      </c>
      <c r="E87" t="s">
        <v>36</v>
      </c>
      <c r="F87" t="s">
        <v>37</v>
      </c>
      <c r="G87" t="s">
        <v>38</v>
      </c>
      <c r="H87" t="s">
        <v>1795</v>
      </c>
      <c r="I87" t="s">
        <v>57</v>
      </c>
      <c r="J87" t="s">
        <v>58</v>
      </c>
      <c r="K87" t="s">
        <v>59</v>
      </c>
      <c r="L87" t="s">
        <v>1803</v>
      </c>
      <c r="M87" t="s">
        <v>1804</v>
      </c>
      <c r="N87" t="s">
        <v>377</v>
      </c>
      <c r="O87" t="s">
        <v>1197</v>
      </c>
      <c r="Q87" t="s">
        <v>62</v>
      </c>
      <c r="R87" t="s">
        <v>1805</v>
      </c>
      <c r="S87" t="s">
        <v>1805</v>
      </c>
      <c r="T87" t="s">
        <v>47</v>
      </c>
      <c r="U87" t="s">
        <v>88</v>
      </c>
      <c r="V87" t="s">
        <v>89</v>
      </c>
      <c r="W87" t="s">
        <v>90</v>
      </c>
      <c r="X87" t="s">
        <v>51</v>
      </c>
      <c r="Y87" t="s">
        <v>1796</v>
      </c>
      <c r="Z87" t="s">
        <v>1796</v>
      </c>
      <c r="AA87" t="s">
        <v>1797</v>
      </c>
      <c r="AB87" s="3">
        <f t="shared" si="8"/>
        <v>4</v>
      </c>
      <c r="AC87">
        <v>1.7</v>
      </c>
      <c r="AD87" s="2">
        <v>0.42499999999999999</v>
      </c>
      <c r="AE87" s="2">
        <v>0.51</v>
      </c>
      <c r="AF87" s="2">
        <v>0.1</v>
      </c>
      <c r="AG87" s="2">
        <v>2.2200000000000002</v>
      </c>
      <c r="AH87">
        <v>0</v>
      </c>
      <c r="AI87">
        <v>0.55500000000000005</v>
      </c>
      <c r="AJ87">
        <v>1.11E-2</v>
      </c>
      <c r="AK87" t="s">
        <v>54</v>
      </c>
      <c r="AL87">
        <v>0.1</v>
      </c>
      <c r="AM87" s="4">
        <f t="shared" si="9"/>
        <v>0.55500000000000005</v>
      </c>
      <c r="AN87" s="4">
        <f t="shared" si="10"/>
        <v>0.796875</v>
      </c>
      <c r="AO87" s="4">
        <f t="shared" si="11"/>
        <v>0.88532812500000002</v>
      </c>
      <c r="AP87" s="4">
        <f t="shared" si="12"/>
        <v>1.2908578124999999</v>
      </c>
      <c r="AQ87" s="10">
        <f t="shared" si="13"/>
        <v>0.96520050000000013</v>
      </c>
      <c r="AR87" s="10">
        <f t="shared" si="14"/>
        <v>1.07243427555</v>
      </c>
      <c r="AS87" s="10">
        <f t="shared" si="15"/>
        <v>1.5026241384000001</v>
      </c>
    </row>
    <row r="88" spans="1:45" x14ac:dyDescent="0.3">
      <c r="A88">
        <v>2025</v>
      </c>
      <c r="B88">
        <v>12</v>
      </c>
      <c r="C88" t="s">
        <v>55</v>
      </c>
      <c r="D88">
        <v>10</v>
      </c>
      <c r="E88" t="s">
        <v>36</v>
      </c>
      <c r="F88" t="s">
        <v>37</v>
      </c>
      <c r="G88" t="s">
        <v>38</v>
      </c>
      <c r="H88" t="s">
        <v>1795</v>
      </c>
      <c r="I88" t="s">
        <v>57</v>
      </c>
      <c r="J88" t="s">
        <v>58</v>
      </c>
      <c r="K88" t="s">
        <v>59</v>
      </c>
      <c r="L88" t="s">
        <v>1769</v>
      </c>
      <c r="M88" t="s">
        <v>1770</v>
      </c>
      <c r="N88" t="s">
        <v>1771</v>
      </c>
      <c r="O88" t="s">
        <v>1197</v>
      </c>
      <c r="Q88" t="s">
        <v>62</v>
      </c>
      <c r="R88" t="s">
        <v>1772</v>
      </c>
      <c r="S88" t="s">
        <v>1772</v>
      </c>
      <c r="T88" t="s">
        <v>47</v>
      </c>
      <c r="U88" t="s">
        <v>88</v>
      </c>
      <c r="V88" t="s">
        <v>89</v>
      </c>
      <c r="W88" t="s">
        <v>90</v>
      </c>
      <c r="X88" t="s">
        <v>51</v>
      </c>
      <c r="Y88" t="s">
        <v>1796</v>
      </c>
      <c r="Z88" t="s">
        <v>1796</v>
      </c>
      <c r="AA88" t="s">
        <v>1797</v>
      </c>
      <c r="AB88" s="3">
        <f t="shared" si="8"/>
        <v>0.1</v>
      </c>
      <c r="AC88">
        <v>2.75</v>
      </c>
      <c r="AD88" s="2">
        <v>27.5</v>
      </c>
      <c r="AE88" s="2">
        <v>1.7</v>
      </c>
      <c r="AF88" s="2">
        <v>0.4</v>
      </c>
      <c r="AG88" s="2">
        <v>3.86</v>
      </c>
      <c r="AH88">
        <v>0</v>
      </c>
      <c r="AI88">
        <v>38.6</v>
      </c>
      <c r="AJ88">
        <v>1.9300000000000001E-2</v>
      </c>
      <c r="AK88" t="s">
        <v>54</v>
      </c>
      <c r="AL88">
        <v>0.1</v>
      </c>
      <c r="AM88" s="4">
        <f t="shared" si="9"/>
        <v>38.599999999999994</v>
      </c>
      <c r="AN88" s="4">
        <f t="shared" si="10"/>
        <v>51.5625</v>
      </c>
      <c r="AO88" s="4">
        <f t="shared" si="11"/>
        <v>57.285937500000003</v>
      </c>
      <c r="AP88" s="4">
        <f t="shared" si="12"/>
        <v>83.526093750000001</v>
      </c>
      <c r="AQ88" s="10">
        <f t="shared" si="13"/>
        <v>67.129259999999988</v>
      </c>
      <c r="AR88" s="10">
        <f t="shared" si="14"/>
        <v>74.587320785999978</v>
      </c>
      <c r="AS88" s="10">
        <f t="shared" si="15"/>
        <v>104.50683196799997</v>
      </c>
    </row>
    <row r="89" spans="1:45" x14ac:dyDescent="0.3">
      <c r="A89">
        <v>2025</v>
      </c>
      <c r="B89">
        <v>12</v>
      </c>
      <c r="C89" t="s">
        <v>55</v>
      </c>
      <c r="D89">
        <v>10</v>
      </c>
      <c r="E89" t="s">
        <v>36</v>
      </c>
      <c r="F89" t="s">
        <v>37</v>
      </c>
      <c r="G89" t="s">
        <v>38</v>
      </c>
      <c r="H89" t="s">
        <v>1795</v>
      </c>
      <c r="I89" t="s">
        <v>57</v>
      </c>
      <c r="J89" t="s">
        <v>58</v>
      </c>
      <c r="K89" t="s">
        <v>59</v>
      </c>
      <c r="L89" t="s">
        <v>1769</v>
      </c>
      <c r="M89" t="s">
        <v>1770</v>
      </c>
      <c r="N89" t="s">
        <v>1771</v>
      </c>
      <c r="O89" t="s">
        <v>1197</v>
      </c>
      <c r="Q89" t="s">
        <v>62</v>
      </c>
      <c r="R89" t="s">
        <v>1772</v>
      </c>
      <c r="S89" t="s">
        <v>1772</v>
      </c>
      <c r="T89" t="s">
        <v>47</v>
      </c>
      <c r="U89" t="s">
        <v>88</v>
      </c>
      <c r="V89" t="s">
        <v>89</v>
      </c>
      <c r="W89" t="s">
        <v>90</v>
      </c>
      <c r="X89" t="s">
        <v>51</v>
      </c>
      <c r="Y89" t="s">
        <v>1798</v>
      </c>
      <c r="Z89" t="s">
        <v>1798</v>
      </c>
      <c r="AA89" t="s">
        <v>1799</v>
      </c>
      <c r="AB89" s="3">
        <f t="shared" si="8"/>
        <v>2</v>
      </c>
      <c r="AC89">
        <v>1.9</v>
      </c>
      <c r="AD89" s="2">
        <v>0.95</v>
      </c>
      <c r="AE89" s="2">
        <v>0.32</v>
      </c>
      <c r="AF89" s="2">
        <v>0.1</v>
      </c>
      <c r="AG89" s="2">
        <v>1.42</v>
      </c>
      <c r="AH89">
        <v>0</v>
      </c>
      <c r="AI89">
        <v>0.71</v>
      </c>
      <c r="AJ89">
        <v>7.1000000000000004E-3</v>
      </c>
      <c r="AK89" t="s">
        <v>54</v>
      </c>
      <c r="AL89">
        <v>0.1</v>
      </c>
      <c r="AM89" s="4">
        <f t="shared" si="9"/>
        <v>0.71</v>
      </c>
      <c r="AN89" s="4">
        <f t="shared" si="10"/>
        <v>1.78125</v>
      </c>
      <c r="AO89" s="4">
        <f t="shared" si="11"/>
        <v>1.9789687499999999</v>
      </c>
      <c r="AP89" s="4">
        <f t="shared" si="12"/>
        <v>2.885446875</v>
      </c>
      <c r="AQ89" s="10">
        <f t="shared" si="13"/>
        <v>1.234761</v>
      </c>
      <c r="AR89" s="10">
        <f t="shared" si="14"/>
        <v>1.3719429471</v>
      </c>
      <c r="AS89" s="10">
        <f t="shared" si="15"/>
        <v>1.9222759247999999</v>
      </c>
    </row>
    <row r="90" spans="1:45" x14ac:dyDescent="0.3">
      <c r="A90">
        <v>2025</v>
      </c>
      <c r="B90">
        <v>7</v>
      </c>
      <c r="C90" t="s">
        <v>55</v>
      </c>
      <c r="D90">
        <v>10</v>
      </c>
      <c r="E90" t="s">
        <v>36</v>
      </c>
      <c r="F90" t="s">
        <v>37</v>
      </c>
      <c r="G90" t="s">
        <v>38</v>
      </c>
      <c r="H90" t="s">
        <v>141</v>
      </c>
      <c r="I90" t="s">
        <v>190</v>
      </c>
      <c r="J90" t="s">
        <v>58</v>
      </c>
      <c r="K90" t="s">
        <v>41</v>
      </c>
      <c r="L90" t="s">
        <v>953</v>
      </c>
      <c r="M90" t="s">
        <v>954</v>
      </c>
      <c r="N90" t="s">
        <v>731</v>
      </c>
      <c r="O90" t="s">
        <v>36</v>
      </c>
      <c r="Q90" t="s">
        <v>62</v>
      </c>
      <c r="R90" t="s">
        <v>955</v>
      </c>
      <c r="S90" t="s">
        <v>956</v>
      </c>
      <c r="T90" t="s">
        <v>47</v>
      </c>
      <c r="U90" t="s">
        <v>88</v>
      </c>
      <c r="V90" t="s">
        <v>49</v>
      </c>
      <c r="W90" t="s">
        <v>90</v>
      </c>
      <c r="X90" t="s">
        <v>51</v>
      </c>
      <c r="Y90" t="s">
        <v>1798</v>
      </c>
      <c r="Z90" t="s">
        <v>1798</v>
      </c>
      <c r="AA90" t="s">
        <v>1799</v>
      </c>
      <c r="AB90" s="3">
        <f t="shared" si="8"/>
        <v>2</v>
      </c>
      <c r="AC90">
        <v>1.9</v>
      </c>
      <c r="AD90" s="2">
        <v>0.95</v>
      </c>
      <c r="AE90" s="2">
        <v>0.32</v>
      </c>
      <c r="AF90" s="2">
        <v>0.1</v>
      </c>
      <c r="AG90" s="2">
        <v>1.42</v>
      </c>
      <c r="AH90">
        <v>0</v>
      </c>
      <c r="AI90">
        <v>0.71</v>
      </c>
      <c r="AJ90">
        <v>7.1000000000000004E-3</v>
      </c>
      <c r="AK90" t="s">
        <v>54</v>
      </c>
      <c r="AL90">
        <v>0.1</v>
      </c>
      <c r="AM90" s="4">
        <f t="shared" si="9"/>
        <v>0.71</v>
      </c>
      <c r="AN90" s="4">
        <f t="shared" si="10"/>
        <v>1.78125</v>
      </c>
      <c r="AO90" s="4">
        <f t="shared" si="11"/>
        <v>1.9789687499999999</v>
      </c>
      <c r="AP90" s="4">
        <f t="shared" si="12"/>
        <v>2.885446875</v>
      </c>
      <c r="AQ90" s="10">
        <f t="shared" si="13"/>
        <v>1.234761</v>
      </c>
      <c r="AR90" s="10">
        <f t="shared" si="14"/>
        <v>1.3719429471</v>
      </c>
      <c r="AS90" s="10">
        <f t="shared" si="15"/>
        <v>1.9222759247999999</v>
      </c>
    </row>
    <row r="91" spans="1:45" x14ac:dyDescent="0.3">
      <c r="A91">
        <v>2025</v>
      </c>
      <c r="B91">
        <v>6</v>
      </c>
      <c r="C91" t="s">
        <v>55</v>
      </c>
      <c r="D91">
        <v>10</v>
      </c>
      <c r="E91" t="s">
        <v>36</v>
      </c>
      <c r="F91" t="s">
        <v>37</v>
      </c>
      <c r="G91" t="s">
        <v>38</v>
      </c>
      <c r="H91" t="s">
        <v>78</v>
      </c>
      <c r="I91" t="s">
        <v>190</v>
      </c>
      <c r="J91" t="s">
        <v>58</v>
      </c>
      <c r="K91" t="s">
        <v>59</v>
      </c>
      <c r="M91" t="s">
        <v>730</v>
      </c>
      <c r="N91" t="s">
        <v>731</v>
      </c>
      <c r="O91" t="s">
        <v>36</v>
      </c>
      <c r="Q91" t="s">
        <v>62</v>
      </c>
      <c r="R91" t="s">
        <v>732</v>
      </c>
      <c r="S91" t="s">
        <v>732</v>
      </c>
      <c r="T91" t="s">
        <v>47</v>
      </c>
      <c r="U91" t="s">
        <v>782</v>
      </c>
      <c r="V91" t="s">
        <v>49</v>
      </c>
      <c r="W91" t="s">
        <v>783</v>
      </c>
      <c r="X91" t="s">
        <v>686</v>
      </c>
      <c r="Y91" t="s">
        <v>1014</v>
      </c>
      <c r="Z91" t="s">
        <v>1014</v>
      </c>
      <c r="AA91" t="s">
        <v>1015</v>
      </c>
      <c r="AB91" s="3">
        <f t="shared" si="8"/>
        <v>12.930000000000117</v>
      </c>
      <c r="AC91">
        <v>23.41</v>
      </c>
      <c r="AD91" s="2">
        <v>1.8105181747873</v>
      </c>
      <c r="AE91" s="2">
        <v>174.25</v>
      </c>
      <c r="AF91" s="2">
        <v>0.2</v>
      </c>
      <c r="AG91" s="2">
        <v>197.67</v>
      </c>
      <c r="AH91">
        <v>0</v>
      </c>
      <c r="AI91">
        <v>15.287703016241</v>
      </c>
      <c r="AJ91">
        <v>0.98834999999999995</v>
      </c>
      <c r="AK91" t="s">
        <v>54</v>
      </c>
      <c r="AL91">
        <v>13.4</v>
      </c>
      <c r="AM91" s="4">
        <f t="shared" si="9"/>
        <v>15.28770301624116</v>
      </c>
      <c r="AN91" s="4">
        <f t="shared" si="10"/>
        <v>3.3947215777261874</v>
      </c>
      <c r="AO91" s="4">
        <f t="shared" si="11"/>
        <v>3.7715356728537941</v>
      </c>
      <c r="AP91" s="4">
        <f t="shared" si="12"/>
        <v>5.4991094837586507</v>
      </c>
      <c r="AQ91" s="10">
        <f t="shared" si="13"/>
        <v>26.586844315545004</v>
      </c>
      <c r="AR91" s="10">
        <f t="shared" si="14"/>
        <v>29.540642719002054</v>
      </c>
      <c r="AS91" s="10">
        <f t="shared" si="15"/>
        <v>41.390399230440465</v>
      </c>
    </row>
    <row r="92" spans="1:45" x14ac:dyDescent="0.3">
      <c r="A92">
        <v>2025</v>
      </c>
      <c r="B92">
        <v>7</v>
      </c>
      <c r="C92" t="s">
        <v>55</v>
      </c>
      <c r="D92">
        <v>10</v>
      </c>
      <c r="E92" t="s">
        <v>36</v>
      </c>
      <c r="F92" t="s">
        <v>37</v>
      </c>
      <c r="G92" t="s">
        <v>38</v>
      </c>
      <c r="H92" t="s">
        <v>78</v>
      </c>
      <c r="I92" t="s">
        <v>190</v>
      </c>
      <c r="J92" t="s">
        <v>58</v>
      </c>
      <c r="K92" t="s">
        <v>41</v>
      </c>
      <c r="L92" t="s">
        <v>953</v>
      </c>
      <c r="M92" t="s">
        <v>954</v>
      </c>
      <c r="N92" t="s">
        <v>731</v>
      </c>
      <c r="O92" t="s">
        <v>36</v>
      </c>
      <c r="Q92" t="s">
        <v>62</v>
      </c>
      <c r="R92" t="s">
        <v>955</v>
      </c>
      <c r="S92" t="s">
        <v>956</v>
      </c>
      <c r="T92" t="s">
        <v>47</v>
      </c>
      <c r="U92" t="s">
        <v>782</v>
      </c>
      <c r="V92" t="s">
        <v>49</v>
      </c>
      <c r="W92" t="s">
        <v>783</v>
      </c>
      <c r="X92" t="s">
        <v>51</v>
      </c>
      <c r="Y92" t="s">
        <v>784</v>
      </c>
      <c r="Z92" t="s">
        <v>784</v>
      </c>
      <c r="AA92" t="s">
        <v>785</v>
      </c>
      <c r="AB92" s="3">
        <f t="shared" si="8"/>
        <v>0.30000000000000138</v>
      </c>
      <c r="AC92">
        <v>0.22</v>
      </c>
      <c r="AD92" s="2">
        <v>0.73333333333332995</v>
      </c>
      <c r="AE92" s="2">
        <v>0.5</v>
      </c>
      <c r="AF92" s="2">
        <v>0</v>
      </c>
      <c r="AG92" s="2">
        <v>0.27</v>
      </c>
      <c r="AH92">
        <v>0</v>
      </c>
      <c r="AI92">
        <v>0.9</v>
      </c>
      <c r="AJ92">
        <v>1.3500000000000001E-3</v>
      </c>
      <c r="AK92" t="s">
        <v>54</v>
      </c>
      <c r="AL92">
        <v>0</v>
      </c>
      <c r="AM92" s="4">
        <f t="shared" si="9"/>
        <v>0.89999999999999591</v>
      </c>
      <c r="AN92" s="4">
        <f t="shared" si="10"/>
        <v>1.3749999999999936</v>
      </c>
      <c r="AO92" s="4">
        <f t="shared" si="11"/>
        <v>1.5276249999999929</v>
      </c>
      <c r="AP92" s="4">
        <f t="shared" si="12"/>
        <v>2.2273624999999893</v>
      </c>
      <c r="AQ92" s="10">
        <f t="shared" si="13"/>
        <v>1.565189999999993</v>
      </c>
      <c r="AR92" s="10">
        <f t="shared" si="14"/>
        <v>1.7390826089999922</v>
      </c>
      <c r="AS92" s="10">
        <f t="shared" si="15"/>
        <v>2.4366877919999892</v>
      </c>
    </row>
    <row r="93" spans="1:45" x14ac:dyDescent="0.3">
      <c r="A93">
        <v>2025</v>
      </c>
      <c r="B93">
        <v>12</v>
      </c>
      <c r="C93" t="s">
        <v>55</v>
      </c>
      <c r="D93">
        <v>10</v>
      </c>
      <c r="E93" t="s">
        <v>36</v>
      </c>
      <c r="F93" t="s">
        <v>37</v>
      </c>
      <c r="G93" t="s">
        <v>38</v>
      </c>
      <c r="H93" t="s">
        <v>78</v>
      </c>
      <c r="I93" t="s">
        <v>57</v>
      </c>
      <c r="J93" t="s">
        <v>58</v>
      </c>
      <c r="K93" t="s">
        <v>59</v>
      </c>
      <c r="L93" t="s">
        <v>1769</v>
      </c>
      <c r="M93" t="s">
        <v>1770</v>
      </c>
      <c r="N93" t="s">
        <v>1771</v>
      </c>
      <c r="O93" t="s">
        <v>1197</v>
      </c>
      <c r="Q93" t="s">
        <v>62</v>
      </c>
      <c r="R93" t="s">
        <v>1772</v>
      </c>
      <c r="S93" t="s">
        <v>1772</v>
      </c>
      <c r="T93" t="s">
        <v>47</v>
      </c>
      <c r="U93" t="s">
        <v>782</v>
      </c>
      <c r="V93" t="s">
        <v>49</v>
      </c>
      <c r="W93" t="s">
        <v>783</v>
      </c>
      <c r="X93" t="s">
        <v>51</v>
      </c>
      <c r="Y93" t="s">
        <v>1020</v>
      </c>
      <c r="Z93" t="s">
        <v>1020</v>
      </c>
      <c r="AA93" t="s">
        <v>1021</v>
      </c>
      <c r="AB93" s="3">
        <f t="shared" si="8"/>
        <v>4.3099999999999898</v>
      </c>
      <c r="AC93">
        <v>7.44</v>
      </c>
      <c r="AD93" s="2">
        <v>1.7262180974478001</v>
      </c>
      <c r="AE93" s="2">
        <v>58.8</v>
      </c>
      <c r="AF93" s="2">
        <v>0</v>
      </c>
      <c r="AG93" s="2">
        <v>65.52</v>
      </c>
      <c r="AH93">
        <v>0</v>
      </c>
      <c r="AI93">
        <v>15.201856148492</v>
      </c>
      <c r="AJ93">
        <v>0.3276</v>
      </c>
      <c r="AK93" t="s">
        <v>54</v>
      </c>
      <c r="AL93">
        <v>4.3499999999999996</v>
      </c>
      <c r="AM93" s="4">
        <f t="shared" si="9"/>
        <v>15.201856148491915</v>
      </c>
      <c r="AN93" s="4">
        <f t="shared" si="10"/>
        <v>3.2366589327146253</v>
      </c>
      <c r="AO93" s="4">
        <f t="shared" si="11"/>
        <v>3.5959280742459487</v>
      </c>
      <c r="AP93" s="4">
        <f t="shared" si="12"/>
        <v>5.2430638051044216</v>
      </c>
      <c r="AQ93" s="10">
        <f t="shared" si="13"/>
        <v>26.43754802784229</v>
      </c>
      <c r="AR93" s="10">
        <f t="shared" si="14"/>
        <v>29.374759613735566</v>
      </c>
      <c r="AS93" s="10">
        <f t="shared" si="15"/>
        <v>41.157974769744875</v>
      </c>
    </row>
    <row r="94" spans="1:45" x14ac:dyDescent="0.3">
      <c r="A94">
        <v>2025</v>
      </c>
      <c r="B94">
        <v>7</v>
      </c>
      <c r="C94" t="s">
        <v>55</v>
      </c>
      <c r="D94">
        <v>10</v>
      </c>
      <c r="E94" t="s">
        <v>36</v>
      </c>
      <c r="F94" t="s">
        <v>37</v>
      </c>
      <c r="G94" t="s">
        <v>38</v>
      </c>
      <c r="H94" t="s">
        <v>341</v>
      </c>
      <c r="I94" t="s">
        <v>190</v>
      </c>
      <c r="J94" t="s">
        <v>58</v>
      </c>
      <c r="K94" t="s">
        <v>41</v>
      </c>
      <c r="L94" t="s">
        <v>953</v>
      </c>
      <c r="M94" t="s">
        <v>954</v>
      </c>
      <c r="N94" t="s">
        <v>731</v>
      </c>
      <c r="O94" t="s">
        <v>36</v>
      </c>
      <c r="Q94" t="s">
        <v>62</v>
      </c>
      <c r="R94" t="s">
        <v>955</v>
      </c>
      <c r="S94" t="s">
        <v>956</v>
      </c>
      <c r="T94" t="s">
        <v>47</v>
      </c>
      <c r="U94" t="s">
        <v>244</v>
      </c>
      <c r="V94" t="s">
        <v>49</v>
      </c>
      <c r="W94" t="s">
        <v>90</v>
      </c>
      <c r="X94" t="s">
        <v>51</v>
      </c>
      <c r="Y94" t="s">
        <v>1806</v>
      </c>
      <c r="Z94" t="s">
        <v>1806</v>
      </c>
      <c r="AA94" t="s">
        <v>1807</v>
      </c>
      <c r="AB94" s="3">
        <f t="shared" si="8"/>
        <v>6.0000000000001315</v>
      </c>
      <c r="AC94">
        <v>0.92</v>
      </c>
      <c r="AD94" s="2">
        <v>0.15333333333332999</v>
      </c>
      <c r="AE94" s="2">
        <v>0.27</v>
      </c>
      <c r="AF94" s="2">
        <v>0.1</v>
      </c>
      <c r="AG94" s="2">
        <v>1.19</v>
      </c>
      <c r="AH94">
        <v>0</v>
      </c>
      <c r="AI94">
        <v>0.19833333333333</v>
      </c>
      <c r="AJ94">
        <v>5.9500000000000004E-3</v>
      </c>
      <c r="AK94" t="s">
        <v>54</v>
      </c>
      <c r="AL94">
        <v>0.1</v>
      </c>
      <c r="AM94" s="4">
        <f t="shared" si="9"/>
        <v>0.19833333333332898</v>
      </c>
      <c r="AN94" s="4">
        <f t="shared" si="10"/>
        <v>0.28749999999999376</v>
      </c>
      <c r="AO94" s="4">
        <f t="shared" si="11"/>
        <v>0.31941249999999305</v>
      </c>
      <c r="AP94" s="4">
        <f t="shared" si="12"/>
        <v>0.46572124999998987</v>
      </c>
      <c r="AQ94" s="10">
        <f t="shared" si="13"/>
        <v>0.34492149999999244</v>
      </c>
      <c r="AR94" s="10">
        <f t="shared" si="14"/>
        <v>0.38324227864999161</v>
      </c>
      <c r="AS94" s="10">
        <f t="shared" si="15"/>
        <v>0.53697379119998823</v>
      </c>
    </row>
    <row r="95" spans="1:45" x14ac:dyDescent="0.3">
      <c r="A95">
        <v>2025</v>
      </c>
      <c r="B95">
        <v>4</v>
      </c>
      <c r="C95" t="s">
        <v>55</v>
      </c>
      <c r="D95">
        <v>10</v>
      </c>
      <c r="E95" t="s">
        <v>36</v>
      </c>
      <c r="F95" t="s">
        <v>37</v>
      </c>
      <c r="G95" t="s">
        <v>38</v>
      </c>
      <c r="H95" t="s">
        <v>83</v>
      </c>
      <c r="I95" t="s">
        <v>375</v>
      </c>
      <c r="J95" t="s">
        <v>376</v>
      </c>
      <c r="K95" t="s">
        <v>59</v>
      </c>
      <c r="M95">
        <v>2503061</v>
      </c>
      <c r="N95" t="s">
        <v>377</v>
      </c>
      <c r="O95" t="s">
        <v>36</v>
      </c>
      <c r="Q95" t="s">
        <v>62</v>
      </c>
      <c r="R95" t="s">
        <v>378</v>
      </c>
      <c r="S95" t="s">
        <v>378</v>
      </c>
      <c r="T95" t="s">
        <v>47</v>
      </c>
      <c r="U95" t="s">
        <v>445</v>
      </c>
      <c r="V95" t="s">
        <v>49</v>
      </c>
      <c r="W95" t="s">
        <v>446</v>
      </c>
      <c r="X95" t="s">
        <v>51</v>
      </c>
      <c r="Y95" t="s">
        <v>1022</v>
      </c>
      <c r="Z95" t="s">
        <v>1022</v>
      </c>
      <c r="AA95" t="s">
        <v>1023</v>
      </c>
      <c r="AB95" s="3">
        <f t="shared" si="8"/>
        <v>2.150000000000031</v>
      </c>
      <c r="AC95">
        <v>5.85</v>
      </c>
      <c r="AD95" s="2">
        <v>2.7209302325581</v>
      </c>
      <c r="AE95" s="2">
        <v>29.4</v>
      </c>
      <c r="AF95" s="2">
        <v>0.2</v>
      </c>
      <c r="AG95" s="2">
        <v>34.909999999999997</v>
      </c>
      <c r="AH95">
        <v>0</v>
      </c>
      <c r="AI95">
        <v>16.237209302326001</v>
      </c>
      <c r="AJ95">
        <v>0.17455000000000001</v>
      </c>
      <c r="AK95" t="s">
        <v>54</v>
      </c>
      <c r="AL95">
        <v>2.17</v>
      </c>
      <c r="AM95" s="4">
        <f t="shared" si="9"/>
        <v>16.237209302325347</v>
      </c>
      <c r="AN95" s="4">
        <f t="shared" si="10"/>
        <v>5.101744186046437</v>
      </c>
      <c r="AO95" s="4">
        <f t="shared" si="11"/>
        <v>5.6680377906975918</v>
      </c>
      <c r="AP95" s="4">
        <f t="shared" si="12"/>
        <v>8.2643154069766229</v>
      </c>
      <c r="AQ95" s="10">
        <f t="shared" si="13"/>
        <v>28.238130697674013</v>
      </c>
      <c r="AR95" s="10">
        <f t="shared" si="14"/>
        <v>31.375387018185595</v>
      </c>
      <c r="AS95" s="10">
        <f t="shared" si="15"/>
        <v>43.961121870138903</v>
      </c>
    </row>
    <row r="96" spans="1:45" x14ac:dyDescent="0.3">
      <c r="A96">
        <v>2025</v>
      </c>
      <c r="B96">
        <v>4</v>
      </c>
      <c r="C96" t="s">
        <v>55</v>
      </c>
      <c r="D96">
        <v>10</v>
      </c>
      <c r="E96" t="s">
        <v>36</v>
      </c>
      <c r="F96" t="s">
        <v>37</v>
      </c>
      <c r="G96" t="s">
        <v>38</v>
      </c>
      <c r="H96" t="s">
        <v>132</v>
      </c>
      <c r="I96" t="s">
        <v>190</v>
      </c>
      <c r="J96" t="s">
        <v>58</v>
      </c>
      <c r="K96" t="s">
        <v>59</v>
      </c>
      <c r="M96" t="s">
        <v>383</v>
      </c>
      <c r="N96" t="s">
        <v>384</v>
      </c>
      <c r="O96" t="s">
        <v>36</v>
      </c>
      <c r="Q96" t="s">
        <v>62</v>
      </c>
      <c r="R96" t="s">
        <v>385</v>
      </c>
      <c r="S96" t="s">
        <v>385</v>
      </c>
      <c r="T96" t="s">
        <v>47</v>
      </c>
      <c r="U96" t="s">
        <v>445</v>
      </c>
      <c r="V96" t="s">
        <v>49</v>
      </c>
      <c r="W96" t="s">
        <v>446</v>
      </c>
      <c r="X96" t="s">
        <v>388</v>
      </c>
      <c r="Y96" t="s">
        <v>447</v>
      </c>
      <c r="Z96" t="s">
        <v>447</v>
      </c>
      <c r="AA96" t="s">
        <v>448</v>
      </c>
      <c r="AB96" s="3">
        <f t="shared" si="8"/>
        <v>2</v>
      </c>
      <c r="AC96">
        <v>21.67</v>
      </c>
      <c r="AD96" s="2">
        <v>10.835000000000001</v>
      </c>
      <c r="AE96" s="2">
        <v>47.15</v>
      </c>
      <c r="AF96" s="2">
        <v>0.11</v>
      </c>
      <c r="AG96" s="2">
        <v>68.930000000000007</v>
      </c>
      <c r="AH96">
        <v>0</v>
      </c>
      <c r="AI96">
        <v>34.465000000000003</v>
      </c>
      <c r="AJ96">
        <v>0.34465000000000001</v>
      </c>
      <c r="AK96" t="s">
        <v>54</v>
      </c>
      <c r="AL96">
        <v>2.25</v>
      </c>
      <c r="AM96" s="4">
        <f t="shared" si="9"/>
        <v>34.465000000000003</v>
      </c>
      <c r="AN96" s="4">
        <f t="shared" si="10"/>
        <v>20.315625000000001</v>
      </c>
      <c r="AO96" s="4">
        <f t="shared" si="11"/>
        <v>22.570659375000002</v>
      </c>
      <c r="AP96" s="4">
        <f t="shared" si="12"/>
        <v>32.9092809375</v>
      </c>
      <c r="AQ96" s="10">
        <f t="shared" si="13"/>
        <v>59.93808150000001</v>
      </c>
      <c r="AR96" s="10">
        <f t="shared" si="14"/>
        <v>66.597202354650008</v>
      </c>
      <c r="AS96" s="10">
        <f t="shared" si="15"/>
        <v>93.311605279200009</v>
      </c>
    </row>
    <row r="97" spans="1:45" x14ac:dyDescent="0.3">
      <c r="A97">
        <v>2025</v>
      </c>
      <c r="B97">
        <v>7</v>
      </c>
      <c r="C97" t="s">
        <v>55</v>
      </c>
      <c r="D97">
        <v>10</v>
      </c>
      <c r="E97" t="s">
        <v>36</v>
      </c>
      <c r="F97" t="s">
        <v>37</v>
      </c>
      <c r="G97" t="s">
        <v>38</v>
      </c>
      <c r="H97" t="s">
        <v>39</v>
      </c>
      <c r="I97" t="s">
        <v>190</v>
      </c>
      <c r="J97" t="s">
        <v>58</v>
      </c>
      <c r="K97" t="s">
        <v>41</v>
      </c>
      <c r="L97" t="s">
        <v>953</v>
      </c>
      <c r="M97" t="s">
        <v>954</v>
      </c>
      <c r="N97" t="s">
        <v>731</v>
      </c>
      <c r="O97" t="s">
        <v>36</v>
      </c>
      <c r="Q97" t="s">
        <v>62</v>
      </c>
      <c r="R97" t="s">
        <v>955</v>
      </c>
      <c r="S97" t="s">
        <v>956</v>
      </c>
      <c r="T97" t="s">
        <v>47</v>
      </c>
      <c r="U97" t="s">
        <v>223</v>
      </c>
      <c r="V97" t="s">
        <v>49</v>
      </c>
      <c r="W97" t="s">
        <v>224</v>
      </c>
      <c r="X97" t="s">
        <v>51</v>
      </c>
      <c r="Y97" t="s">
        <v>449</v>
      </c>
      <c r="Z97" t="s">
        <v>449</v>
      </c>
      <c r="AA97" t="s">
        <v>450</v>
      </c>
      <c r="AB97" s="3">
        <f t="shared" si="8"/>
        <v>2</v>
      </c>
      <c r="AC97">
        <v>25.68</v>
      </c>
      <c r="AD97" s="2">
        <v>12.84</v>
      </c>
      <c r="AE97" s="2">
        <v>30.65</v>
      </c>
      <c r="AF97" s="2">
        <v>0.1</v>
      </c>
      <c r="AG97" s="2">
        <v>56.43</v>
      </c>
      <c r="AH97">
        <v>0</v>
      </c>
      <c r="AI97">
        <v>28.215</v>
      </c>
      <c r="AJ97">
        <v>0.28215000000000001</v>
      </c>
      <c r="AK97" t="s">
        <v>54</v>
      </c>
      <c r="AL97">
        <v>1.56</v>
      </c>
      <c r="AM97" s="4">
        <f t="shared" si="9"/>
        <v>28.215</v>
      </c>
      <c r="AN97" s="4">
        <f t="shared" si="10"/>
        <v>24.074999999999999</v>
      </c>
      <c r="AO97" s="4">
        <f t="shared" si="11"/>
        <v>26.747325</v>
      </c>
      <c r="AP97" s="4">
        <f t="shared" si="12"/>
        <v>38.999092499999996</v>
      </c>
      <c r="AQ97" s="10">
        <f t="shared" si="13"/>
        <v>49.068706500000005</v>
      </c>
      <c r="AR97" s="10">
        <f t="shared" si="14"/>
        <v>54.520239792150001</v>
      </c>
      <c r="AS97" s="10">
        <f t="shared" si="15"/>
        <v>76.390162279199998</v>
      </c>
    </row>
    <row r="98" spans="1:45" x14ac:dyDescent="0.3">
      <c r="A98">
        <v>2025</v>
      </c>
      <c r="B98">
        <v>7</v>
      </c>
      <c r="C98" t="s">
        <v>55</v>
      </c>
      <c r="D98">
        <v>10</v>
      </c>
      <c r="E98" t="s">
        <v>36</v>
      </c>
      <c r="F98" t="s">
        <v>37</v>
      </c>
      <c r="G98" t="s">
        <v>38</v>
      </c>
      <c r="H98" t="s">
        <v>39</v>
      </c>
      <c r="I98" t="s">
        <v>190</v>
      </c>
      <c r="J98" t="s">
        <v>58</v>
      </c>
      <c r="K98" t="s">
        <v>41</v>
      </c>
      <c r="L98" t="s">
        <v>953</v>
      </c>
      <c r="M98" t="s">
        <v>954</v>
      </c>
      <c r="N98" t="s">
        <v>731</v>
      </c>
      <c r="O98" t="s">
        <v>36</v>
      </c>
      <c r="Q98" t="s">
        <v>62</v>
      </c>
      <c r="R98" t="s">
        <v>955</v>
      </c>
      <c r="S98" t="s">
        <v>956</v>
      </c>
      <c r="T98" t="s">
        <v>47</v>
      </c>
      <c r="U98" t="s">
        <v>223</v>
      </c>
      <c r="V98" t="s">
        <v>49</v>
      </c>
      <c r="W98" t="s">
        <v>224</v>
      </c>
      <c r="X98" t="s">
        <v>51</v>
      </c>
      <c r="Y98" t="s">
        <v>1005</v>
      </c>
      <c r="Z98" t="s">
        <v>1005</v>
      </c>
      <c r="AA98" t="s">
        <v>1006</v>
      </c>
      <c r="AB98" s="3">
        <f t="shared" si="8"/>
        <v>4.3099999999999659</v>
      </c>
      <c r="AC98">
        <v>24.57</v>
      </c>
      <c r="AD98" s="2">
        <v>5.7006960556845003</v>
      </c>
      <c r="AE98" s="2">
        <v>58.8</v>
      </c>
      <c r="AF98" s="2">
        <v>0.12</v>
      </c>
      <c r="AG98" s="2">
        <v>82.77</v>
      </c>
      <c r="AH98">
        <v>0</v>
      </c>
      <c r="AI98">
        <v>19.204176334107</v>
      </c>
      <c r="AJ98">
        <v>0.41385</v>
      </c>
      <c r="AK98" t="s">
        <v>54</v>
      </c>
      <c r="AL98">
        <v>4.3499999999999996</v>
      </c>
      <c r="AM98" s="4">
        <f t="shared" si="9"/>
        <v>19.204176334106879</v>
      </c>
      <c r="AN98" s="4">
        <f t="shared" si="10"/>
        <v>10.688805104408438</v>
      </c>
      <c r="AO98" s="4">
        <f t="shared" si="11"/>
        <v>11.875262470997773</v>
      </c>
      <c r="AP98" s="4">
        <f t="shared" si="12"/>
        <v>17.314795388631229</v>
      </c>
      <c r="AQ98" s="10">
        <f t="shared" si="13"/>
        <v>33.397983062645274</v>
      </c>
      <c r="AR98" s="10">
        <f t="shared" si="14"/>
        <v>37.108498980905161</v>
      </c>
      <c r="AS98" s="10">
        <f t="shared" si="15"/>
        <v>51.993980031926164</v>
      </c>
    </row>
    <row r="99" spans="1:45" x14ac:dyDescent="0.3">
      <c r="A99">
        <v>2025</v>
      </c>
      <c r="B99">
        <v>8</v>
      </c>
      <c r="C99" t="s">
        <v>55</v>
      </c>
      <c r="D99">
        <v>10</v>
      </c>
      <c r="E99" t="s">
        <v>36</v>
      </c>
      <c r="F99" t="s">
        <v>37</v>
      </c>
      <c r="G99" t="s">
        <v>38</v>
      </c>
      <c r="H99" t="s">
        <v>39</v>
      </c>
      <c r="I99" t="s">
        <v>190</v>
      </c>
      <c r="J99" t="s">
        <v>58</v>
      </c>
      <c r="K99" t="s">
        <v>59</v>
      </c>
      <c r="L99" t="s">
        <v>1194</v>
      </c>
      <c r="M99" t="s">
        <v>1195</v>
      </c>
      <c r="N99" t="s">
        <v>1196</v>
      </c>
      <c r="O99" t="s">
        <v>1197</v>
      </c>
      <c r="Q99" t="s">
        <v>62</v>
      </c>
      <c r="R99" t="s">
        <v>1198</v>
      </c>
      <c r="S99" t="s">
        <v>1198</v>
      </c>
      <c r="T99" t="s">
        <v>47</v>
      </c>
      <c r="U99" t="s">
        <v>223</v>
      </c>
      <c r="V99" t="s">
        <v>49</v>
      </c>
      <c r="W99" t="s">
        <v>224</v>
      </c>
      <c r="X99" t="s">
        <v>388</v>
      </c>
      <c r="Y99" t="s">
        <v>1007</v>
      </c>
      <c r="Z99" t="s">
        <v>1007</v>
      </c>
      <c r="AA99" t="s">
        <v>1006</v>
      </c>
      <c r="AB99" s="3">
        <f t="shared" si="8"/>
        <v>8.6200000000000045</v>
      </c>
      <c r="AC99">
        <v>49.16</v>
      </c>
      <c r="AD99" s="2">
        <v>5.7030162412993004</v>
      </c>
      <c r="AE99" s="2">
        <v>116.17</v>
      </c>
      <c r="AF99" s="2">
        <v>0.25</v>
      </c>
      <c r="AG99" s="2">
        <v>165.58</v>
      </c>
      <c r="AH99">
        <v>0</v>
      </c>
      <c r="AI99">
        <v>19.208816705336002</v>
      </c>
      <c r="AJ99">
        <v>0.82789999999999997</v>
      </c>
      <c r="AK99" t="s">
        <v>54</v>
      </c>
      <c r="AL99">
        <v>8.6999999999999993</v>
      </c>
      <c r="AM99" s="4">
        <f t="shared" si="9"/>
        <v>19.208816705336417</v>
      </c>
      <c r="AN99" s="4">
        <f t="shared" si="10"/>
        <v>10.693155452436189</v>
      </c>
      <c r="AO99" s="4">
        <f t="shared" si="11"/>
        <v>11.880095707656606</v>
      </c>
      <c r="AP99" s="4">
        <f t="shared" si="12"/>
        <v>17.321842517401382</v>
      </c>
      <c r="AQ99" s="10">
        <f t="shared" si="13"/>
        <v>33.406053132250562</v>
      </c>
      <c r="AR99" s="10">
        <f t="shared" si="14"/>
        <v>37.117465635243597</v>
      </c>
      <c r="AS99" s="10">
        <f t="shared" si="15"/>
        <v>52.006543516287671</v>
      </c>
    </row>
    <row r="100" spans="1:45" x14ac:dyDescent="0.3">
      <c r="A100">
        <v>2025</v>
      </c>
      <c r="B100">
        <v>6</v>
      </c>
      <c r="C100" t="s">
        <v>55</v>
      </c>
      <c r="D100">
        <v>10</v>
      </c>
      <c r="E100" t="s">
        <v>36</v>
      </c>
      <c r="F100" t="s">
        <v>37</v>
      </c>
      <c r="G100" t="s">
        <v>38</v>
      </c>
      <c r="H100" t="s">
        <v>206</v>
      </c>
      <c r="I100" t="s">
        <v>190</v>
      </c>
      <c r="J100" t="s">
        <v>58</v>
      </c>
      <c r="K100" t="s">
        <v>59</v>
      </c>
      <c r="M100" t="s">
        <v>730</v>
      </c>
      <c r="N100" t="s">
        <v>731</v>
      </c>
      <c r="O100" t="s">
        <v>36</v>
      </c>
      <c r="Q100" t="s">
        <v>62</v>
      </c>
      <c r="R100" t="s">
        <v>732</v>
      </c>
      <c r="S100" t="s">
        <v>732</v>
      </c>
      <c r="T100" t="s">
        <v>47</v>
      </c>
      <c r="U100" t="s">
        <v>230</v>
      </c>
      <c r="V100" t="s">
        <v>49</v>
      </c>
      <c r="W100" t="s">
        <v>231</v>
      </c>
      <c r="X100" t="s">
        <v>686</v>
      </c>
      <c r="Y100" t="s">
        <v>1240</v>
      </c>
      <c r="Z100" t="s">
        <v>1240</v>
      </c>
      <c r="AA100" t="s">
        <v>1241</v>
      </c>
      <c r="AB100" s="3">
        <f t="shared" si="8"/>
        <v>2</v>
      </c>
      <c r="AC100">
        <v>23.15</v>
      </c>
      <c r="AD100" s="2">
        <v>11.574999999999999</v>
      </c>
      <c r="AE100" s="2">
        <v>1.66</v>
      </c>
      <c r="AF100" s="2">
        <v>0.15</v>
      </c>
      <c r="AG100" s="2">
        <v>24.96</v>
      </c>
      <c r="AH100">
        <v>0</v>
      </c>
      <c r="AI100">
        <v>12.48</v>
      </c>
      <c r="AJ100">
        <v>0.12479999999999999</v>
      </c>
      <c r="AK100" t="s">
        <v>54</v>
      </c>
      <c r="AL100">
        <v>0.2</v>
      </c>
      <c r="AM100" s="4">
        <f t="shared" si="9"/>
        <v>12.48</v>
      </c>
      <c r="AN100" s="4">
        <f t="shared" si="10"/>
        <v>21.703125</v>
      </c>
      <c r="AO100" s="4">
        <f t="shared" si="11"/>
        <v>24.112171875000001</v>
      </c>
      <c r="AP100" s="4">
        <f t="shared" si="12"/>
        <v>35.156892187499999</v>
      </c>
      <c r="AQ100" s="10">
        <f t="shared" si="13"/>
        <v>21.703968000000003</v>
      </c>
      <c r="AR100" s="10">
        <f t="shared" si="14"/>
        <v>24.115278844800002</v>
      </c>
      <c r="AS100" s="10">
        <f t="shared" si="15"/>
        <v>33.788737382400001</v>
      </c>
    </row>
    <row r="101" spans="1:45" x14ac:dyDescent="0.3">
      <c r="A101">
        <v>2025</v>
      </c>
      <c r="B101">
        <v>3</v>
      </c>
      <c r="C101" t="s">
        <v>55</v>
      </c>
      <c r="D101">
        <v>10</v>
      </c>
      <c r="E101" t="s">
        <v>36</v>
      </c>
      <c r="F101" t="s">
        <v>37</v>
      </c>
      <c r="G101" t="s">
        <v>38</v>
      </c>
      <c r="H101" t="s">
        <v>101</v>
      </c>
      <c r="I101" t="s">
        <v>190</v>
      </c>
      <c r="J101" t="s">
        <v>58</v>
      </c>
      <c r="K101" t="s">
        <v>59</v>
      </c>
      <c r="M101" t="s">
        <v>213</v>
      </c>
      <c r="N101" t="s">
        <v>61</v>
      </c>
      <c r="O101" t="s">
        <v>43</v>
      </c>
      <c r="Q101" t="s">
        <v>62</v>
      </c>
      <c r="R101" t="s">
        <v>214</v>
      </c>
      <c r="S101" t="s">
        <v>215</v>
      </c>
      <c r="T101" t="s">
        <v>47</v>
      </c>
      <c r="U101" t="s">
        <v>230</v>
      </c>
      <c r="V101" t="s">
        <v>49</v>
      </c>
      <c r="W101" t="s">
        <v>231</v>
      </c>
      <c r="X101" t="s">
        <v>51</v>
      </c>
      <c r="Y101" t="s">
        <v>753</v>
      </c>
      <c r="Z101" t="s">
        <v>753</v>
      </c>
      <c r="AA101" t="s">
        <v>754</v>
      </c>
      <c r="AB101" s="3">
        <f t="shared" si="8"/>
        <v>2</v>
      </c>
      <c r="AC101">
        <v>106.26</v>
      </c>
      <c r="AD101" s="2">
        <v>53.13</v>
      </c>
      <c r="AE101" s="2">
        <v>22.47</v>
      </c>
      <c r="AF101" s="2">
        <v>0.79</v>
      </c>
      <c r="AG101" s="2">
        <v>129.52000000000001</v>
      </c>
      <c r="AH101">
        <v>0</v>
      </c>
      <c r="AI101">
        <v>64.760000000000005</v>
      </c>
      <c r="AJ101">
        <v>0.64759999999999995</v>
      </c>
      <c r="AK101" t="s">
        <v>54</v>
      </c>
      <c r="AL101">
        <v>0.77</v>
      </c>
      <c r="AM101" s="4">
        <f t="shared" si="9"/>
        <v>64.760000000000005</v>
      </c>
      <c r="AN101" s="4">
        <f t="shared" si="10"/>
        <v>99.618750000000006</v>
      </c>
      <c r="AO101" s="4">
        <f t="shared" si="11"/>
        <v>110.67643125000001</v>
      </c>
      <c r="AP101" s="4">
        <f t="shared" si="12"/>
        <v>161.37241312500001</v>
      </c>
      <c r="AQ101" s="10">
        <f t="shared" si="13"/>
        <v>112.62411600000001</v>
      </c>
      <c r="AR101" s="10">
        <f t="shared" si="14"/>
        <v>125.13665528760001</v>
      </c>
      <c r="AS101" s="10">
        <f t="shared" si="15"/>
        <v>175.33322378880001</v>
      </c>
    </row>
    <row r="102" spans="1:45" x14ac:dyDescent="0.3">
      <c r="A102">
        <v>2025</v>
      </c>
      <c r="B102">
        <v>4</v>
      </c>
      <c r="C102" t="s">
        <v>55</v>
      </c>
      <c r="D102">
        <v>10</v>
      </c>
      <c r="E102" t="s">
        <v>36</v>
      </c>
      <c r="F102" t="s">
        <v>37</v>
      </c>
      <c r="G102" t="s">
        <v>38</v>
      </c>
      <c r="H102" t="s">
        <v>101</v>
      </c>
      <c r="I102" t="s">
        <v>190</v>
      </c>
      <c r="J102" t="s">
        <v>58</v>
      </c>
      <c r="K102" t="s">
        <v>59</v>
      </c>
      <c r="M102" t="s">
        <v>383</v>
      </c>
      <c r="N102" t="s">
        <v>384</v>
      </c>
      <c r="O102" t="s">
        <v>36</v>
      </c>
      <c r="Q102" t="s">
        <v>62</v>
      </c>
      <c r="R102" t="s">
        <v>385</v>
      </c>
      <c r="S102" t="s">
        <v>385</v>
      </c>
      <c r="T102" t="s">
        <v>47</v>
      </c>
      <c r="U102" t="s">
        <v>230</v>
      </c>
      <c r="V102" t="s">
        <v>49</v>
      </c>
      <c r="W102" t="s">
        <v>231</v>
      </c>
      <c r="X102" t="s">
        <v>388</v>
      </c>
      <c r="Y102" t="s">
        <v>234</v>
      </c>
      <c r="Z102" t="s">
        <v>64</v>
      </c>
      <c r="AA102" t="s">
        <v>235</v>
      </c>
      <c r="AB102" s="3">
        <f t="shared" si="8"/>
        <v>11.999999999999712</v>
      </c>
      <c r="AC102">
        <v>167.51</v>
      </c>
      <c r="AD102" s="2">
        <v>13.959166666667</v>
      </c>
      <c r="AE102" s="2">
        <v>35.15</v>
      </c>
      <c r="AF102" s="2">
        <v>1.24</v>
      </c>
      <c r="AG102" s="2">
        <v>203.9</v>
      </c>
      <c r="AH102">
        <v>0</v>
      </c>
      <c r="AI102">
        <v>16.991666666667001</v>
      </c>
      <c r="AJ102">
        <v>1.0195000000000001</v>
      </c>
      <c r="AK102" t="s">
        <v>54</v>
      </c>
      <c r="AL102">
        <v>23.33</v>
      </c>
      <c r="AM102" s="4">
        <f t="shared" si="9"/>
        <v>16.991666666667076</v>
      </c>
      <c r="AN102" s="4">
        <f t="shared" si="10"/>
        <v>26.173437500000627</v>
      </c>
      <c r="AO102" s="4">
        <f t="shared" si="11"/>
        <v>29.078689062500697</v>
      </c>
      <c r="AP102" s="4">
        <f t="shared" si="12"/>
        <v>42.398351406251017</v>
      </c>
      <c r="AQ102" s="10">
        <f t="shared" si="13"/>
        <v>29.550207500000713</v>
      </c>
      <c r="AR102" s="10">
        <f t="shared" si="14"/>
        <v>32.833235553250795</v>
      </c>
      <c r="AS102" s="10">
        <f t="shared" si="15"/>
        <v>46.003763036001111</v>
      </c>
    </row>
    <row r="103" spans="1:45" x14ac:dyDescent="0.3">
      <c r="A103">
        <v>2025</v>
      </c>
      <c r="B103">
        <v>9</v>
      </c>
      <c r="C103" t="s">
        <v>55</v>
      </c>
      <c r="D103">
        <v>10</v>
      </c>
      <c r="E103" t="s">
        <v>36</v>
      </c>
      <c r="F103" t="s">
        <v>37</v>
      </c>
      <c r="G103" t="s">
        <v>38</v>
      </c>
      <c r="H103" t="s">
        <v>101</v>
      </c>
      <c r="I103" t="s">
        <v>375</v>
      </c>
      <c r="J103" t="s">
        <v>376</v>
      </c>
      <c r="K103" t="s">
        <v>59</v>
      </c>
      <c r="L103" t="s">
        <v>1483</v>
      </c>
      <c r="M103" t="s">
        <v>1484</v>
      </c>
      <c r="N103" t="s">
        <v>1485</v>
      </c>
      <c r="O103" t="s">
        <v>1197</v>
      </c>
      <c r="Q103" t="s">
        <v>62</v>
      </c>
      <c r="R103" t="s">
        <v>1486</v>
      </c>
      <c r="S103" t="s">
        <v>1486</v>
      </c>
      <c r="T103" t="s">
        <v>47</v>
      </c>
      <c r="U103" t="s">
        <v>230</v>
      </c>
      <c r="V103" t="s">
        <v>49</v>
      </c>
      <c r="W103" t="s">
        <v>231</v>
      </c>
      <c r="X103" t="s">
        <v>51</v>
      </c>
      <c r="Y103" t="s">
        <v>234</v>
      </c>
      <c r="Z103" t="s">
        <v>234</v>
      </c>
      <c r="AA103" t="s">
        <v>235</v>
      </c>
      <c r="AB103" s="3">
        <f t="shared" si="8"/>
        <v>12.000000000000211</v>
      </c>
      <c r="AC103">
        <v>227.86</v>
      </c>
      <c r="AD103" s="2">
        <v>18.988333333332999</v>
      </c>
      <c r="AE103" s="2">
        <v>183.89</v>
      </c>
      <c r="AF103" s="2">
        <v>1.1100000000000001</v>
      </c>
      <c r="AG103" s="2">
        <v>412.86</v>
      </c>
      <c r="AH103">
        <v>0</v>
      </c>
      <c r="AI103">
        <v>34.405000000000001</v>
      </c>
      <c r="AJ103">
        <v>2.0642999999999998</v>
      </c>
      <c r="AK103" t="s">
        <v>54</v>
      </c>
      <c r="AL103">
        <v>9.36</v>
      </c>
      <c r="AM103" s="4">
        <f t="shared" si="9"/>
        <v>34.404999999999397</v>
      </c>
      <c r="AN103" s="4">
        <f t="shared" si="10"/>
        <v>35.603124999999373</v>
      </c>
      <c r="AO103" s="4">
        <f t="shared" si="11"/>
        <v>39.555071874999307</v>
      </c>
      <c r="AP103" s="4">
        <f t="shared" si="12"/>
        <v>57.673502187498983</v>
      </c>
      <c r="AQ103" s="10">
        <f t="shared" si="13"/>
        <v>59.833735499998951</v>
      </c>
      <c r="AR103" s="10">
        <f t="shared" si="14"/>
        <v>66.481263514048834</v>
      </c>
      <c r="AS103" s="10">
        <f t="shared" si="15"/>
        <v>93.14915942639837</v>
      </c>
    </row>
    <row r="104" spans="1:45" x14ac:dyDescent="0.3">
      <c r="A104">
        <v>2025</v>
      </c>
      <c r="B104">
        <v>11</v>
      </c>
      <c r="C104" t="s">
        <v>55</v>
      </c>
      <c r="D104">
        <v>10</v>
      </c>
      <c r="E104" t="s">
        <v>36</v>
      </c>
      <c r="F104" t="s">
        <v>37</v>
      </c>
      <c r="G104" t="s">
        <v>38</v>
      </c>
      <c r="H104" t="s">
        <v>101</v>
      </c>
      <c r="I104" t="s">
        <v>375</v>
      </c>
      <c r="J104" t="s">
        <v>376</v>
      </c>
      <c r="K104" t="s">
        <v>51</v>
      </c>
      <c r="L104" t="s">
        <v>1622</v>
      </c>
      <c r="M104" t="s">
        <v>1623</v>
      </c>
      <c r="N104" t="s">
        <v>1485</v>
      </c>
      <c r="O104" t="s">
        <v>1197</v>
      </c>
      <c r="Q104" t="s">
        <v>62</v>
      </c>
      <c r="R104" t="s">
        <v>1624</v>
      </c>
      <c r="S104" t="s">
        <v>1624</v>
      </c>
      <c r="T104" t="s">
        <v>47</v>
      </c>
      <c r="U104" t="s">
        <v>230</v>
      </c>
      <c r="V104" t="s">
        <v>49</v>
      </c>
      <c r="W104" t="s">
        <v>231</v>
      </c>
      <c r="X104" t="s">
        <v>51</v>
      </c>
      <c r="Y104" t="s">
        <v>1494</v>
      </c>
      <c r="Z104" t="s">
        <v>1494</v>
      </c>
      <c r="AA104" t="s">
        <v>235</v>
      </c>
      <c r="AB104" s="3">
        <f t="shared" si="8"/>
        <v>20</v>
      </c>
      <c r="AC104">
        <v>208.95</v>
      </c>
      <c r="AD104" s="2">
        <v>10.4475</v>
      </c>
      <c r="AE104" s="2">
        <v>32.39</v>
      </c>
      <c r="AF104" s="2">
        <v>1.48</v>
      </c>
      <c r="AG104" s="2">
        <v>242.82</v>
      </c>
      <c r="AH104">
        <v>0</v>
      </c>
      <c r="AI104">
        <v>12.141</v>
      </c>
      <c r="AJ104">
        <v>1.2141</v>
      </c>
      <c r="AK104" t="s">
        <v>54</v>
      </c>
      <c r="AL104">
        <v>1.34</v>
      </c>
      <c r="AM104" s="4">
        <f t="shared" si="9"/>
        <v>12.141</v>
      </c>
      <c r="AN104" s="4">
        <f t="shared" si="10"/>
        <v>19.589062500000001</v>
      </c>
      <c r="AO104" s="4">
        <f t="shared" si="11"/>
        <v>21.763448437499999</v>
      </c>
      <c r="AP104" s="4">
        <f t="shared" si="12"/>
        <v>31.732322343749999</v>
      </c>
      <c r="AQ104" s="10">
        <f t="shared" si="13"/>
        <v>21.1144131</v>
      </c>
      <c r="AR104" s="10">
        <f t="shared" si="14"/>
        <v>23.460224395409998</v>
      </c>
      <c r="AS104" s="10">
        <f t="shared" si="15"/>
        <v>32.870918314080001</v>
      </c>
    </row>
    <row r="105" spans="1:45" x14ac:dyDescent="0.3">
      <c r="A105">
        <v>2025</v>
      </c>
      <c r="B105">
        <v>8</v>
      </c>
      <c r="C105" t="s">
        <v>55</v>
      </c>
      <c r="D105">
        <v>10</v>
      </c>
      <c r="E105" t="s">
        <v>36</v>
      </c>
      <c r="F105" t="s">
        <v>37</v>
      </c>
      <c r="G105" t="s">
        <v>38</v>
      </c>
      <c r="H105" t="s">
        <v>101</v>
      </c>
      <c r="I105" t="s">
        <v>190</v>
      </c>
      <c r="J105" t="s">
        <v>58</v>
      </c>
      <c r="K105" t="s">
        <v>59</v>
      </c>
      <c r="L105" t="s">
        <v>1194</v>
      </c>
      <c r="M105" t="s">
        <v>1195</v>
      </c>
      <c r="N105" t="s">
        <v>1196</v>
      </c>
      <c r="O105" t="s">
        <v>1197</v>
      </c>
      <c r="Q105" t="s">
        <v>62</v>
      </c>
      <c r="R105" t="s">
        <v>1198</v>
      </c>
      <c r="S105" t="s">
        <v>1198</v>
      </c>
      <c r="T105" t="s">
        <v>47</v>
      </c>
      <c r="U105" t="s">
        <v>230</v>
      </c>
      <c r="V105" t="s">
        <v>49</v>
      </c>
      <c r="W105" t="s">
        <v>231</v>
      </c>
      <c r="X105" t="s">
        <v>388</v>
      </c>
      <c r="Y105" t="s">
        <v>1645</v>
      </c>
      <c r="Z105" t="s">
        <v>1645</v>
      </c>
      <c r="AA105" t="s">
        <v>235</v>
      </c>
      <c r="AB105" s="3">
        <f t="shared" si="8"/>
        <v>20</v>
      </c>
      <c r="AC105">
        <v>204.4</v>
      </c>
      <c r="AD105" s="2">
        <v>10.220000000000001</v>
      </c>
      <c r="AE105" s="2">
        <v>28.57</v>
      </c>
      <c r="AF105" s="2">
        <v>1.41</v>
      </c>
      <c r="AG105" s="2">
        <v>234.2</v>
      </c>
      <c r="AH105">
        <v>0</v>
      </c>
      <c r="AI105">
        <v>11.71</v>
      </c>
      <c r="AJ105">
        <v>1.171</v>
      </c>
      <c r="AK105" t="s">
        <v>54</v>
      </c>
      <c r="AL105">
        <v>1.7</v>
      </c>
      <c r="AM105" s="4">
        <f t="shared" si="9"/>
        <v>11.709999999999999</v>
      </c>
      <c r="AN105" s="4">
        <f t="shared" si="10"/>
        <v>19.162500000000001</v>
      </c>
      <c r="AO105" s="4">
        <f t="shared" si="11"/>
        <v>21.289537500000002</v>
      </c>
      <c r="AP105" s="4">
        <f t="shared" si="12"/>
        <v>31.04133375</v>
      </c>
      <c r="AQ105" s="10">
        <f t="shared" si="13"/>
        <v>20.364861000000001</v>
      </c>
      <c r="AR105" s="10">
        <f t="shared" si="14"/>
        <v>22.627397057100001</v>
      </c>
      <c r="AS105" s="10">
        <f t="shared" si="15"/>
        <v>31.704015604800002</v>
      </c>
    </row>
    <row r="106" spans="1:45" x14ac:dyDescent="0.3">
      <c r="A106">
        <v>2025</v>
      </c>
      <c r="B106">
        <v>8</v>
      </c>
      <c r="C106" t="s">
        <v>55</v>
      </c>
      <c r="D106">
        <v>10</v>
      </c>
      <c r="E106" t="s">
        <v>36</v>
      </c>
      <c r="F106" t="s">
        <v>37</v>
      </c>
      <c r="G106" t="s">
        <v>38</v>
      </c>
      <c r="H106" t="s">
        <v>83</v>
      </c>
      <c r="I106" t="s">
        <v>190</v>
      </c>
      <c r="J106" t="s">
        <v>58</v>
      </c>
      <c r="K106" t="s">
        <v>59</v>
      </c>
      <c r="L106" t="s">
        <v>1194</v>
      </c>
      <c r="M106" t="s">
        <v>1195</v>
      </c>
      <c r="N106" t="s">
        <v>1196</v>
      </c>
      <c r="O106" t="s">
        <v>1197</v>
      </c>
      <c r="Q106" t="s">
        <v>62</v>
      </c>
      <c r="R106" t="s">
        <v>1198</v>
      </c>
      <c r="S106" t="s">
        <v>1198</v>
      </c>
      <c r="T106" t="s">
        <v>47</v>
      </c>
      <c r="U106" t="s">
        <v>230</v>
      </c>
      <c r="V106" t="s">
        <v>49</v>
      </c>
      <c r="W106" t="s">
        <v>231</v>
      </c>
      <c r="X106" t="s">
        <v>388</v>
      </c>
      <c r="Y106" t="s">
        <v>1248</v>
      </c>
      <c r="Z106" t="s">
        <v>1248</v>
      </c>
      <c r="AA106" t="s">
        <v>1249</v>
      </c>
      <c r="AB106" s="3">
        <f t="shared" si="8"/>
        <v>20</v>
      </c>
      <c r="AC106">
        <v>197.81</v>
      </c>
      <c r="AD106" s="2">
        <v>9.8904999999999994</v>
      </c>
      <c r="AE106" s="2">
        <v>14.18</v>
      </c>
      <c r="AF106" s="2">
        <v>1.28</v>
      </c>
      <c r="AG106" s="2">
        <v>213.26</v>
      </c>
      <c r="AH106">
        <v>0</v>
      </c>
      <c r="AI106">
        <v>10.663</v>
      </c>
      <c r="AJ106">
        <v>1.0663</v>
      </c>
      <c r="AK106" t="s">
        <v>54</v>
      </c>
      <c r="AL106">
        <v>1.67</v>
      </c>
      <c r="AM106" s="4">
        <f t="shared" si="9"/>
        <v>10.663</v>
      </c>
      <c r="AN106" s="4">
        <f t="shared" si="10"/>
        <v>18.544687499999998</v>
      </c>
      <c r="AO106" s="4">
        <f t="shared" si="11"/>
        <v>20.603147812499998</v>
      </c>
      <c r="AP106" s="4">
        <f t="shared" si="12"/>
        <v>30.040539281249995</v>
      </c>
      <c r="AQ106" s="10">
        <f t="shared" si="13"/>
        <v>18.544023300000003</v>
      </c>
      <c r="AR106" s="10">
        <f t="shared" si="14"/>
        <v>20.604264288630002</v>
      </c>
      <c r="AS106" s="10">
        <f t="shared" si="15"/>
        <v>28.869335473440003</v>
      </c>
    </row>
    <row r="107" spans="1:45" x14ac:dyDescent="0.3">
      <c r="A107">
        <v>2025</v>
      </c>
      <c r="B107">
        <v>12</v>
      </c>
      <c r="C107" t="s">
        <v>55</v>
      </c>
      <c r="D107">
        <v>10</v>
      </c>
      <c r="E107" t="s">
        <v>36</v>
      </c>
      <c r="F107" t="s">
        <v>37</v>
      </c>
      <c r="G107" t="s">
        <v>38</v>
      </c>
      <c r="H107" t="s">
        <v>101</v>
      </c>
      <c r="I107" t="s">
        <v>57</v>
      </c>
      <c r="J107" t="s">
        <v>58</v>
      </c>
      <c r="K107" t="s">
        <v>59</v>
      </c>
      <c r="L107" t="s">
        <v>1769</v>
      </c>
      <c r="M107" t="s">
        <v>1770</v>
      </c>
      <c r="N107" t="s">
        <v>1771</v>
      </c>
      <c r="O107" t="s">
        <v>1197</v>
      </c>
      <c r="Q107" t="s">
        <v>62</v>
      </c>
      <c r="R107" t="s">
        <v>1772</v>
      </c>
      <c r="S107" t="s">
        <v>1772</v>
      </c>
      <c r="T107" t="s">
        <v>47</v>
      </c>
      <c r="U107" t="s">
        <v>230</v>
      </c>
      <c r="V107" t="s">
        <v>49</v>
      </c>
      <c r="W107" t="s">
        <v>231</v>
      </c>
      <c r="X107" t="s">
        <v>51</v>
      </c>
      <c r="Y107" t="s">
        <v>1248</v>
      </c>
      <c r="Z107" t="s">
        <v>1248</v>
      </c>
      <c r="AA107" t="s">
        <v>1249</v>
      </c>
      <c r="AB107" s="3">
        <f t="shared" si="8"/>
        <v>4</v>
      </c>
      <c r="AC107">
        <v>39.56</v>
      </c>
      <c r="AD107" s="2">
        <v>9.89</v>
      </c>
      <c r="AE107" s="2">
        <v>2.84</v>
      </c>
      <c r="AF107" s="2">
        <v>0.26</v>
      </c>
      <c r="AG107" s="2">
        <v>42.65</v>
      </c>
      <c r="AH107">
        <v>0</v>
      </c>
      <c r="AI107">
        <v>10.6625</v>
      </c>
      <c r="AJ107">
        <v>0.21325</v>
      </c>
      <c r="AK107" t="s">
        <v>54</v>
      </c>
      <c r="AL107">
        <v>0.33</v>
      </c>
      <c r="AM107" s="4">
        <f t="shared" si="9"/>
        <v>10.6625</v>
      </c>
      <c r="AN107" s="4">
        <f t="shared" si="10"/>
        <v>18.543750000000003</v>
      </c>
      <c r="AO107" s="4">
        <f t="shared" si="11"/>
        <v>20.602106250000002</v>
      </c>
      <c r="AP107" s="4">
        <f t="shared" si="12"/>
        <v>30.039020625000003</v>
      </c>
      <c r="AQ107" s="10">
        <f t="shared" si="13"/>
        <v>18.543153750000002</v>
      </c>
      <c r="AR107" s="10">
        <f t="shared" si="14"/>
        <v>20.603298131625003</v>
      </c>
      <c r="AS107" s="10">
        <f t="shared" si="15"/>
        <v>28.867981758000003</v>
      </c>
    </row>
    <row r="108" spans="1:45" x14ac:dyDescent="0.3">
      <c r="A108">
        <v>2025</v>
      </c>
      <c r="B108">
        <v>4</v>
      </c>
      <c r="C108" t="s">
        <v>55</v>
      </c>
      <c r="D108">
        <v>10</v>
      </c>
      <c r="E108" t="s">
        <v>36</v>
      </c>
      <c r="F108" t="s">
        <v>37</v>
      </c>
      <c r="G108" t="s">
        <v>38</v>
      </c>
      <c r="H108" t="s">
        <v>599</v>
      </c>
      <c r="I108" t="s">
        <v>375</v>
      </c>
      <c r="J108" t="s">
        <v>376</v>
      </c>
      <c r="K108" t="s">
        <v>59</v>
      </c>
      <c r="M108">
        <v>2503061</v>
      </c>
      <c r="N108" t="s">
        <v>377</v>
      </c>
      <c r="O108" t="s">
        <v>36</v>
      </c>
      <c r="Q108" t="s">
        <v>62</v>
      </c>
      <c r="R108" t="s">
        <v>378</v>
      </c>
      <c r="S108" t="s">
        <v>378</v>
      </c>
      <c r="T108" t="s">
        <v>47</v>
      </c>
      <c r="U108" t="s">
        <v>173</v>
      </c>
      <c r="V108" t="s">
        <v>49</v>
      </c>
      <c r="W108" t="s">
        <v>174</v>
      </c>
      <c r="X108" t="s">
        <v>51</v>
      </c>
      <c r="Y108" t="s">
        <v>1248</v>
      </c>
      <c r="Z108" t="s">
        <v>1248</v>
      </c>
      <c r="AA108" t="s">
        <v>1249</v>
      </c>
      <c r="AB108" s="3">
        <f t="shared" si="8"/>
        <v>20</v>
      </c>
      <c r="AC108">
        <v>199.37</v>
      </c>
      <c r="AD108" s="2">
        <v>9.9685000000000006</v>
      </c>
      <c r="AE108" s="2">
        <v>59.19</v>
      </c>
      <c r="AF108" s="2">
        <v>1.5</v>
      </c>
      <c r="AG108" s="2">
        <v>260.5</v>
      </c>
      <c r="AH108">
        <v>0</v>
      </c>
      <c r="AI108">
        <v>13.025</v>
      </c>
      <c r="AJ108">
        <v>1.3025</v>
      </c>
      <c r="AK108" t="s">
        <v>54</v>
      </c>
      <c r="AL108">
        <v>1.48</v>
      </c>
      <c r="AM108" s="4">
        <f t="shared" si="9"/>
        <v>13.025</v>
      </c>
      <c r="AN108" s="4">
        <f t="shared" si="10"/>
        <v>18.6909375</v>
      </c>
      <c r="AO108" s="4">
        <f t="shared" si="11"/>
        <v>20.765631562500001</v>
      </c>
      <c r="AP108" s="4">
        <f t="shared" si="12"/>
        <v>30.277449656249999</v>
      </c>
      <c r="AQ108" s="10">
        <f t="shared" si="13"/>
        <v>22.651777500000001</v>
      </c>
      <c r="AR108" s="10">
        <f t="shared" si="14"/>
        <v>25.168389980250002</v>
      </c>
      <c r="AS108" s="10">
        <f t="shared" si="15"/>
        <v>35.264287211999999</v>
      </c>
    </row>
    <row r="109" spans="1:45" x14ac:dyDescent="0.3">
      <c r="A109">
        <v>2025</v>
      </c>
      <c r="B109">
        <v>4</v>
      </c>
      <c r="C109" t="s">
        <v>55</v>
      </c>
      <c r="D109">
        <v>10</v>
      </c>
      <c r="E109" t="s">
        <v>36</v>
      </c>
      <c r="F109" t="s">
        <v>37</v>
      </c>
      <c r="G109" t="s">
        <v>38</v>
      </c>
      <c r="H109" t="s">
        <v>101</v>
      </c>
      <c r="I109" t="s">
        <v>375</v>
      </c>
      <c r="J109" t="s">
        <v>376</v>
      </c>
      <c r="K109" t="s">
        <v>59</v>
      </c>
      <c r="M109">
        <v>2503061</v>
      </c>
      <c r="N109" t="s">
        <v>377</v>
      </c>
      <c r="O109" t="s">
        <v>36</v>
      </c>
      <c r="Q109" t="s">
        <v>62</v>
      </c>
      <c r="R109" t="s">
        <v>378</v>
      </c>
      <c r="S109" t="s">
        <v>378</v>
      </c>
      <c r="T109" t="s">
        <v>47</v>
      </c>
      <c r="U109" t="s">
        <v>173</v>
      </c>
      <c r="V109" t="s">
        <v>49</v>
      </c>
      <c r="W109" t="s">
        <v>174</v>
      </c>
      <c r="X109" t="s">
        <v>51</v>
      </c>
      <c r="Y109" t="s">
        <v>600</v>
      </c>
      <c r="Z109" t="s">
        <v>600</v>
      </c>
      <c r="AA109" t="s">
        <v>601</v>
      </c>
      <c r="AB109" s="3">
        <f t="shared" si="8"/>
        <v>2</v>
      </c>
      <c r="AC109">
        <v>82.75</v>
      </c>
      <c r="AD109" s="2">
        <v>41.375</v>
      </c>
      <c r="AE109" s="2">
        <v>30.17</v>
      </c>
      <c r="AF109" s="2">
        <v>0.56999999999999995</v>
      </c>
      <c r="AG109" s="2">
        <v>113.49</v>
      </c>
      <c r="AH109">
        <v>0</v>
      </c>
      <c r="AI109">
        <v>56.744999999999997</v>
      </c>
      <c r="AJ109">
        <v>0.56745000000000001</v>
      </c>
      <c r="AK109" t="s">
        <v>54</v>
      </c>
      <c r="AL109">
        <v>1.44</v>
      </c>
      <c r="AM109" s="4">
        <f t="shared" si="9"/>
        <v>56.744999999999997</v>
      </c>
      <c r="AN109" s="4">
        <f t="shared" si="10"/>
        <v>77.578125</v>
      </c>
      <c r="AO109" s="4">
        <f t="shared" si="11"/>
        <v>86.189296874999997</v>
      </c>
      <c r="AP109" s="4">
        <f t="shared" si="12"/>
        <v>125.66880468749999</v>
      </c>
      <c r="AQ109" s="10">
        <f t="shared" si="13"/>
        <v>98.685229500000005</v>
      </c>
      <c r="AR109" s="10">
        <f t="shared" si="14"/>
        <v>109.64915849745</v>
      </c>
      <c r="AS109" s="10">
        <f t="shared" si="15"/>
        <v>153.6331652856</v>
      </c>
    </row>
    <row r="110" spans="1:45" x14ac:dyDescent="0.3">
      <c r="A110">
        <v>2025</v>
      </c>
      <c r="B110">
        <v>4</v>
      </c>
      <c r="C110" t="s">
        <v>55</v>
      </c>
      <c r="D110">
        <v>10</v>
      </c>
      <c r="E110" t="s">
        <v>36</v>
      </c>
      <c r="F110" t="s">
        <v>37</v>
      </c>
      <c r="G110" t="s">
        <v>38</v>
      </c>
      <c r="H110" t="s">
        <v>39</v>
      </c>
      <c r="I110" t="s">
        <v>375</v>
      </c>
      <c r="J110" t="s">
        <v>376</v>
      </c>
      <c r="K110" t="s">
        <v>59</v>
      </c>
      <c r="M110">
        <v>2503061</v>
      </c>
      <c r="N110" t="s">
        <v>377</v>
      </c>
      <c r="O110" t="s">
        <v>36</v>
      </c>
      <c r="Q110" t="s">
        <v>62</v>
      </c>
      <c r="R110" t="s">
        <v>378</v>
      </c>
      <c r="S110" t="s">
        <v>378</v>
      </c>
      <c r="T110" t="s">
        <v>47</v>
      </c>
      <c r="U110" t="s">
        <v>173</v>
      </c>
      <c r="V110" t="s">
        <v>49</v>
      </c>
      <c r="W110" t="s">
        <v>174</v>
      </c>
      <c r="X110" t="s">
        <v>51</v>
      </c>
      <c r="Y110" t="s">
        <v>600</v>
      </c>
      <c r="Z110" t="s">
        <v>600</v>
      </c>
      <c r="AA110" t="s">
        <v>602</v>
      </c>
      <c r="AB110" s="3">
        <f t="shared" si="8"/>
        <v>2</v>
      </c>
      <c r="AC110">
        <v>107.71</v>
      </c>
      <c r="AD110" s="2">
        <v>53.854999999999997</v>
      </c>
      <c r="AE110" s="2">
        <v>30.17</v>
      </c>
      <c r="AF110" s="2">
        <v>0.74</v>
      </c>
      <c r="AG110" s="2">
        <v>138.63</v>
      </c>
      <c r="AH110">
        <v>0</v>
      </c>
      <c r="AI110">
        <v>69.314999999999998</v>
      </c>
      <c r="AJ110">
        <v>0.69315000000000004</v>
      </c>
      <c r="AK110" t="s">
        <v>54</v>
      </c>
      <c r="AL110">
        <v>1.44</v>
      </c>
      <c r="AM110" s="4">
        <f t="shared" si="9"/>
        <v>69.314999999999998</v>
      </c>
      <c r="AN110" s="4">
        <f t="shared" si="10"/>
        <v>100.97812499999999</v>
      </c>
      <c r="AO110" s="4">
        <f t="shared" si="11"/>
        <v>112.186696875</v>
      </c>
      <c r="AP110" s="4">
        <f t="shared" si="12"/>
        <v>163.57446468749998</v>
      </c>
      <c r="AQ110" s="10">
        <f t="shared" si="13"/>
        <v>120.5457165</v>
      </c>
      <c r="AR110" s="10">
        <f t="shared" si="14"/>
        <v>133.93834560315</v>
      </c>
      <c r="AS110" s="10">
        <f t="shared" si="15"/>
        <v>187.66557144719999</v>
      </c>
    </row>
    <row r="111" spans="1:45" x14ac:dyDescent="0.3">
      <c r="A111">
        <v>2025</v>
      </c>
      <c r="B111">
        <v>4</v>
      </c>
      <c r="C111" t="s">
        <v>55</v>
      </c>
      <c r="D111">
        <v>10</v>
      </c>
      <c r="E111" t="s">
        <v>36</v>
      </c>
      <c r="F111" t="s">
        <v>37</v>
      </c>
      <c r="G111" t="s">
        <v>38</v>
      </c>
      <c r="H111" t="s">
        <v>101</v>
      </c>
      <c r="I111" t="s">
        <v>375</v>
      </c>
      <c r="J111" t="s">
        <v>376</v>
      </c>
      <c r="K111" t="s">
        <v>59</v>
      </c>
      <c r="M111">
        <v>2503061</v>
      </c>
      <c r="N111" t="s">
        <v>377</v>
      </c>
      <c r="O111" t="s">
        <v>36</v>
      </c>
      <c r="Q111" t="s">
        <v>62</v>
      </c>
      <c r="R111" t="s">
        <v>378</v>
      </c>
      <c r="S111" t="s">
        <v>378</v>
      </c>
      <c r="T111" t="s">
        <v>47</v>
      </c>
      <c r="U111" t="s">
        <v>173</v>
      </c>
      <c r="V111" t="s">
        <v>49</v>
      </c>
      <c r="W111" t="s">
        <v>174</v>
      </c>
      <c r="X111" t="s">
        <v>51</v>
      </c>
      <c r="Y111" t="s">
        <v>603</v>
      </c>
      <c r="Z111" t="s">
        <v>603</v>
      </c>
      <c r="AA111" t="s">
        <v>604</v>
      </c>
      <c r="AB111" s="3">
        <f t="shared" si="8"/>
        <v>3.000000000000016</v>
      </c>
      <c r="AC111">
        <v>192.37</v>
      </c>
      <c r="AD111" s="2">
        <v>64.123333333332994</v>
      </c>
      <c r="AE111" s="2">
        <v>45.26</v>
      </c>
      <c r="AF111" s="2">
        <v>1.34</v>
      </c>
      <c r="AG111" s="2">
        <v>238.97</v>
      </c>
      <c r="AH111">
        <v>0</v>
      </c>
      <c r="AI111">
        <v>79.656666666666993</v>
      </c>
      <c r="AJ111">
        <v>1.19485</v>
      </c>
      <c r="AK111" t="s">
        <v>54</v>
      </c>
      <c r="AL111">
        <v>2.16</v>
      </c>
      <c r="AM111" s="4">
        <f t="shared" si="9"/>
        <v>79.65666666666624</v>
      </c>
      <c r="AN111" s="4">
        <f t="shared" si="10"/>
        <v>120.23124999999936</v>
      </c>
      <c r="AO111" s="4">
        <f t="shared" si="11"/>
        <v>133.57691874999929</v>
      </c>
      <c r="AP111" s="4">
        <f t="shared" si="12"/>
        <v>194.76260187499895</v>
      </c>
      <c r="AQ111" s="10">
        <f t="shared" si="13"/>
        <v>138.53090899999927</v>
      </c>
      <c r="AR111" s="10">
        <f t="shared" si="14"/>
        <v>153.92169298989919</v>
      </c>
      <c r="AS111" s="10">
        <f t="shared" si="15"/>
        <v>215.66491913119884</v>
      </c>
    </row>
    <row r="112" spans="1:45" x14ac:dyDescent="0.3">
      <c r="A112">
        <v>2025</v>
      </c>
      <c r="B112">
        <v>1</v>
      </c>
      <c r="C112" t="s">
        <v>55</v>
      </c>
      <c r="D112">
        <v>10</v>
      </c>
      <c r="E112" t="s">
        <v>36</v>
      </c>
      <c r="F112" t="s">
        <v>37</v>
      </c>
      <c r="G112" t="s">
        <v>38</v>
      </c>
      <c r="H112" t="s">
        <v>83</v>
      </c>
      <c r="I112" t="s">
        <v>57</v>
      </c>
      <c r="J112" t="s">
        <v>58</v>
      </c>
      <c r="K112" t="s">
        <v>59</v>
      </c>
      <c r="M112" t="s">
        <v>60</v>
      </c>
      <c r="N112" t="s">
        <v>61</v>
      </c>
      <c r="O112" t="s">
        <v>43</v>
      </c>
      <c r="Q112" t="s">
        <v>62</v>
      </c>
      <c r="R112" t="s">
        <v>63</v>
      </c>
      <c r="S112" t="s">
        <v>63</v>
      </c>
      <c r="T112" t="s">
        <v>47</v>
      </c>
      <c r="U112" t="s">
        <v>93</v>
      </c>
      <c r="V112" t="s">
        <v>49</v>
      </c>
      <c r="W112" t="s">
        <v>94</v>
      </c>
      <c r="X112" t="s">
        <v>51</v>
      </c>
      <c r="Y112" t="s">
        <v>603</v>
      </c>
      <c r="Z112" t="s">
        <v>603</v>
      </c>
      <c r="AA112" t="s">
        <v>605</v>
      </c>
      <c r="AB112" s="3">
        <f t="shared" si="8"/>
        <v>3.0000000000000142</v>
      </c>
      <c r="AC112">
        <v>208.51</v>
      </c>
      <c r="AD112" s="2">
        <v>69.503333333333003</v>
      </c>
      <c r="AE112" s="2">
        <v>45.26</v>
      </c>
      <c r="AF112" s="2">
        <v>1.45</v>
      </c>
      <c r="AG112" s="2">
        <v>255.23</v>
      </c>
      <c r="AH112">
        <v>0</v>
      </c>
      <c r="AI112">
        <v>85.076666666666995</v>
      </c>
      <c r="AJ112">
        <v>1.2761499999999999</v>
      </c>
      <c r="AK112" t="s">
        <v>54</v>
      </c>
      <c r="AL112">
        <v>2.16</v>
      </c>
      <c r="AM112" s="4">
        <f t="shared" si="9"/>
        <v>85.076666666666256</v>
      </c>
      <c r="AN112" s="4">
        <f t="shared" si="10"/>
        <v>130.31874999999937</v>
      </c>
      <c r="AO112" s="4">
        <f t="shared" si="11"/>
        <v>144.78413124999929</v>
      </c>
      <c r="AP112" s="4">
        <f t="shared" si="12"/>
        <v>211.10334312499896</v>
      </c>
      <c r="AQ112" s="10">
        <f t="shared" si="13"/>
        <v>147.95683099999928</v>
      </c>
      <c r="AR112" s="10">
        <f t="shared" si="14"/>
        <v>164.3948349240992</v>
      </c>
      <c r="AS112" s="10">
        <f t="shared" si="15"/>
        <v>230.33919450079887</v>
      </c>
    </row>
    <row r="113" spans="1:45" x14ac:dyDescent="0.3">
      <c r="A113">
        <v>2025</v>
      </c>
      <c r="B113">
        <v>12</v>
      </c>
      <c r="C113" t="s">
        <v>55</v>
      </c>
      <c r="D113">
        <v>10</v>
      </c>
      <c r="E113" t="s">
        <v>36</v>
      </c>
      <c r="F113" t="s">
        <v>37</v>
      </c>
      <c r="G113" t="s">
        <v>38</v>
      </c>
      <c r="H113" t="s">
        <v>78</v>
      </c>
      <c r="I113" t="s">
        <v>57</v>
      </c>
      <c r="J113" t="s">
        <v>58</v>
      </c>
      <c r="K113" t="s">
        <v>59</v>
      </c>
      <c r="L113" t="s">
        <v>1769</v>
      </c>
      <c r="M113" t="s">
        <v>1770</v>
      </c>
      <c r="N113" t="s">
        <v>1771</v>
      </c>
      <c r="O113" t="s">
        <v>1197</v>
      </c>
      <c r="Q113" t="s">
        <v>62</v>
      </c>
      <c r="R113" t="s">
        <v>1772</v>
      </c>
      <c r="S113" t="s">
        <v>1772</v>
      </c>
      <c r="T113" t="s">
        <v>47</v>
      </c>
      <c r="U113" t="s">
        <v>220</v>
      </c>
      <c r="V113" t="s">
        <v>49</v>
      </c>
      <c r="W113" t="s">
        <v>218</v>
      </c>
      <c r="X113" t="s">
        <v>51</v>
      </c>
      <c r="Y113" t="s">
        <v>95</v>
      </c>
      <c r="Z113" t="s">
        <v>64</v>
      </c>
      <c r="AA113" t="s">
        <v>96</v>
      </c>
      <c r="AB113" s="3">
        <f t="shared" si="8"/>
        <v>1</v>
      </c>
      <c r="AC113">
        <v>82.51</v>
      </c>
      <c r="AD113" s="2">
        <v>82.51</v>
      </c>
      <c r="AE113" s="2">
        <v>19.829999999999998</v>
      </c>
      <c r="AF113" s="2">
        <v>0.56999999999999995</v>
      </c>
      <c r="AG113" s="2">
        <v>102.91</v>
      </c>
      <c r="AH113">
        <v>0</v>
      </c>
      <c r="AI113">
        <v>102.91</v>
      </c>
      <c r="AJ113">
        <v>0.51454999999999995</v>
      </c>
      <c r="AK113" t="s">
        <v>54</v>
      </c>
      <c r="AL113">
        <v>3.01</v>
      </c>
      <c r="AM113" s="4">
        <f t="shared" si="9"/>
        <v>102.91</v>
      </c>
      <c r="AN113" s="4">
        <f t="shared" si="10"/>
        <v>154.70625000000001</v>
      </c>
      <c r="AO113" s="4">
        <f t="shared" si="11"/>
        <v>171.87864375000001</v>
      </c>
      <c r="AP113" s="4">
        <f t="shared" si="12"/>
        <v>250.60865437500001</v>
      </c>
      <c r="AQ113" s="10">
        <f t="shared" si="13"/>
        <v>178.97078100000002</v>
      </c>
      <c r="AR113" s="10">
        <f t="shared" si="14"/>
        <v>198.85443476910001</v>
      </c>
      <c r="AS113" s="10">
        <f t="shared" si="15"/>
        <v>278.62171186080002</v>
      </c>
    </row>
    <row r="114" spans="1:45" x14ac:dyDescent="0.3">
      <c r="A114">
        <v>2025</v>
      </c>
      <c r="B114">
        <v>12</v>
      </c>
      <c r="C114" t="s">
        <v>55</v>
      </c>
      <c r="D114">
        <v>10</v>
      </c>
      <c r="E114" t="s">
        <v>36</v>
      </c>
      <c r="F114" t="s">
        <v>37</v>
      </c>
      <c r="G114" t="s">
        <v>38</v>
      </c>
      <c r="H114" t="s">
        <v>78</v>
      </c>
      <c r="I114" t="s">
        <v>57</v>
      </c>
      <c r="J114" t="s">
        <v>58</v>
      </c>
      <c r="K114" t="s">
        <v>59</v>
      </c>
      <c r="L114" t="s">
        <v>1769</v>
      </c>
      <c r="M114" t="s">
        <v>1770</v>
      </c>
      <c r="N114" t="s">
        <v>1771</v>
      </c>
      <c r="O114" t="s">
        <v>1197</v>
      </c>
      <c r="Q114" t="s">
        <v>62</v>
      </c>
      <c r="R114" t="s">
        <v>1772</v>
      </c>
      <c r="S114" t="s">
        <v>1772</v>
      </c>
      <c r="T114" t="s">
        <v>47</v>
      </c>
      <c r="U114" t="s">
        <v>220</v>
      </c>
      <c r="V114" t="s">
        <v>49</v>
      </c>
      <c r="W114" t="s">
        <v>218</v>
      </c>
      <c r="X114" t="s">
        <v>51</v>
      </c>
      <c r="Y114" t="s">
        <v>1782</v>
      </c>
      <c r="Z114" t="s">
        <v>1782</v>
      </c>
      <c r="AA114" t="s">
        <v>1783</v>
      </c>
      <c r="AB114" s="3">
        <f t="shared" si="8"/>
        <v>1</v>
      </c>
      <c r="AC114">
        <v>68.55</v>
      </c>
      <c r="AD114" s="2">
        <v>68.55</v>
      </c>
      <c r="AE114" s="2">
        <v>20.350000000000001</v>
      </c>
      <c r="AF114" s="2">
        <v>0.52</v>
      </c>
      <c r="AG114" s="2">
        <v>89.41</v>
      </c>
      <c r="AH114">
        <v>0</v>
      </c>
      <c r="AI114">
        <v>89.41</v>
      </c>
      <c r="AJ114">
        <v>0.44705</v>
      </c>
      <c r="AK114" t="s">
        <v>54</v>
      </c>
      <c r="AL114">
        <v>0.51</v>
      </c>
      <c r="AM114" s="4">
        <f t="shared" si="9"/>
        <v>89.41</v>
      </c>
      <c r="AN114" s="4">
        <f t="shared" si="10"/>
        <v>128.53125</v>
      </c>
      <c r="AO114" s="4">
        <f t="shared" si="11"/>
        <v>142.79821874999999</v>
      </c>
      <c r="AP114" s="4">
        <f t="shared" si="12"/>
        <v>208.20777187499999</v>
      </c>
      <c r="AQ114" s="10">
        <f t="shared" si="13"/>
        <v>155.492931</v>
      </c>
      <c r="AR114" s="10">
        <f t="shared" si="14"/>
        <v>172.76819563409998</v>
      </c>
      <c r="AS114" s="10">
        <f t="shared" si="15"/>
        <v>242.07139498079999</v>
      </c>
    </row>
    <row r="115" spans="1:45" x14ac:dyDescent="0.3">
      <c r="A115">
        <v>2025</v>
      </c>
      <c r="B115">
        <v>12</v>
      </c>
      <c r="C115" t="s">
        <v>55</v>
      </c>
      <c r="D115">
        <v>10</v>
      </c>
      <c r="E115" t="s">
        <v>36</v>
      </c>
      <c r="F115" t="s">
        <v>37</v>
      </c>
      <c r="G115" t="s">
        <v>38</v>
      </c>
      <c r="H115" t="s">
        <v>78</v>
      </c>
      <c r="I115" t="s">
        <v>57</v>
      </c>
      <c r="J115" t="s">
        <v>58</v>
      </c>
      <c r="K115" t="s">
        <v>59</v>
      </c>
      <c r="L115" t="s">
        <v>1769</v>
      </c>
      <c r="M115" t="s">
        <v>1770</v>
      </c>
      <c r="N115" t="s">
        <v>1771</v>
      </c>
      <c r="O115" t="s">
        <v>1197</v>
      </c>
      <c r="Q115" t="s">
        <v>62</v>
      </c>
      <c r="R115" t="s">
        <v>1772</v>
      </c>
      <c r="S115" t="s">
        <v>1772</v>
      </c>
      <c r="T115" t="s">
        <v>47</v>
      </c>
      <c r="U115" t="s">
        <v>220</v>
      </c>
      <c r="V115" t="s">
        <v>49</v>
      </c>
      <c r="W115" t="s">
        <v>218</v>
      </c>
      <c r="X115" t="s">
        <v>51</v>
      </c>
      <c r="Y115" t="s">
        <v>1784</v>
      </c>
      <c r="Z115" t="s">
        <v>1784</v>
      </c>
      <c r="AA115" t="s">
        <v>1785</v>
      </c>
      <c r="AB115" s="3">
        <f t="shared" si="8"/>
        <v>2</v>
      </c>
      <c r="AC115">
        <v>188.4</v>
      </c>
      <c r="AD115" s="2">
        <v>94.2</v>
      </c>
      <c r="AE115" s="2">
        <v>55.82</v>
      </c>
      <c r="AF115" s="2">
        <v>1.41</v>
      </c>
      <c r="AG115" s="2">
        <v>245.27</v>
      </c>
      <c r="AH115">
        <v>0</v>
      </c>
      <c r="AI115">
        <v>122.63500000000001</v>
      </c>
      <c r="AJ115">
        <v>1.2263500000000001</v>
      </c>
      <c r="AK115" t="s">
        <v>54</v>
      </c>
      <c r="AL115">
        <v>1.4</v>
      </c>
      <c r="AM115" s="4">
        <f t="shared" si="9"/>
        <v>122.63500000000001</v>
      </c>
      <c r="AN115" s="4">
        <f t="shared" si="10"/>
        <v>176.625</v>
      </c>
      <c r="AO115" s="4">
        <f t="shared" si="11"/>
        <v>196.23037500000001</v>
      </c>
      <c r="AP115" s="4">
        <f t="shared" si="12"/>
        <v>286.11483749999996</v>
      </c>
      <c r="AQ115" s="10">
        <f t="shared" si="13"/>
        <v>213.27452850000003</v>
      </c>
      <c r="AR115" s="10">
        <f t="shared" si="14"/>
        <v>236.96932861635003</v>
      </c>
      <c r="AS115" s="10">
        <f t="shared" si="15"/>
        <v>332.02578596880005</v>
      </c>
    </row>
    <row r="116" spans="1:45" x14ac:dyDescent="0.3">
      <c r="A116">
        <v>2025</v>
      </c>
      <c r="B116">
        <v>8</v>
      </c>
      <c r="C116" t="s">
        <v>55</v>
      </c>
      <c r="D116">
        <v>10</v>
      </c>
      <c r="E116" t="s">
        <v>36</v>
      </c>
      <c r="F116" t="s">
        <v>37</v>
      </c>
      <c r="G116" t="s">
        <v>38</v>
      </c>
      <c r="H116" t="s">
        <v>101</v>
      </c>
      <c r="I116" t="s">
        <v>190</v>
      </c>
      <c r="J116" t="s">
        <v>58</v>
      </c>
      <c r="K116" t="s">
        <v>59</v>
      </c>
      <c r="L116" t="s">
        <v>1194</v>
      </c>
      <c r="M116" t="s">
        <v>1195</v>
      </c>
      <c r="N116" t="s">
        <v>1196</v>
      </c>
      <c r="O116" t="s">
        <v>1197</v>
      </c>
      <c r="Q116" t="s">
        <v>62</v>
      </c>
      <c r="R116" t="s">
        <v>1198</v>
      </c>
      <c r="S116" t="s">
        <v>1198</v>
      </c>
      <c r="T116" t="s">
        <v>47</v>
      </c>
      <c r="U116" t="s">
        <v>220</v>
      </c>
      <c r="V116" t="s">
        <v>49</v>
      </c>
      <c r="W116" t="s">
        <v>218</v>
      </c>
      <c r="X116" t="s">
        <v>388</v>
      </c>
      <c r="Y116" t="s">
        <v>1784</v>
      </c>
      <c r="Z116" t="s">
        <v>1784</v>
      </c>
      <c r="AA116" t="s">
        <v>1788</v>
      </c>
      <c r="AB116" s="3">
        <f t="shared" si="8"/>
        <v>1</v>
      </c>
      <c r="AC116">
        <v>117.56</v>
      </c>
      <c r="AD116" s="2">
        <v>117.56</v>
      </c>
      <c r="AE116" s="2">
        <v>34.9</v>
      </c>
      <c r="AF116" s="2">
        <v>0.88</v>
      </c>
      <c r="AG116" s="2">
        <v>153.35</v>
      </c>
      <c r="AH116">
        <v>0</v>
      </c>
      <c r="AI116">
        <v>153.35</v>
      </c>
      <c r="AJ116">
        <v>0.76675000000000004</v>
      </c>
      <c r="AK116" t="s">
        <v>54</v>
      </c>
      <c r="AL116">
        <v>0.87</v>
      </c>
      <c r="AM116" s="4">
        <f t="shared" si="9"/>
        <v>153.35</v>
      </c>
      <c r="AN116" s="4">
        <f t="shared" si="10"/>
        <v>220.42500000000001</v>
      </c>
      <c r="AO116" s="4">
        <f t="shared" si="11"/>
        <v>244.89217500000001</v>
      </c>
      <c r="AP116" s="4">
        <f t="shared" si="12"/>
        <v>357.06645750000001</v>
      </c>
      <c r="AQ116" s="10">
        <f t="shared" si="13"/>
        <v>266.69098500000001</v>
      </c>
      <c r="AR116" s="10">
        <f t="shared" si="14"/>
        <v>296.32035343350003</v>
      </c>
      <c r="AS116" s="10">
        <f t="shared" si="15"/>
        <v>415.18452544799999</v>
      </c>
    </row>
    <row r="117" spans="1:45" x14ac:dyDescent="0.3">
      <c r="A117">
        <v>2025</v>
      </c>
      <c r="B117">
        <v>12</v>
      </c>
      <c r="C117" t="s">
        <v>55</v>
      </c>
      <c r="D117">
        <v>10</v>
      </c>
      <c r="E117" t="s">
        <v>36</v>
      </c>
      <c r="F117" t="s">
        <v>37</v>
      </c>
      <c r="G117" t="s">
        <v>38</v>
      </c>
      <c r="H117" t="s">
        <v>78</v>
      </c>
      <c r="I117" t="s">
        <v>57</v>
      </c>
      <c r="J117" t="s">
        <v>58</v>
      </c>
      <c r="K117" t="s">
        <v>59</v>
      </c>
      <c r="L117" t="s">
        <v>1769</v>
      </c>
      <c r="M117" t="s">
        <v>1770</v>
      </c>
      <c r="N117" t="s">
        <v>1771</v>
      </c>
      <c r="O117" t="s">
        <v>1197</v>
      </c>
      <c r="Q117" t="s">
        <v>62</v>
      </c>
      <c r="R117" t="s">
        <v>1772</v>
      </c>
      <c r="S117" t="s">
        <v>1772</v>
      </c>
      <c r="T117" t="s">
        <v>47</v>
      </c>
      <c r="U117" t="s">
        <v>220</v>
      </c>
      <c r="V117" t="s">
        <v>49</v>
      </c>
      <c r="W117" t="s">
        <v>218</v>
      </c>
      <c r="X117" t="s">
        <v>51</v>
      </c>
      <c r="Y117" t="s">
        <v>1002</v>
      </c>
      <c r="Z117" t="s">
        <v>1002</v>
      </c>
      <c r="AA117" t="s">
        <v>1237</v>
      </c>
      <c r="AB117" s="3">
        <f t="shared" si="8"/>
        <v>1</v>
      </c>
      <c r="AC117">
        <v>85.1</v>
      </c>
      <c r="AD117" s="2">
        <v>85.1</v>
      </c>
      <c r="AE117" s="2">
        <v>6.9</v>
      </c>
      <c r="AF117" s="2">
        <v>0.55000000000000004</v>
      </c>
      <c r="AG117" s="2">
        <v>91.66</v>
      </c>
      <c r="AH117">
        <v>0</v>
      </c>
      <c r="AI117">
        <v>91.66</v>
      </c>
      <c r="AJ117">
        <v>0.45829999999999999</v>
      </c>
      <c r="AK117" t="s">
        <v>54</v>
      </c>
      <c r="AL117">
        <v>0.72</v>
      </c>
      <c r="AM117" s="4">
        <f t="shared" si="9"/>
        <v>91.66</v>
      </c>
      <c r="AN117" s="4">
        <f t="shared" si="10"/>
        <v>159.5625</v>
      </c>
      <c r="AO117" s="4">
        <f t="shared" si="11"/>
        <v>177.27393749999999</v>
      </c>
      <c r="AP117" s="4">
        <f t="shared" si="12"/>
        <v>258.47529374999999</v>
      </c>
      <c r="AQ117" s="10">
        <f t="shared" si="13"/>
        <v>159.40590600000002</v>
      </c>
      <c r="AR117" s="10">
        <f t="shared" si="14"/>
        <v>177.11590215660001</v>
      </c>
      <c r="AS117" s="10">
        <f t="shared" si="15"/>
        <v>248.16311446080002</v>
      </c>
    </row>
    <row r="118" spans="1:45" x14ac:dyDescent="0.3">
      <c r="A118">
        <v>2025</v>
      </c>
      <c r="B118">
        <v>11</v>
      </c>
      <c r="C118" t="s">
        <v>55</v>
      </c>
      <c r="D118">
        <v>10</v>
      </c>
      <c r="E118" t="s">
        <v>36</v>
      </c>
      <c r="F118" t="s">
        <v>37</v>
      </c>
      <c r="G118" t="s">
        <v>38</v>
      </c>
      <c r="H118" t="s">
        <v>78</v>
      </c>
      <c r="I118" t="s">
        <v>375</v>
      </c>
      <c r="J118" t="s">
        <v>376</v>
      </c>
      <c r="K118" t="s">
        <v>51</v>
      </c>
      <c r="L118" t="s">
        <v>1622</v>
      </c>
      <c r="M118" t="s">
        <v>1623</v>
      </c>
      <c r="N118" t="s">
        <v>1485</v>
      </c>
      <c r="O118" t="s">
        <v>1197</v>
      </c>
      <c r="Q118" t="s">
        <v>62</v>
      </c>
      <c r="R118" t="s">
        <v>1624</v>
      </c>
      <c r="S118" t="s">
        <v>1624</v>
      </c>
      <c r="T118" t="s">
        <v>47</v>
      </c>
      <c r="U118" t="s">
        <v>220</v>
      </c>
      <c r="V118" t="s">
        <v>49</v>
      </c>
      <c r="W118" t="s">
        <v>218</v>
      </c>
      <c r="X118" t="s">
        <v>51</v>
      </c>
      <c r="Y118" t="s">
        <v>1234</v>
      </c>
      <c r="Z118" t="s">
        <v>1234</v>
      </c>
      <c r="AA118" t="s">
        <v>1787</v>
      </c>
      <c r="AB118" s="3">
        <f t="shared" si="8"/>
        <v>1</v>
      </c>
      <c r="AC118">
        <v>149.65</v>
      </c>
      <c r="AD118" s="2">
        <v>149.65</v>
      </c>
      <c r="AE118" s="2">
        <v>44.43</v>
      </c>
      <c r="AF118" s="2">
        <v>1.1200000000000001</v>
      </c>
      <c r="AG118" s="2">
        <v>195.2</v>
      </c>
      <c r="AH118">
        <v>0</v>
      </c>
      <c r="AI118">
        <v>195.2</v>
      </c>
      <c r="AJ118">
        <v>0.97599999999999998</v>
      </c>
      <c r="AK118" t="s">
        <v>54</v>
      </c>
      <c r="AL118">
        <v>1.1100000000000001</v>
      </c>
      <c r="AM118" s="4">
        <f t="shared" si="9"/>
        <v>195.2</v>
      </c>
      <c r="AN118" s="4">
        <f t="shared" si="10"/>
        <v>280.59375</v>
      </c>
      <c r="AO118" s="4">
        <f t="shared" si="11"/>
        <v>311.73965625</v>
      </c>
      <c r="AP118" s="4">
        <f t="shared" si="12"/>
        <v>454.53381562499999</v>
      </c>
      <c r="AQ118" s="10">
        <f t="shared" si="13"/>
        <v>339.47232000000002</v>
      </c>
      <c r="AR118" s="10">
        <f t="shared" si="14"/>
        <v>377.18769475200003</v>
      </c>
      <c r="AS118" s="10">
        <f t="shared" si="15"/>
        <v>528.49050777600007</v>
      </c>
    </row>
    <row r="119" spans="1:45" x14ac:dyDescent="0.3">
      <c r="A119">
        <v>2025</v>
      </c>
      <c r="B119">
        <v>8</v>
      </c>
      <c r="C119" t="s">
        <v>55</v>
      </c>
      <c r="D119">
        <v>10</v>
      </c>
      <c r="E119" t="s">
        <v>36</v>
      </c>
      <c r="F119" t="s">
        <v>37</v>
      </c>
      <c r="G119" t="s">
        <v>38</v>
      </c>
      <c r="H119" t="s">
        <v>78</v>
      </c>
      <c r="I119" t="s">
        <v>190</v>
      </c>
      <c r="J119" t="s">
        <v>58</v>
      </c>
      <c r="K119" t="s">
        <v>59</v>
      </c>
      <c r="L119" t="s">
        <v>1194</v>
      </c>
      <c r="M119" t="s">
        <v>1195</v>
      </c>
      <c r="N119" t="s">
        <v>1196</v>
      </c>
      <c r="O119" t="s">
        <v>1197</v>
      </c>
      <c r="Q119" t="s">
        <v>62</v>
      </c>
      <c r="R119" t="s">
        <v>1198</v>
      </c>
      <c r="S119" t="s">
        <v>1198</v>
      </c>
      <c r="T119" t="s">
        <v>47</v>
      </c>
      <c r="U119" t="s">
        <v>220</v>
      </c>
      <c r="V119" t="s">
        <v>49</v>
      </c>
      <c r="W119" t="s">
        <v>218</v>
      </c>
      <c r="X119" t="s">
        <v>388</v>
      </c>
      <c r="Y119" t="s">
        <v>1645</v>
      </c>
      <c r="Z119" t="s">
        <v>1645</v>
      </c>
      <c r="AA119" t="s">
        <v>1646</v>
      </c>
      <c r="AB119" s="3">
        <f t="shared" si="8"/>
        <v>1</v>
      </c>
      <c r="AC119">
        <v>159.69999999999999</v>
      </c>
      <c r="AD119" s="2">
        <v>159.69999999999999</v>
      </c>
      <c r="AE119" s="2">
        <v>22.36</v>
      </c>
      <c r="AF119" s="2">
        <v>1.1100000000000001</v>
      </c>
      <c r="AG119" s="2">
        <v>183.17</v>
      </c>
      <c r="AH119">
        <v>0</v>
      </c>
      <c r="AI119">
        <v>183.17</v>
      </c>
      <c r="AJ119">
        <v>0.91585000000000005</v>
      </c>
      <c r="AK119" t="s">
        <v>54</v>
      </c>
      <c r="AL119">
        <v>0.84</v>
      </c>
      <c r="AM119" s="4">
        <f t="shared" si="9"/>
        <v>183.17</v>
      </c>
      <c r="AN119" s="4">
        <f t="shared" si="10"/>
        <v>299.4375</v>
      </c>
      <c r="AO119" s="4">
        <f t="shared" si="11"/>
        <v>332.67506250000002</v>
      </c>
      <c r="AP119" s="4">
        <f t="shared" si="12"/>
        <v>485.05880624999998</v>
      </c>
      <c r="AQ119" s="10">
        <f t="shared" si="13"/>
        <v>318.55094700000001</v>
      </c>
      <c r="AR119" s="10">
        <f t="shared" si="14"/>
        <v>353.94195721170001</v>
      </c>
      <c r="AS119" s="10">
        <f t="shared" si="15"/>
        <v>495.92011428960001</v>
      </c>
    </row>
    <row r="120" spans="1:45" x14ac:dyDescent="0.3">
      <c r="A120">
        <v>2025</v>
      </c>
      <c r="B120">
        <v>11</v>
      </c>
      <c r="C120" t="s">
        <v>55</v>
      </c>
      <c r="D120">
        <v>10</v>
      </c>
      <c r="E120" t="s">
        <v>36</v>
      </c>
      <c r="F120" t="s">
        <v>37</v>
      </c>
      <c r="G120" t="s">
        <v>38</v>
      </c>
      <c r="H120" t="s">
        <v>78</v>
      </c>
      <c r="I120" t="s">
        <v>375</v>
      </c>
      <c r="J120" t="s">
        <v>376</v>
      </c>
      <c r="K120" t="s">
        <v>51</v>
      </c>
      <c r="L120" t="s">
        <v>1622</v>
      </c>
      <c r="M120" t="s">
        <v>1623</v>
      </c>
      <c r="N120" t="s">
        <v>1485</v>
      </c>
      <c r="O120" t="s">
        <v>1197</v>
      </c>
      <c r="Q120" t="s">
        <v>62</v>
      </c>
      <c r="R120" t="s">
        <v>1624</v>
      </c>
      <c r="S120" t="s">
        <v>1624</v>
      </c>
      <c r="T120" t="s">
        <v>47</v>
      </c>
      <c r="U120" t="s">
        <v>220</v>
      </c>
      <c r="V120" t="s">
        <v>49</v>
      </c>
      <c r="W120" t="s">
        <v>218</v>
      </c>
      <c r="X120" t="s">
        <v>51</v>
      </c>
      <c r="Y120" t="s">
        <v>1234</v>
      </c>
      <c r="Z120" t="s">
        <v>1234</v>
      </c>
      <c r="AA120" t="s">
        <v>1235</v>
      </c>
      <c r="AB120" s="3">
        <f t="shared" si="8"/>
        <v>1</v>
      </c>
      <c r="AC120">
        <v>178</v>
      </c>
      <c r="AD120" s="2">
        <v>178</v>
      </c>
      <c r="AE120" s="2">
        <v>12.76</v>
      </c>
      <c r="AF120" s="2">
        <v>1.1499999999999999</v>
      </c>
      <c r="AG120" s="2">
        <v>191.91</v>
      </c>
      <c r="AH120">
        <v>0</v>
      </c>
      <c r="AI120">
        <v>191.91</v>
      </c>
      <c r="AJ120">
        <v>0.95955000000000001</v>
      </c>
      <c r="AK120" t="s">
        <v>54</v>
      </c>
      <c r="AL120">
        <v>1.5</v>
      </c>
      <c r="AM120" s="4">
        <f t="shared" si="9"/>
        <v>191.91</v>
      </c>
      <c r="AN120" s="4">
        <f t="shared" si="10"/>
        <v>333.75</v>
      </c>
      <c r="AO120" s="4">
        <f t="shared" si="11"/>
        <v>370.79624999999999</v>
      </c>
      <c r="AP120" s="4">
        <f t="shared" si="12"/>
        <v>540.64162499999998</v>
      </c>
      <c r="AQ120" s="10">
        <f t="shared" si="13"/>
        <v>333.75068099999999</v>
      </c>
      <c r="AR120" s="10">
        <f t="shared" si="14"/>
        <v>370.8303816591</v>
      </c>
      <c r="AS120" s="10">
        <f t="shared" si="15"/>
        <v>519.58306018079998</v>
      </c>
    </row>
    <row r="121" spans="1:45" x14ac:dyDescent="0.3">
      <c r="A121">
        <v>2025</v>
      </c>
      <c r="B121">
        <v>3</v>
      </c>
      <c r="C121" t="s">
        <v>55</v>
      </c>
      <c r="D121">
        <v>10</v>
      </c>
      <c r="E121" t="s">
        <v>36</v>
      </c>
      <c r="F121" t="s">
        <v>37</v>
      </c>
      <c r="G121" t="s">
        <v>38</v>
      </c>
      <c r="H121" t="s">
        <v>78</v>
      </c>
      <c r="I121" t="s">
        <v>190</v>
      </c>
      <c r="J121" t="s">
        <v>58</v>
      </c>
      <c r="K121" t="s">
        <v>59</v>
      </c>
      <c r="M121" t="s">
        <v>213</v>
      </c>
      <c r="N121" t="s">
        <v>61</v>
      </c>
      <c r="O121" t="s">
        <v>43</v>
      </c>
      <c r="Q121" t="s">
        <v>62</v>
      </c>
      <c r="R121" t="s">
        <v>214</v>
      </c>
      <c r="S121" t="s">
        <v>215</v>
      </c>
      <c r="T121" t="s">
        <v>47</v>
      </c>
      <c r="U121" t="s">
        <v>220</v>
      </c>
      <c r="V121" t="s">
        <v>49</v>
      </c>
      <c r="W121" t="s">
        <v>218</v>
      </c>
      <c r="X121" t="s">
        <v>51</v>
      </c>
      <c r="Y121" t="s">
        <v>1645</v>
      </c>
      <c r="Z121" t="s">
        <v>1645</v>
      </c>
      <c r="AA121" t="s">
        <v>1235</v>
      </c>
      <c r="AB121" s="3">
        <f t="shared" si="8"/>
        <v>1</v>
      </c>
      <c r="AC121">
        <v>171.8</v>
      </c>
      <c r="AD121" s="2">
        <v>171.8</v>
      </c>
      <c r="AE121" s="2">
        <v>23.96</v>
      </c>
      <c r="AF121" s="2">
        <v>1.18</v>
      </c>
      <c r="AG121" s="2">
        <v>196.22</v>
      </c>
      <c r="AH121">
        <v>0</v>
      </c>
      <c r="AI121">
        <v>196.22</v>
      </c>
      <c r="AJ121">
        <v>0.98109999999999997</v>
      </c>
      <c r="AK121" t="s">
        <v>54</v>
      </c>
      <c r="AL121">
        <v>0.9</v>
      </c>
      <c r="AM121" s="4">
        <f t="shared" si="9"/>
        <v>196.22</v>
      </c>
      <c r="AN121" s="4">
        <f t="shared" si="10"/>
        <v>322.125</v>
      </c>
      <c r="AO121" s="4">
        <f t="shared" si="11"/>
        <v>357.880875</v>
      </c>
      <c r="AP121" s="4">
        <f t="shared" si="12"/>
        <v>521.81028749999996</v>
      </c>
      <c r="AQ121" s="10">
        <f t="shared" si="13"/>
        <v>341.24620200000004</v>
      </c>
      <c r="AR121" s="10">
        <f t="shared" si="14"/>
        <v>379.15865504220005</v>
      </c>
      <c r="AS121" s="10">
        <f t="shared" si="15"/>
        <v>531.25208727360007</v>
      </c>
    </row>
    <row r="122" spans="1:45" x14ac:dyDescent="0.3">
      <c r="A122">
        <v>2025</v>
      </c>
      <c r="B122">
        <v>11</v>
      </c>
      <c r="C122" t="s">
        <v>55</v>
      </c>
      <c r="D122">
        <v>10</v>
      </c>
      <c r="E122" t="s">
        <v>36</v>
      </c>
      <c r="F122" t="s">
        <v>37</v>
      </c>
      <c r="G122" t="s">
        <v>38</v>
      </c>
      <c r="H122" t="s">
        <v>83</v>
      </c>
      <c r="I122" t="s">
        <v>375</v>
      </c>
      <c r="J122" t="s">
        <v>376</v>
      </c>
      <c r="K122" t="s">
        <v>51</v>
      </c>
      <c r="L122" t="s">
        <v>1622</v>
      </c>
      <c r="M122" t="s">
        <v>1623</v>
      </c>
      <c r="N122" t="s">
        <v>1485</v>
      </c>
      <c r="O122" t="s">
        <v>1197</v>
      </c>
      <c r="Q122" t="s">
        <v>62</v>
      </c>
      <c r="R122" t="s">
        <v>1624</v>
      </c>
      <c r="S122" t="s">
        <v>1624</v>
      </c>
      <c r="T122" t="s">
        <v>47</v>
      </c>
      <c r="U122" t="s">
        <v>428</v>
      </c>
      <c r="V122" t="s">
        <v>49</v>
      </c>
      <c r="W122" t="s">
        <v>425</v>
      </c>
      <c r="X122" t="s">
        <v>51</v>
      </c>
      <c r="Y122" t="s">
        <v>81</v>
      </c>
      <c r="Z122" t="s">
        <v>64</v>
      </c>
      <c r="AA122" t="s">
        <v>221</v>
      </c>
      <c r="AB122" s="3">
        <f t="shared" si="8"/>
        <v>1</v>
      </c>
      <c r="AC122">
        <v>112.93</v>
      </c>
      <c r="AD122" s="2">
        <v>112.93</v>
      </c>
      <c r="AE122" s="2">
        <v>23.7</v>
      </c>
      <c r="AF122" s="2">
        <v>0.84</v>
      </c>
      <c r="AG122" s="2">
        <v>137.47</v>
      </c>
      <c r="AH122">
        <v>0</v>
      </c>
      <c r="AI122">
        <v>137.47</v>
      </c>
      <c r="AJ122">
        <v>0.68735000000000002</v>
      </c>
      <c r="AK122" t="s">
        <v>54</v>
      </c>
      <c r="AL122">
        <v>1.94</v>
      </c>
      <c r="AM122" s="4">
        <f t="shared" si="9"/>
        <v>137.47</v>
      </c>
      <c r="AN122" s="4">
        <f t="shared" si="10"/>
        <v>211.74375000000001</v>
      </c>
      <c r="AO122" s="4">
        <f t="shared" si="11"/>
        <v>235.24730625000001</v>
      </c>
      <c r="AP122" s="4">
        <f t="shared" si="12"/>
        <v>343.00370062499996</v>
      </c>
      <c r="AQ122" s="10">
        <f t="shared" si="13"/>
        <v>239.07407700000002</v>
      </c>
      <c r="AR122" s="10">
        <f t="shared" si="14"/>
        <v>265.63520695470004</v>
      </c>
      <c r="AS122" s="10">
        <f t="shared" si="15"/>
        <v>372.19052307359999</v>
      </c>
    </row>
    <row r="123" spans="1:45" x14ac:dyDescent="0.3">
      <c r="A123">
        <v>2025</v>
      </c>
      <c r="B123">
        <v>12</v>
      </c>
      <c r="C123" t="s">
        <v>55</v>
      </c>
      <c r="D123">
        <v>10</v>
      </c>
      <c r="E123" t="s">
        <v>36</v>
      </c>
      <c r="F123" t="s">
        <v>37</v>
      </c>
      <c r="G123" t="s">
        <v>38</v>
      </c>
      <c r="H123" t="s">
        <v>83</v>
      </c>
      <c r="I123" t="s">
        <v>57</v>
      </c>
      <c r="J123" t="s">
        <v>58</v>
      </c>
      <c r="K123" t="s">
        <v>59</v>
      </c>
      <c r="L123" t="s">
        <v>1769</v>
      </c>
      <c r="M123" t="s">
        <v>1770</v>
      </c>
      <c r="N123" t="s">
        <v>1771</v>
      </c>
      <c r="O123" t="s">
        <v>1197</v>
      </c>
      <c r="Q123" t="s">
        <v>62</v>
      </c>
      <c r="R123" t="s">
        <v>1772</v>
      </c>
      <c r="S123" t="s">
        <v>1772</v>
      </c>
      <c r="T123" t="s">
        <v>47</v>
      </c>
      <c r="U123" t="s">
        <v>93</v>
      </c>
      <c r="V123" t="s">
        <v>49</v>
      </c>
      <c r="W123" t="s">
        <v>94</v>
      </c>
      <c r="X123" t="s">
        <v>51</v>
      </c>
      <c r="Y123" t="s">
        <v>1653</v>
      </c>
      <c r="Z123" t="s">
        <v>1653</v>
      </c>
      <c r="AA123" t="s">
        <v>1654</v>
      </c>
      <c r="AB123" s="3">
        <f t="shared" si="8"/>
        <v>1</v>
      </c>
      <c r="AC123">
        <v>5.21</v>
      </c>
      <c r="AD123" s="2">
        <v>5.21</v>
      </c>
      <c r="AE123" s="2">
        <v>0.73</v>
      </c>
      <c r="AF123" s="2">
        <v>0.4</v>
      </c>
      <c r="AG123" s="2">
        <v>5.98</v>
      </c>
      <c r="AH123">
        <v>0</v>
      </c>
      <c r="AI123">
        <v>5.98</v>
      </c>
      <c r="AJ123">
        <v>2.9899999999999999E-2</v>
      </c>
      <c r="AK123" t="s">
        <v>54</v>
      </c>
      <c r="AL123">
        <v>0.3</v>
      </c>
      <c r="AM123" s="4">
        <f t="shared" si="9"/>
        <v>5.98</v>
      </c>
      <c r="AN123" s="4">
        <f t="shared" si="10"/>
        <v>9.7687500000000007</v>
      </c>
      <c r="AO123" s="4">
        <f t="shared" si="11"/>
        <v>10.853081250000001</v>
      </c>
      <c r="AP123" s="4">
        <f t="shared" si="12"/>
        <v>15.824398125</v>
      </c>
      <c r="AQ123" s="10">
        <f t="shared" si="13"/>
        <v>10.399818000000002</v>
      </c>
      <c r="AR123" s="10">
        <f t="shared" si="14"/>
        <v>11.555237779800002</v>
      </c>
      <c r="AS123" s="10">
        <f t="shared" si="15"/>
        <v>16.190436662400003</v>
      </c>
    </row>
    <row r="124" spans="1:45" x14ac:dyDescent="0.3">
      <c r="A124">
        <v>2025</v>
      </c>
      <c r="B124">
        <v>12</v>
      </c>
      <c r="C124" t="s">
        <v>55</v>
      </c>
      <c r="D124">
        <v>10</v>
      </c>
      <c r="E124" t="s">
        <v>36</v>
      </c>
      <c r="F124" t="s">
        <v>37</v>
      </c>
      <c r="G124" t="s">
        <v>38</v>
      </c>
      <c r="H124" t="s">
        <v>83</v>
      </c>
      <c r="I124" t="s">
        <v>57</v>
      </c>
      <c r="J124" t="s">
        <v>58</v>
      </c>
      <c r="K124" t="s">
        <v>59</v>
      </c>
      <c r="L124" t="s">
        <v>1769</v>
      </c>
      <c r="M124" t="s">
        <v>1770</v>
      </c>
      <c r="N124" t="s">
        <v>1771</v>
      </c>
      <c r="O124" t="s">
        <v>1197</v>
      </c>
      <c r="Q124" t="s">
        <v>62</v>
      </c>
      <c r="R124" t="s">
        <v>1772</v>
      </c>
      <c r="S124" t="s">
        <v>1772</v>
      </c>
      <c r="T124" t="s">
        <v>47</v>
      </c>
      <c r="U124" t="s">
        <v>93</v>
      </c>
      <c r="V124" t="s">
        <v>49</v>
      </c>
      <c r="W124" t="s">
        <v>94</v>
      </c>
      <c r="X124" t="s">
        <v>51</v>
      </c>
      <c r="Y124" t="s">
        <v>1809</v>
      </c>
      <c r="Z124" t="s">
        <v>1809</v>
      </c>
      <c r="AA124" t="s">
        <v>1810</v>
      </c>
      <c r="AB124" s="3">
        <f t="shared" si="8"/>
        <v>1</v>
      </c>
      <c r="AC124">
        <v>11.72</v>
      </c>
      <c r="AD124" s="2">
        <v>11.72</v>
      </c>
      <c r="AE124" s="2">
        <v>3.48</v>
      </c>
      <c r="AF124" s="2">
        <v>0.9</v>
      </c>
      <c r="AG124" s="2">
        <v>15.29</v>
      </c>
      <c r="AH124">
        <v>0</v>
      </c>
      <c r="AI124">
        <v>15.29</v>
      </c>
      <c r="AJ124">
        <v>7.6450000000000004E-2</v>
      </c>
      <c r="AK124" t="s">
        <v>54</v>
      </c>
      <c r="AL124">
        <v>0.9</v>
      </c>
      <c r="AM124" s="4">
        <f t="shared" si="9"/>
        <v>15.29</v>
      </c>
      <c r="AN124" s="4">
        <f t="shared" si="10"/>
        <v>21.975000000000001</v>
      </c>
      <c r="AO124" s="4">
        <f t="shared" si="11"/>
        <v>24.414225000000002</v>
      </c>
      <c r="AP124" s="4">
        <f t="shared" si="12"/>
        <v>35.597302499999998</v>
      </c>
      <c r="AQ124" s="10">
        <f t="shared" si="13"/>
        <v>26.590838999999999</v>
      </c>
      <c r="AR124" s="10">
        <f t="shared" si="14"/>
        <v>29.545081212899998</v>
      </c>
      <c r="AS124" s="10">
        <f t="shared" si="15"/>
        <v>41.396618155199995</v>
      </c>
    </row>
    <row r="125" spans="1:45" x14ac:dyDescent="0.3">
      <c r="A125">
        <v>2025</v>
      </c>
      <c r="B125">
        <v>4</v>
      </c>
      <c r="C125" t="s">
        <v>55</v>
      </c>
      <c r="D125">
        <v>10</v>
      </c>
      <c r="E125" t="s">
        <v>36</v>
      </c>
      <c r="F125" t="s">
        <v>37</v>
      </c>
      <c r="G125" t="s">
        <v>38</v>
      </c>
      <c r="H125" t="s">
        <v>101</v>
      </c>
      <c r="I125" t="s">
        <v>375</v>
      </c>
      <c r="J125" t="s">
        <v>376</v>
      </c>
      <c r="K125" t="s">
        <v>59</v>
      </c>
      <c r="M125">
        <v>2503061</v>
      </c>
      <c r="N125" t="s">
        <v>377</v>
      </c>
      <c r="O125" t="s">
        <v>36</v>
      </c>
      <c r="Q125" t="s">
        <v>62</v>
      </c>
      <c r="R125" t="s">
        <v>378</v>
      </c>
      <c r="S125" t="s">
        <v>378</v>
      </c>
      <c r="T125" t="s">
        <v>47</v>
      </c>
      <c r="U125" t="s">
        <v>93</v>
      </c>
      <c r="V125" t="s">
        <v>49</v>
      </c>
      <c r="W125" t="s">
        <v>94</v>
      </c>
      <c r="X125" t="s">
        <v>51</v>
      </c>
      <c r="Y125" t="s">
        <v>1809</v>
      </c>
      <c r="Z125" t="s">
        <v>1809</v>
      </c>
      <c r="AA125" t="s">
        <v>1810</v>
      </c>
      <c r="AB125" s="3">
        <f t="shared" si="8"/>
        <v>1</v>
      </c>
      <c r="AC125">
        <v>11.72</v>
      </c>
      <c r="AD125" s="2">
        <v>11.72</v>
      </c>
      <c r="AE125" s="2">
        <v>3.48</v>
      </c>
      <c r="AF125" s="2">
        <v>0.9</v>
      </c>
      <c r="AG125" s="2">
        <v>15.29</v>
      </c>
      <c r="AH125">
        <v>0</v>
      </c>
      <c r="AI125">
        <v>15.29</v>
      </c>
      <c r="AJ125">
        <v>7.6450000000000004E-2</v>
      </c>
      <c r="AK125" t="s">
        <v>54</v>
      </c>
      <c r="AL125">
        <v>0.9</v>
      </c>
      <c r="AM125" s="4">
        <f t="shared" si="9"/>
        <v>15.29</v>
      </c>
      <c r="AN125" s="4">
        <f t="shared" si="10"/>
        <v>21.975000000000001</v>
      </c>
      <c r="AO125" s="4">
        <f t="shared" si="11"/>
        <v>24.414225000000002</v>
      </c>
      <c r="AP125" s="4">
        <f t="shared" si="12"/>
        <v>35.597302499999998</v>
      </c>
      <c r="AQ125" s="10">
        <f t="shared" si="13"/>
        <v>26.590838999999999</v>
      </c>
      <c r="AR125" s="10">
        <f t="shared" si="14"/>
        <v>29.545081212899998</v>
      </c>
      <c r="AS125" s="10">
        <f t="shared" si="15"/>
        <v>41.396618155199995</v>
      </c>
    </row>
    <row r="126" spans="1:45" x14ac:dyDescent="0.3">
      <c r="A126">
        <v>2025</v>
      </c>
      <c r="B126">
        <v>1</v>
      </c>
      <c r="C126" t="s">
        <v>55</v>
      </c>
      <c r="D126">
        <v>10</v>
      </c>
      <c r="E126" t="s">
        <v>36</v>
      </c>
      <c r="F126" t="s">
        <v>37</v>
      </c>
      <c r="G126" t="s">
        <v>38</v>
      </c>
      <c r="H126" t="s">
        <v>101</v>
      </c>
      <c r="I126" t="s">
        <v>57</v>
      </c>
      <c r="J126" t="s">
        <v>58</v>
      </c>
      <c r="K126" t="s">
        <v>59</v>
      </c>
      <c r="M126" t="s">
        <v>60</v>
      </c>
      <c r="N126" t="s">
        <v>61</v>
      </c>
      <c r="O126" t="s">
        <v>43</v>
      </c>
      <c r="Q126" t="s">
        <v>62</v>
      </c>
      <c r="R126" t="s">
        <v>63</v>
      </c>
      <c r="S126" t="s">
        <v>63</v>
      </c>
      <c r="T126" t="s">
        <v>47</v>
      </c>
      <c r="U126" t="s">
        <v>149</v>
      </c>
      <c r="V126" t="s">
        <v>49</v>
      </c>
      <c r="W126" t="s">
        <v>150</v>
      </c>
      <c r="X126" t="s">
        <v>51</v>
      </c>
      <c r="Y126" t="s">
        <v>451</v>
      </c>
      <c r="Z126" t="s">
        <v>451</v>
      </c>
      <c r="AA126" t="s">
        <v>452</v>
      </c>
      <c r="AB126" s="3">
        <f t="shared" si="8"/>
        <v>1.7300000000000064</v>
      </c>
      <c r="AC126">
        <v>13.33</v>
      </c>
      <c r="AD126" s="2">
        <v>7.7052023121386997</v>
      </c>
      <c r="AE126" s="2">
        <v>23.68</v>
      </c>
      <c r="AF126" s="2">
        <v>7.0000000000000007E-2</v>
      </c>
      <c r="AG126" s="2">
        <v>37.08</v>
      </c>
      <c r="AH126">
        <v>0</v>
      </c>
      <c r="AI126">
        <v>21.433526011561</v>
      </c>
      <c r="AJ126">
        <v>0.18540000000000001</v>
      </c>
      <c r="AK126" t="s">
        <v>54</v>
      </c>
      <c r="AL126">
        <v>1.1299999999999999</v>
      </c>
      <c r="AM126" s="4">
        <f t="shared" si="9"/>
        <v>21.433526011560613</v>
      </c>
      <c r="AN126" s="4">
        <f t="shared" si="10"/>
        <v>14.447254335260062</v>
      </c>
      <c r="AO126" s="4">
        <f t="shared" si="11"/>
        <v>16.05089956647393</v>
      </c>
      <c r="AP126" s="4">
        <f t="shared" si="12"/>
        <v>23.403107297687775</v>
      </c>
      <c r="AQ126" s="10">
        <f t="shared" si="13"/>
        <v>37.275045086705063</v>
      </c>
      <c r="AR126" s="10">
        <f t="shared" si="14"/>
        <v>41.416302595837998</v>
      </c>
      <c r="AS126" s="10">
        <f t="shared" si="15"/>
        <v>58.029790190982439</v>
      </c>
    </row>
    <row r="127" spans="1:45" x14ac:dyDescent="0.3">
      <c r="A127">
        <v>2025</v>
      </c>
      <c r="B127">
        <v>8</v>
      </c>
      <c r="C127" t="s">
        <v>55</v>
      </c>
      <c r="D127">
        <v>10</v>
      </c>
      <c r="E127" t="s">
        <v>36</v>
      </c>
      <c r="F127" t="s">
        <v>37</v>
      </c>
      <c r="G127" t="s">
        <v>38</v>
      </c>
      <c r="H127" t="s">
        <v>101</v>
      </c>
      <c r="I127" t="s">
        <v>190</v>
      </c>
      <c r="J127" t="s">
        <v>58</v>
      </c>
      <c r="K127" t="s">
        <v>59</v>
      </c>
      <c r="L127" t="s">
        <v>1194</v>
      </c>
      <c r="M127" t="s">
        <v>1195</v>
      </c>
      <c r="N127" t="s">
        <v>1196</v>
      </c>
      <c r="O127" t="s">
        <v>1197</v>
      </c>
      <c r="Q127" t="s">
        <v>62</v>
      </c>
      <c r="R127" t="s">
        <v>1198</v>
      </c>
      <c r="S127" t="s">
        <v>1198</v>
      </c>
      <c r="T127" t="s">
        <v>47</v>
      </c>
      <c r="U127" t="s">
        <v>149</v>
      </c>
      <c r="V127" t="s">
        <v>49</v>
      </c>
      <c r="W127" t="s">
        <v>150</v>
      </c>
      <c r="X127" t="s">
        <v>388</v>
      </c>
      <c r="Y127" t="s">
        <v>151</v>
      </c>
      <c r="Z127" t="s">
        <v>64</v>
      </c>
      <c r="AA127" t="s">
        <v>152</v>
      </c>
      <c r="AB127" s="3">
        <f t="shared" si="8"/>
        <v>3.0000000000000986</v>
      </c>
      <c r="AC127">
        <v>303.01</v>
      </c>
      <c r="AD127" s="2">
        <v>101.00333333333</v>
      </c>
      <c r="AE127" s="2">
        <v>72.8</v>
      </c>
      <c r="AF127" s="2">
        <v>2.09</v>
      </c>
      <c r="AG127" s="2">
        <v>377.91</v>
      </c>
      <c r="AH127">
        <v>0</v>
      </c>
      <c r="AI127">
        <v>125.97</v>
      </c>
      <c r="AJ127">
        <v>1.8895500000000001</v>
      </c>
      <c r="AK127" t="s">
        <v>54</v>
      </c>
      <c r="AL127">
        <v>9.02</v>
      </c>
      <c r="AM127" s="4">
        <f t="shared" si="9"/>
        <v>125.96999999999586</v>
      </c>
      <c r="AN127" s="4">
        <f t="shared" si="10"/>
        <v>189.38124999999377</v>
      </c>
      <c r="AO127" s="4">
        <f t="shared" si="11"/>
        <v>210.40256874999307</v>
      </c>
      <c r="AP127" s="4">
        <f t="shared" si="12"/>
        <v>306.77868687498989</v>
      </c>
      <c r="AQ127" s="10">
        <f t="shared" si="13"/>
        <v>219.07442699999282</v>
      </c>
      <c r="AR127" s="10">
        <f t="shared" si="14"/>
        <v>243.41359583969202</v>
      </c>
      <c r="AS127" s="10">
        <f t="shared" si="15"/>
        <v>341.05506795358883</v>
      </c>
    </row>
    <row r="128" spans="1:45" x14ac:dyDescent="0.3">
      <c r="A128">
        <v>2025</v>
      </c>
      <c r="B128">
        <v>8</v>
      </c>
      <c r="C128" t="s">
        <v>55</v>
      </c>
      <c r="D128">
        <v>10</v>
      </c>
      <c r="E128" t="s">
        <v>36</v>
      </c>
      <c r="F128" t="s">
        <v>37</v>
      </c>
      <c r="G128" t="s">
        <v>38</v>
      </c>
      <c r="H128" t="s">
        <v>101</v>
      </c>
      <c r="I128" t="s">
        <v>190</v>
      </c>
      <c r="J128" t="s">
        <v>58</v>
      </c>
      <c r="K128" t="s">
        <v>59</v>
      </c>
      <c r="L128" t="s">
        <v>1194</v>
      </c>
      <c r="M128" t="s">
        <v>1195</v>
      </c>
      <c r="N128" t="s">
        <v>1196</v>
      </c>
      <c r="O128" t="s">
        <v>1197</v>
      </c>
      <c r="Q128" t="s">
        <v>62</v>
      </c>
      <c r="R128" t="s">
        <v>1198</v>
      </c>
      <c r="S128" t="s">
        <v>1198</v>
      </c>
      <c r="T128" t="s">
        <v>47</v>
      </c>
      <c r="U128" t="s">
        <v>167</v>
      </c>
      <c r="V128" t="s">
        <v>49</v>
      </c>
      <c r="W128" t="s">
        <v>168</v>
      </c>
      <c r="X128" t="s">
        <v>388</v>
      </c>
      <c r="Y128" t="s">
        <v>1369</v>
      </c>
      <c r="Z128" t="s">
        <v>1369</v>
      </c>
      <c r="AA128" t="s">
        <v>152</v>
      </c>
      <c r="AB128" s="3">
        <f t="shared" si="8"/>
        <v>1</v>
      </c>
      <c r="AC128">
        <v>82.87</v>
      </c>
      <c r="AD128" s="2">
        <v>82.87</v>
      </c>
      <c r="AE128" s="2">
        <v>5.94</v>
      </c>
      <c r="AF128" s="2">
        <v>0.54</v>
      </c>
      <c r="AG128" s="2">
        <v>89.35</v>
      </c>
      <c r="AH128">
        <v>0</v>
      </c>
      <c r="AI128">
        <v>89.35</v>
      </c>
      <c r="AJ128">
        <v>0.44674999999999998</v>
      </c>
      <c r="AK128" t="s">
        <v>54</v>
      </c>
      <c r="AL128">
        <v>0.7</v>
      </c>
      <c r="AM128" s="4">
        <f t="shared" si="9"/>
        <v>89.35</v>
      </c>
      <c r="AN128" s="4">
        <f t="shared" si="10"/>
        <v>155.38125000000002</v>
      </c>
      <c r="AO128" s="4">
        <f t="shared" si="11"/>
        <v>172.62856875000003</v>
      </c>
      <c r="AP128" s="4">
        <f t="shared" si="12"/>
        <v>251.70208687500002</v>
      </c>
      <c r="AQ128" s="10">
        <f t="shared" si="13"/>
        <v>155.38858500000001</v>
      </c>
      <c r="AR128" s="10">
        <f t="shared" si="14"/>
        <v>172.65225679350002</v>
      </c>
      <c r="AS128" s="10">
        <f t="shared" si="15"/>
        <v>241.90894912800002</v>
      </c>
    </row>
    <row r="129" spans="1:45" x14ac:dyDescent="0.3">
      <c r="A129">
        <v>2025</v>
      </c>
      <c r="B129">
        <v>10</v>
      </c>
      <c r="C129" t="s">
        <v>55</v>
      </c>
      <c r="D129">
        <v>10</v>
      </c>
      <c r="E129" t="s">
        <v>36</v>
      </c>
      <c r="F129" t="s">
        <v>37</v>
      </c>
      <c r="G129" t="s">
        <v>38</v>
      </c>
      <c r="H129" t="s">
        <v>101</v>
      </c>
      <c r="I129" t="s">
        <v>375</v>
      </c>
      <c r="J129" t="s">
        <v>376</v>
      </c>
      <c r="K129" t="s">
        <v>59</v>
      </c>
      <c r="L129" t="s">
        <v>1549</v>
      </c>
      <c r="M129" t="s">
        <v>1550</v>
      </c>
      <c r="N129" t="s">
        <v>1551</v>
      </c>
      <c r="O129" t="s">
        <v>1197</v>
      </c>
      <c r="Q129" t="s">
        <v>62</v>
      </c>
      <c r="R129" t="s">
        <v>1552</v>
      </c>
      <c r="S129" t="s">
        <v>1552</v>
      </c>
      <c r="T129" t="s">
        <v>47</v>
      </c>
      <c r="U129" t="s">
        <v>149</v>
      </c>
      <c r="V129" t="s">
        <v>49</v>
      </c>
      <c r="W129" t="s">
        <v>150</v>
      </c>
      <c r="X129" t="s">
        <v>51</v>
      </c>
      <c r="Y129" t="s">
        <v>1369</v>
      </c>
      <c r="Z129" t="s">
        <v>1369</v>
      </c>
      <c r="AA129" t="s">
        <v>152</v>
      </c>
      <c r="AB129" s="3">
        <f t="shared" si="8"/>
        <v>1</v>
      </c>
      <c r="AC129">
        <v>82.87</v>
      </c>
      <c r="AD129" s="2">
        <v>82.87</v>
      </c>
      <c r="AE129" s="2">
        <v>5.94</v>
      </c>
      <c r="AF129" s="2">
        <v>0.54</v>
      </c>
      <c r="AG129" s="2">
        <v>89.35</v>
      </c>
      <c r="AH129">
        <v>0</v>
      </c>
      <c r="AI129">
        <v>89.35</v>
      </c>
      <c r="AJ129">
        <v>0.44674999999999998</v>
      </c>
      <c r="AK129" t="s">
        <v>54</v>
      </c>
      <c r="AL129">
        <v>0.7</v>
      </c>
      <c r="AM129" s="4">
        <f t="shared" si="9"/>
        <v>89.35</v>
      </c>
      <c r="AN129" s="4">
        <f t="shared" si="10"/>
        <v>155.38125000000002</v>
      </c>
      <c r="AO129" s="4">
        <f t="shared" si="11"/>
        <v>172.62856875000003</v>
      </c>
      <c r="AP129" s="4">
        <f t="shared" si="12"/>
        <v>251.70208687500002</v>
      </c>
      <c r="AQ129" s="10">
        <f t="shared" si="13"/>
        <v>155.38858500000001</v>
      </c>
      <c r="AR129" s="10">
        <f t="shared" si="14"/>
        <v>172.65225679350002</v>
      </c>
      <c r="AS129" s="10">
        <f t="shared" si="15"/>
        <v>241.90894912800002</v>
      </c>
    </row>
    <row r="130" spans="1:45" x14ac:dyDescent="0.3">
      <c r="A130">
        <v>2025</v>
      </c>
      <c r="B130">
        <v>4</v>
      </c>
      <c r="C130" t="s">
        <v>55</v>
      </c>
      <c r="D130">
        <v>10</v>
      </c>
      <c r="E130" t="s">
        <v>36</v>
      </c>
      <c r="F130" t="s">
        <v>37</v>
      </c>
      <c r="G130" t="s">
        <v>38</v>
      </c>
      <c r="H130" t="s">
        <v>83</v>
      </c>
      <c r="I130" t="s">
        <v>375</v>
      </c>
      <c r="J130" t="s">
        <v>376</v>
      </c>
      <c r="K130" t="s">
        <v>59</v>
      </c>
      <c r="M130">
        <v>2503061</v>
      </c>
      <c r="N130" t="s">
        <v>377</v>
      </c>
      <c r="O130" t="s">
        <v>36</v>
      </c>
      <c r="Q130" t="s">
        <v>62</v>
      </c>
      <c r="R130" t="s">
        <v>378</v>
      </c>
      <c r="S130" t="s">
        <v>378</v>
      </c>
      <c r="T130" t="s">
        <v>47</v>
      </c>
      <c r="U130" t="s">
        <v>424</v>
      </c>
      <c r="V130" t="s">
        <v>49</v>
      </c>
      <c r="W130" t="s">
        <v>425</v>
      </c>
      <c r="X130" t="s">
        <v>51</v>
      </c>
      <c r="Y130" t="s">
        <v>1369</v>
      </c>
      <c r="Z130" t="s">
        <v>1369</v>
      </c>
      <c r="AA130" t="s">
        <v>152</v>
      </c>
      <c r="AB130" s="3">
        <f t="shared" si="8"/>
        <v>1</v>
      </c>
      <c r="AC130">
        <v>82</v>
      </c>
      <c r="AD130" s="2">
        <v>82</v>
      </c>
      <c r="AE130" s="2">
        <v>37.47</v>
      </c>
      <c r="AF130" s="2">
        <v>0.73</v>
      </c>
      <c r="AG130" s="2">
        <v>120.21</v>
      </c>
      <c r="AH130">
        <v>0</v>
      </c>
      <c r="AI130">
        <v>120.21</v>
      </c>
      <c r="AJ130">
        <v>0.60104999999999997</v>
      </c>
      <c r="AK130" t="s">
        <v>54</v>
      </c>
      <c r="AL130">
        <v>1.7</v>
      </c>
      <c r="AM130" s="4">
        <f t="shared" si="9"/>
        <v>120.21</v>
      </c>
      <c r="AN130" s="4">
        <f t="shared" si="10"/>
        <v>153.75</v>
      </c>
      <c r="AO130" s="4">
        <f t="shared" si="11"/>
        <v>170.81625</v>
      </c>
      <c r="AP130" s="4">
        <f t="shared" si="12"/>
        <v>249.05962499999998</v>
      </c>
      <c r="AQ130" s="10">
        <f t="shared" si="13"/>
        <v>209.057211</v>
      </c>
      <c r="AR130" s="10">
        <f t="shared" si="14"/>
        <v>232.28346714209999</v>
      </c>
      <c r="AS130" s="10">
        <f t="shared" si="15"/>
        <v>325.46026608479997</v>
      </c>
    </row>
    <row r="131" spans="1:45" x14ac:dyDescent="0.3">
      <c r="A131">
        <v>2025</v>
      </c>
      <c r="B131">
        <v>8</v>
      </c>
      <c r="C131" t="s">
        <v>55</v>
      </c>
      <c r="D131">
        <v>10</v>
      </c>
      <c r="E131" t="s">
        <v>36</v>
      </c>
      <c r="F131" t="s">
        <v>37</v>
      </c>
      <c r="G131" t="s">
        <v>38</v>
      </c>
      <c r="H131" t="s">
        <v>542</v>
      </c>
      <c r="I131" t="s">
        <v>190</v>
      </c>
      <c r="J131" t="s">
        <v>58</v>
      </c>
      <c r="K131" t="s">
        <v>59</v>
      </c>
      <c r="L131" t="s">
        <v>1194</v>
      </c>
      <c r="M131" t="s">
        <v>1195</v>
      </c>
      <c r="N131" t="s">
        <v>1196</v>
      </c>
      <c r="O131" t="s">
        <v>1197</v>
      </c>
      <c r="Q131" t="s">
        <v>62</v>
      </c>
      <c r="R131" t="s">
        <v>1198</v>
      </c>
      <c r="S131" t="s">
        <v>1198</v>
      </c>
      <c r="T131" t="s">
        <v>47</v>
      </c>
      <c r="U131" t="s">
        <v>424</v>
      </c>
      <c r="V131" t="s">
        <v>49</v>
      </c>
      <c r="W131" t="s">
        <v>425</v>
      </c>
      <c r="X131" t="s">
        <v>388</v>
      </c>
      <c r="Y131" t="s">
        <v>426</v>
      </c>
      <c r="Z131" t="s">
        <v>426</v>
      </c>
      <c r="AA131" t="s">
        <v>427</v>
      </c>
      <c r="AB131" s="3">
        <f t="shared" ref="AB131:AB194" si="16">SUM(AC131/AD131)</f>
        <v>4.4199999999999573</v>
      </c>
      <c r="AC131">
        <v>102.5</v>
      </c>
      <c r="AD131" s="2">
        <v>23.190045248869001</v>
      </c>
      <c r="AE131" s="2">
        <v>60.35</v>
      </c>
      <c r="AF131" s="2">
        <v>0.68</v>
      </c>
      <c r="AG131" s="2">
        <v>163.53</v>
      </c>
      <c r="AH131">
        <v>0</v>
      </c>
      <c r="AI131">
        <v>36.997737556560999</v>
      </c>
      <c r="AJ131">
        <v>0.81764999999999999</v>
      </c>
      <c r="AK131" t="s">
        <v>54</v>
      </c>
      <c r="AL131">
        <v>2.88</v>
      </c>
      <c r="AM131" s="4">
        <f t="shared" ref="AM131:AM194" si="17">SUM(AG131/AB131)</f>
        <v>36.997737556561447</v>
      </c>
      <c r="AN131" s="4">
        <f t="shared" ref="AN131:AN194" si="18">SUM(AD131*1.875)</f>
        <v>43.481334841629376</v>
      </c>
      <c r="AO131" s="4">
        <f t="shared" si="11"/>
        <v>48.307763009050234</v>
      </c>
      <c r="AP131" s="4">
        <f t="shared" si="12"/>
        <v>70.435414309955419</v>
      </c>
      <c r="AQ131" s="10">
        <f t="shared" si="13"/>
        <v>64.342765384616015</v>
      </c>
      <c r="AR131" s="10">
        <f t="shared" si="14"/>
        <v>71.491246618846858</v>
      </c>
      <c r="AS131" s="10">
        <f t="shared" si="15"/>
        <v>100.16881715077021</v>
      </c>
    </row>
    <row r="132" spans="1:45" x14ac:dyDescent="0.3">
      <c r="A132">
        <v>2025</v>
      </c>
      <c r="B132">
        <v>8</v>
      </c>
      <c r="C132" t="s">
        <v>55</v>
      </c>
      <c r="D132">
        <v>10</v>
      </c>
      <c r="E132" t="s">
        <v>36</v>
      </c>
      <c r="F132" t="s">
        <v>37</v>
      </c>
      <c r="G132" t="s">
        <v>38</v>
      </c>
      <c r="H132" t="s">
        <v>542</v>
      </c>
      <c r="I132" t="s">
        <v>190</v>
      </c>
      <c r="J132" t="s">
        <v>58</v>
      </c>
      <c r="K132" t="s">
        <v>59</v>
      </c>
      <c r="L132" t="s">
        <v>1194</v>
      </c>
      <c r="M132" t="s">
        <v>1195</v>
      </c>
      <c r="N132" t="s">
        <v>1196</v>
      </c>
      <c r="O132" t="s">
        <v>1197</v>
      </c>
      <c r="Q132" t="s">
        <v>62</v>
      </c>
      <c r="R132" t="s">
        <v>1198</v>
      </c>
      <c r="S132" t="s">
        <v>1198</v>
      </c>
      <c r="T132" t="s">
        <v>47</v>
      </c>
      <c r="U132" t="s">
        <v>363</v>
      </c>
      <c r="V132" t="s">
        <v>49</v>
      </c>
      <c r="W132" t="s">
        <v>911</v>
      </c>
      <c r="X132" t="s">
        <v>388</v>
      </c>
      <c r="Y132" t="s">
        <v>1259</v>
      </c>
      <c r="Z132" t="s">
        <v>1259</v>
      </c>
      <c r="AA132" t="s">
        <v>1260</v>
      </c>
      <c r="AB132" s="3">
        <f t="shared" si="16"/>
        <v>1</v>
      </c>
      <c r="AC132">
        <v>32.82</v>
      </c>
      <c r="AD132" s="2">
        <v>32.82</v>
      </c>
      <c r="AE132" s="2">
        <v>2.35</v>
      </c>
      <c r="AF132" s="2">
        <v>0.21</v>
      </c>
      <c r="AG132" s="2">
        <v>35.380000000000003</v>
      </c>
      <c r="AH132">
        <v>0</v>
      </c>
      <c r="AI132">
        <v>35.380000000000003</v>
      </c>
      <c r="AJ132">
        <v>0.1769</v>
      </c>
      <c r="AK132" t="s">
        <v>54</v>
      </c>
      <c r="AL132">
        <v>0.28000000000000003</v>
      </c>
      <c r="AM132" s="4">
        <f t="shared" si="17"/>
        <v>35.380000000000003</v>
      </c>
      <c r="AN132" s="4">
        <f t="shared" si="18"/>
        <v>61.537500000000001</v>
      </c>
      <c r="AO132" s="4">
        <f t="shared" ref="AO132:AO195" si="19">SUM(AN132)*1.111</f>
        <v>68.368162499999997</v>
      </c>
      <c r="AP132" s="4">
        <f t="shared" ref="AP132:AP195" si="20">SUM(AN132)*1.6199</f>
        <v>99.684596249999998</v>
      </c>
      <c r="AQ132" s="10">
        <f t="shared" ref="AQ132:AQ195" si="21">SUM(AM132)*1.7391</f>
        <v>61.529358000000009</v>
      </c>
      <c r="AR132" s="10">
        <f t="shared" ref="AR132:AR195" si="22">SUM(AQ132)*1.1111</f>
        <v>68.365269673800015</v>
      </c>
      <c r="AS132" s="10">
        <f t="shared" ref="AS132:AS195" si="23">SUM(AQ132)*1.5568</f>
        <v>95.788904534400018</v>
      </c>
    </row>
    <row r="133" spans="1:45" x14ac:dyDescent="0.3">
      <c r="A133">
        <v>2025</v>
      </c>
      <c r="B133">
        <v>10</v>
      </c>
      <c r="C133" t="s">
        <v>55</v>
      </c>
      <c r="D133">
        <v>10</v>
      </c>
      <c r="E133" t="s">
        <v>36</v>
      </c>
      <c r="F133" t="s">
        <v>37</v>
      </c>
      <c r="G133" t="s">
        <v>38</v>
      </c>
      <c r="H133" t="s">
        <v>542</v>
      </c>
      <c r="I133" t="s">
        <v>375</v>
      </c>
      <c r="J133" t="s">
        <v>376</v>
      </c>
      <c r="K133" t="s">
        <v>59</v>
      </c>
      <c r="L133" t="s">
        <v>1549</v>
      </c>
      <c r="M133" t="s">
        <v>1550</v>
      </c>
      <c r="N133" t="s">
        <v>1551</v>
      </c>
      <c r="O133" t="s">
        <v>1197</v>
      </c>
      <c r="Q133" t="s">
        <v>62</v>
      </c>
      <c r="R133" t="s">
        <v>1552</v>
      </c>
      <c r="S133" t="s">
        <v>1552</v>
      </c>
      <c r="T133" t="s">
        <v>47</v>
      </c>
      <c r="U133" t="s">
        <v>424</v>
      </c>
      <c r="V133" t="s">
        <v>49</v>
      </c>
      <c r="W133" t="s">
        <v>425</v>
      </c>
      <c r="X133" t="s">
        <v>51</v>
      </c>
      <c r="Y133" t="s">
        <v>1259</v>
      </c>
      <c r="Z133" t="s">
        <v>1259</v>
      </c>
      <c r="AA133" t="s">
        <v>1260</v>
      </c>
      <c r="AB133" s="3">
        <f t="shared" si="16"/>
        <v>1</v>
      </c>
      <c r="AC133">
        <v>32.82</v>
      </c>
      <c r="AD133" s="2">
        <v>32.82</v>
      </c>
      <c r="AE133" s="2">
        <v>2.35</v>
      </c>
      <c r="AF133" s="2">
        <v>0.21</v>
      </c>
      <c r="AG133" s="2">
        <v>35.380000000000003</v>
      </c>
      <c r="AH133">
        <v>0</v>
      </c>
      <c r="AI133">
        <v>35.380000000000003</v>
      </c>
      <c r="AJ133">
        <v>0.1769</v>
      </c>
      <c r="AK133" t="s">
        <v>54</v>
      </c>
      <c r="AL133">
        <v>0.28000000000000003</v>
      </c>
      <c r="AM133" s="4">
        <f t="shared" si="17"/>
        <v>35.380000000000003</v>
      </c>
      <c r="AN133" s="4">
        <f t="shared" si="18"/>
        <v>61.537500000000001</v>
      </c>
      <c r="AO133" s="4">
        <f t="shared" si="19"/>
        <v>68.368162499999997</v>
      </c>
      <c r="AP133" s="4">
        <f t="shared" si="20"/>
        <v>99.684596249999998</v>
      </c>
      <c r="AQ133" s="10">
        <f t="shared" si="21"/>
        <v>61.529358000000009</v>
      </c>
      <c r="AR133" s="10">
        <f t="shared" si="22"/>
        <v>68.365269673800015</v>
      </c>
      <c r="AS133" s="10">
        <f t="shared" si="23"/>
        <v>95.788904534400018</v>
      </c>
    </row>
    <row r="134" spans="1:45" x14ac:dyDescent="0.3">
      <c r="A134">
        <v>2025</v>
      </c>
      <c r="B134">
        <v>11</v>
      </c>
      <c r="C134" t="s">
        <v>55</v>
      </c>
      <c r="D134">
        <v>10</v>
      </c>
      <c r="E134" t="s">
        <v>36</v>
      </c>
      <c r="F134" t="s">
        <v>37</v>
      </c>
      <c r="G134" t="s">
        <v>38</v>
      </c>
      <c r="H134" t="s">
        <v>78</v>
      </c>
      <c r="I134" t="s">
        <v>375</v>
      </c>
      <c r="J134" t="s">
        <v>376</v>
      </c>
      <c r="K134" t="s">
        <v>51</v>
      </c>
      <c r="L134" t="s">
        <v>1622</v>
      </c>
      <c r="M134" t="s">
        <v>1623</v>
      </c>
      <c r="N134" t="s">
        <v>1485</v>
      </c>
      <c r="O134" t="s">
        <v>1197</v>
      </c>
      <c r="Q134" t="s">
        <v>62</v>
      </c>
      <c r="R134" t="s">
        <v>1624</v>
      </c>
      <c r="S134" t="s">
        <v>1624</v>
      </c>
      <c r="T134" t="s">
        <v>47</v>
      </c>
      <c r="U134" t="s">
        <v>1283</v>
      </c>
      <c r="V134" t="s">
        <v>49</v>
      </c>
      <c r="X134" t="s">
        <v>51</v>
      </c>
      <c r="Y134" t="s">
        <v>1259</v>
      </c>
      <c r="Z134" t="s">
        <v>1259</v>
      </c>
      <c r="AA134" t="s">
        <v>1260</v>
      </c>
      <c r="AB134" s="3">
        <f t="shared" si="16"/>
        <v>1</v>
      </c>
      <c r="AC134">
        <v>32.47</v>
      </c>
      <c r="AD134" s="2">
        <v>32.47</v>
      </c>
      <c r="AE134" s="2">
        <v>14.84</v>
      </c>
      <c r="AF134" s="2">
        <v>0.28999999999999998</v>
      </c>
      <c r="AG134" s="2">
        <v>47.6</v>
      </c>
      <c r="AH134">
        <v>0</v>
      </c>
      <c r="AI134">
        <v>47.6</v>
      </c>
      <c r="AJ134">
        <v>0.23799999999999999</v>
      </c>
      <c r="AK134" t="s">
        <v>54</v>
      </c>
      <c r="AL134">
        <v>0.67</v>
      </c>
      <c r="AM134" s="4">
        <f t="shared" si="17"/>
        <v>47.6</v>
      </c>
      <c r="AN134" s="4">
        <f t="shared" si="18"/>
        <v>60.881249999999994</v>
      </c>
      <c r="AO134" s="4">
        <f t="shared" si="19"/>
        <v>67.639068749999993</v>
      </c>
      <c r="AP134" s="4">
        <f t="shared" si="20"/>
        <v>98.62153687499999</v>
      </c>
      <c r="AQ134" s="10">
        <f t="shared" si="21"/>
        <v>82.78116</v>
      </c>
      <c r="AR134" s="10">
        <f t="shared" si="22"/>
        <v>91.978146875999997</v>
      </c>
      <c r="AS134" s="10">
        <f t="shared" si="23"/>
        <v>128.87370988800001</v>
      </c>
    </row>
    <row r="135" spans="1:45" x14ac:dyDescent="0.3">
      <c r="A135">
        <v>2025</v>
      </c>
      <c r="B135">
        <v>8</v>
      </c>
      <c r="C135" t="s">
        <v>55</v>
      </c>
      <c r="D135">
        <v>10</v>
      </c>
      <c r="E135" t="s">
        <v>36</v>
      </c>
      <c r="F135" t="s">
        <v>37</v>
      </c>
      <c r="G135" t="s">
        <v>38</v>
      </c>
      <c r="H135" t="s">
        <v>78</v>
      </c>
      <c r="I135" t="s">
        <v>190</v>
      </c>
      <c r="J135" t="s">
        <v>58</v>
      </c>
      <c r="K135" t="s">
        <v>59</v>
      </c>
      <c r="L135" t="s">
        <v>1194</v>
      </c>
      <c r="M135" t="s">
        <v>1195</v>
      </c>
      <c r="N135" t="s">
        <v>1196</v>
      </c>
      <c r="O135" t="s">
        <v>1197</v>
      </c>
      <c r="Q135" t="s">
        <v>62</v>
      </c>
      <c r="R135" t="s">
        <v>1198</v>
      </c>
      <c r="S135" t="s">
        <v>1198</v>
      </c>
      <c r="T135" t="s">
        <v>47</v>
      </c>
      <c r="U135" t="s">
        <v>1283</v>
      </c>
      <c r="V135" t="s">
        <v>49</v>
      </c>
      <c r="W135" t="s">
        <v>1284</v>
      </c>
      <c r="X135" t="s">
        <v>388</v>
      </c>
      <c r="Y135" t="s">
        <v>1661</v>
      </c>
      <c r="Z135" t="s">
        <v>1661</v>
      </c>
      <c r="AA135" t="s">
        <v>1662</v>
      </c>
      <c r="AB135" s="3">
        <f t="shared" si="16"/>
        <v>1</v>
      </c>
      <c r="AC135">
        <v>0.43</v>
      </c>
      <c r="AD135" s="2">
        <v>0.43</v>
      </c>
      <c r="AE135" s="2">
        <v>0.6</v>
      </c>
      <c r="AF135" s="2">
        <v>0</v>
      </c>
      <c r="AG135" s="2">
        <v>0.5</v>
      </c>
      <c r="AH135">
        <v>0</v>
      </c>
      <c r="AI135">
        <v>0.5</v>
      </c>
      <c r="AJ135">
        <v>2.5000000000000001E-3</v>
      </c>
      <c r="AK135" t="s">
        <v>54</v>
      </c>
      <c r="AL135">
        <v>0.1</v>
      </c>
      <c r="AM135" s="4">
        <f t="shared" si="17"/>
        <v>0.5</v>
      </c>
      <c r="AN135" s="4">
        <f t="shared" si="18"/>
        <v>0.80625000000000002</v>
      </c>
      <c r="AO135" s="4">
        <f t="shared" si="19"/>
        <v>0.89574375000000006</v>
      </c>
      <c r="AP135" s="4">
        <f t="shared" si="20"/>
        <v>1.3060443749999999</v>
      </c>
      <c r="AQ135" s="10">
        <f t="shared" si="21"/>
        <v>0.86955000000000005</v>
      </c>
      <c r="AR135" s="10">
        <f t="shared" si="22"/>
        <v>0.96615700500000001</v>
      </c>
      <c r="AS135" s="10">
        <f t="shared" si="23"/>
        <v>1.35371544</v>
      </c>
    </row>
    <row r="136" spans="1:45" x14ac:dyDescent="0.3">
      <c r="A136">
        <v>2025</v>
      </c>
      <c r="B136">
        <v>6</v>
      </c>
      <c r="C136" t="s">
        <v>55</v>
      </c>
      <c r="D136">
        <v>10</v>
      </c>
      <c r="E136" t="s">
        <v>36</v>
      </c>
      <c r="F136" t="s">
        <v>37</v>
      </c>
      <c r="G136" t="s">
        <v>38</v>
      </c>
      <c r="H136" t="s">
        <v>739</v>
      </c>
      <c r="I136" t="s">
        <v>190</v>
      </c>
      <c r="J136" t="s">
        <v>58</v>
      </c>
      <c r="K136" t="s">
        <v>59</v>
      </c>
      <c r="M136" t="s">
        <v>730</v>
      </c>
      <c r="N136" t="s">
        <v>731</v>
      </c>
      <c r="O136" t="s">
        <v>36</v>
      </c>
      <c r="Q136" t="s">
        <v>62</v>
      </c>
      <c r="R136" t="s">
        <v>732</v>
      </c>
      <c r="S136" t="s">
        <v>732</v>
      </c>
      <c r="T136" t="s">
        <v>47</v>
      </c>
      <c r="U136" t="s">
        <v>393</v>
      </c>
      <c r="V136" t="s">
        <v>49</v>
      </c>
      <c r="W136" t="s">
        <v>394</v>
      </c>
      <c r="X136" t="s">
        <v>686</v>
      </c>
      <c r="Y136" t="s">
        <v>1285</v>
      </c>
      <c r="Z136" t="s">
        <v>1285</v>
      </c>
      <c r="AA136" t="s">
        <v>1286</v>
      </c>
      <c r="AB136" s="3">
        <f t="shared" si="16"/>
        <v>1</v>
      </c>
      <c r="AC136">
        <v>1.58</v>
      </c>
      <c r="AD136" s="2">
        <v>1.58</v>
      </c>
      <c r="AE136" s="2">
        <v>0.11</v>
      </c>
      <c r="AF136" s="2">
        <v>0.1</v>
      </c>
      <c r="AG136" s="2">
        <v>1.7</v>
      </c>
      <c r="AH136">
        <v>0</v>
      </c>
      <c r="AI136">
        <v>1.7</v>
      </c>
      <c r="AJ136">
        <v>8.5000000000000006E-3</v>
      </c>
      <c r="AK136" t="s">
        <v>54</v>
      </c>
      <c r="AL136">
        <v>0.1</v>
      </c>
      <c r="AM136" s="4">
        <f t="shared" si="17"/>
        <v>1.7</v>
      </c>
      <c r="AN136" s="4">
        <f t="shared" si="18"/>
        <v>2.9625000000000004</v>
      </c>
      <c r="AO136" s="4">
        <f t="shared" si="19"/>
        <v>3.2913375000000005</v>
      </c>
      <c r="AP136" s="4">
        <f t="shared" si="20"/>
        <v>4.7989537499999999</v>
      </c>
      <c r="AQ136" s="10">
        <f t="shared" si="21"/>
        <v>2.9564699999999999</v>
      </c>
      <c r="AR136" s="10">
        <f t="shared" si="22"/>
        <v>3.2849338169999998</v>
      </c>
      <c r="AS136" s="10">
        <f t="shared" si="23"/>
        <v>4.602632496</v>
      </c>
    </row>
    <row r="137" spans="1:45" x14ac:dyDescent="0.3">
      <c r="A137">
        <v>2025</v>
      </c>
      <c r="B137">
        <v>11</v>
      </c>
      <c r="C137" t="s">
        <v>55</v>
      </c>
      <c r="D137">
        <v>10</v>
      </c>
      <c r="E137" t="s">
        <v>36</v>
      </c>
      <c r="F137" t="s">
        <v>37</v>
      </c>
      <c r="G137" t="s">
        <v>38</v>
      </c>
      <c r="H137" t="s">
        <v>101</v>
      </c>
      <c r="I137" t="s">
        <v>190</v>
      </c>
      <c r="J137" t="s">
        <v>58</v>
      </c>
      <c r="K137" t="s">
        <v>59</v>
      </c>
      <c r="L137" t="s">
        <v>1629</v>
      </c>
      <c r="M137" t="s">
        <v>1630</v>
      </c>
      <c r="N137" t="s">
        <v>1485</v>
      </c>
      <c r="O137" t="s">
        <v>1197</v>
      </c>
      <c r="Q137" t="s">
        <v>62</v>
      </c>
      <c r="R137" t="s">
        <v>1631</v>
      </c>
      <c r="S137" t="s">
        <v>1631</v>
      </c>
      <c r="T137" t="s">
        <v>47</v>
      </c>
      <c r="U137" t="s">
        <v>393</v>
      </c>
      <c r="V137" t="s">
        <v>49</v>
      </c>
      <c r="W137" t="s">
        <v>394</v>
      </c>
      <c r="X137" t="s">
        <v>1578</v>
      </c>
      <c r="Y137" t="s">
        <v>740</v>
      </c>
      <c r="Z137" t="s">
        <v>740</v>
      </c>
      <c r="AA137" t="s">
        <v>741</v>
      </c>
      <c r="AB137" s="3">
        <f t="shared" si="16"/>
        <v>1</v>
      </c>
      <c r="AC137">
        <v>3.14</v>
      </c>
      <c r="AD137" s="2">
        <v>3.14</v>
      </c>
      <c r="AE137" s="2">
        <v>0.66</v>
      </c>
      <c r="AF137" s="2">
        <v>0.2</v>
      </c>
      <c r="AG137" s="2">
        <v>3.83</v>
      </c>
      <c r="AH137">
        <v>0</v>
      </c>
      <c r="AI137">
        <v>3.83</v>
      </c>
      <c r="AJ137">
        <v>1.915E-2</v>
      </c>
      <c r="AK137" t="s">
        <v>54</v>
      </c>
      <c r="AL137">
        <v>0.2</v>
      </c>
      <c r="AM137" s="4">
        <f t="shared" si="17"/>
        <v>3.83</v>
      </c>
      <c r="AN137" s="4">
        <f t="shared" si="18"/>
        <v>5.8875000000000002</v>
      </c>
      <c r="AO137" s="4">
        <f t="shared" si="19"/>
        <v>6.5410124999999999</v>
      </c>
      <c r="AP137" s="4">
        <f t="shared" si="20"/>
        <v>9.5371612500000005</v>
      </c>
      <c r="AQ137" s="10">
        <f t="shared" si="21"/>
        <v>6.6607530000000006</v>
      </c>
      <c r="AR137" s="10">
        <f t="shared" si="22"/>
        <v>7.4007626583000006</v>
      </c>
      <c r="AS137" s="10">
        <f t="shared" si="23"/>
        <v>10.369460270400001</v>
      </c>
    </row>
    <row r="138" spans="1:45" x14ac:dyDescent="0.3">
      <c r="A138">
        <v>2025</v>
      </c>
      <c r="B138">
        <v>8</v>
      </c>
      <c r="C138" t="s">
        <v>55</v>
      </c>
      <c r="D138">
        <v>10</v>
      </c>
      <c r="E138" t="s">
        <v>36</v>
      </c>
      <c r="F138" t="s">
        <v>37</v>
      </c>
      <c r="G138" t="s">
        <v>38</v>
      </c>
      <c r="H138" t="s">
        <v>739</v>
      </c>
      <c r="I138" t="s">
        <v>190</v>
      </c>
      <c r="J138" t="s">
        <v>58</v>
      </c>
      <c r="K138" t="s">
        <v>59</v>
      </c>
      <c r="L138" t="s">
        <v>1194</v>
      </c>
      <c r="M138" t="s">
        <v>1195</v>
      </c>
      <c r="N138" t="s">
        <v>1196</v>
      </c>
      <c r="O138" t="s">
        <v>1197</v>
      </c>
      <c r="Q138" t="s">
        <v>62</v>
      </c>
      <c r="R138" t="s">
        <v>1198</v>
      </c>
      <c r="S138" t="s">
        <v>1198</v>
      </c>
      <c r="T138" t="s">
        <v>47</v>
      </c>
      <c r="U138" t="s">
        <v>393</v>
      </c>
      <c r="V138" t="s">
        <v>49</v>
      </c>
      <c r="W138" t="s">
        <v>394</v>
      </c>
      <c r="X138" t="s">
        <v>388</v>
      </c>
      <c r="Y138" t="s">
        <v>1643</v>
      </c>
      <c r="Z138" t="s">
        <v>1643</v>
      </c>
      <c r="AA138" t="s">
        <v>1644</v>
      </c>
      <c r="AB138" s="3">
        <f t="shared" si="16"/>
        <v>4</v>
      </c>
      <c r="AC138">
        <v>42.56</v>
      </c>
      <c r="AD138" s="2">
        <v>10.64</v>
      </c>
      <c r="AE138" s="2">
        <v>11.8</v>
      </c>
      <c r="AF138" s="2">
        <v>0.33</v>
      </c>
      <c r="AG138" s="2">
        <v>53.97</v>
      </c>
      <c r="AH138">
        <v>0</v>
      </c>
      <c r="AI138">
        <v>13.4925</v>
      </c>
      <c r="AJ138">
        <v>0.26984999999999998</v>
      </c>
      <c r="AK138" t="s">
        <v>54</v>
      </c>
      <c r="AL138">
        <v>0.54</v>
      </c>
      <c r="AM138" s="4">
        <f t="shared" si="17"/>
        <v>13.4925</v>
      </c>
      <c r="AN138" s="4">
        <f t="shared" si="18"/>
        <v>19.950000000000003</v>
      </c>
      <c r="AO138" s="4">
        <f t="shared" si="19"/>
        <v>22.164450000000002</v>
      </c>
      <c r="AP138" s="4">
        <f t="shared" si="20"/>
        <v>32.317005000000002</v>
      </c>
      <c r="AQ138" s="10">
        <f t="shared" si="21"/>
        <v>23.464806750000001</v>
      </c>
      <c r="AR138" s="10">
        <f t="shared" si="22"/>
        <v>26.071746779925</v>
      </c>
      <c r="AS138" s="10">
        <f t="shared" si="23"/>
        <v>36.5300111484</v>
      </c>
    </row>
    <row r="139" spans="1:45" x14ac:dyDescent="0.3">
      <c r="A139">
        <v>2025</v>
      </c>
      <c r="B139">
        <v>8</v>
      </c>
      <c r="C139" t="s">
        <v>55</v>
      </c>
      <c r="D139">
        <v>10</v>
      </c>
      <c r="E139" t="s">
        <v>36</v>
      </c>
      <c r="F139" t="s">
        <v>37</v>
      </c>
      <c r="G139" t="s">
        <v>38</v>
      </c>
      <c r="H139" t="s">
        <v>739</v>
      </c>
      <c r="I139" t="s">
        <v>190</v>
      </c>
      <c r="J139" t="s">
        <v>58</v>
      </c>
      <c r="K139" t="s">
        <v>59</v>
      </c>
      <c r="L139" t="s">
        <v>1194</v>
      </c>
      <c r="M139" t="s">
        <v>1195</v>
      </c>
      <c r="N139" t="s">
        <v>1196</v>
      </c>
      <c r="O139" t="s">
        <v>1197</v>
      </c>
      <c r="Q139" t="s">
        <v>62</v>
      </c>
      <c r="R139" t="s">
        <v>1198</v>
      </c>
      <c r="S139" t="s">
        <v>1198</v>
      </c>
      <c r="T139" t="s">
        <v>47</v>
      </c>
      <c r="U139" t="s">
        <v>393</v>
      </c>
      <c r="V139" t="s">
        <v>49</v>
      </c>
      <c r="W139" t="s">
        <v>394</v>
      </c>
      <c r="X139" t="s">
        <v>388</v>
      </c>
      <c r="Y139" t="s">
        <v>1214</v>
      </c>
      <c r="Z139" t="s">
        <v>1214</v>
      </c>
      <c r="AA139" t="s">
        <v>1215</v>
      </c>
      <c r="AB139" s="3">
        <f t="shared" si="16"/>
        <v>1</v>
      </c>
      <c r="AC139">
        <v>3.76</v>
      </c>
      <c r="AD139" s="2">
        <v>3.76</v>
      </c>
      <c r="AE139" s="2">
        <v>0.27</v>
      </c>
      <c r="AF139" s="2">
        <v>0.2</v>
      </c>
      <c r="AG139" s="2">
        <v>4.5999999999999996</v>
      </c>
      <c r="AH139">
        <v>0</v>
      </c>
      <c r="AI139">
        <v>4.5999999999999996</v>
      </c>
      <c r="AJ139">
        <v>2.3E-2</v>
      </c>
      <c r="AK139" t="s">
        <v>54</v>
      </c>
      <c r="AL139">
        <v>0.3</v>
      </c>
      <c r="AM139" s="4">
        <f t="shared" si="17"/>
        <v>4.5999999999999996</v>
      </c>
      <c r="AN139" s="4">
        <f t="shared" si="18"/>
        <v>7.05</v>
      </c>
      <c r="AO139" s="4">
        <f t="shared" si="19"/>
        <v>7.8325499999999995</v>
      </c>
      <c r="AP139" s="4">
        <f t="shared" si="20"/>
        <v>11.420294999999999</v>
      </c>
      <c r="AQ139" s="10">
        <f t="shared" si="21"/>
        <v>7.99986</v>
      </c>
      <c r="AR139" s="10">
        <f t="shared" si="22"/>
        <v>8.8886444459999989</v>
      </c>
      <c r="AS139" s="10">
        <f t="shared" si="23"/>
        <v>12.454182048</v>
      </c>
    </row>
    <row r="140" spans="1:45" x14ac:dyDescent="0.3">
      <c r="A140">
        <v>2025</v>
      </c>
      <c r="B140">
        <v>8</v>
      </c>
      <c r="C140" t="s">
        <v>55</v>
      </c>
      <c r="D140">
        <v>10</v>
      </c>
      <c r="E140" t="s">
        <v>36</v>
      </c>
      <c r="F140" t="s">
        <v>37</v>
      </c>
      <c r="G140" t="s">
        <v>38</v>
      </c>
      <c r="H140" t="s">
        <v>739</v>
      </c>
      <c r="I140" t="s">
        <v>190</v>
      </c>
      <c r="J140" t="s">
        <v>58</v>
      </c>
      <c r="K140" t="s">
        <v>59</v>
      </c>
      <c r="L140" t="s">
        <v>1194</v>
      </c>
      <c r="M140" t="s">
        <v>1195</v>
      </c>
      <c r="N140" t="s">
        <v>1196</v>
      </c>
      <c r="O140" t="s">
        <v>1197</v>
      </c>
      <c r="Q140" t="s">
        <v>62</v>
      </c>
      <c r="R140" t="s">
        <v>1198</v>
      </c>
      <c r="S140" t="s">
        <v>1198</v>
      </c>
      <c r="T140" t="s">
        <v>47</v>
      </c>
      <c r="U140" t="s">
        <v>393</v>
      </c>
      <c r="V140" t="s">
        <v>49</v>
      </c>
      <c r="W140" t="s">
        <v>394</v>
      </c>
      <c r="X140" t="s">
        <v>388</v>
      </c>
      <c r="Y140" t="s">
        <v>1216</v>
      </c>
      <c r="Z140" t="s">
        <v>1216</v>
      </c>
      <c r="AA140" t="s">
        <v>1217</v>
      </c>
      <c r="AB140" s="3">
        <f t="shared" si="16"/>
        <v>1</v>
      </c>
      <c r="AC140">
        <v>1.64</v>
      </c>
      <c r="AD140" s="2">
        <v>1.64</v>
      </c>
      <c r="AE140" s="2">
        <v>0.12</v>
      </c>
      <c r="AF140" s="2">
        <v>0.1</v>
      </c>
      <c r="AG140" s="2">
        <v>1.77</v>
      </c>
      <c r="AH140">
        <v>0</v>
      </c>
      <c r="AI140">
        <v>1.77</v>
      </c>
      <c r="AJ140">
        <v>8.8500000000000002E-3</v>
      </c>
      <c r="AK140" t="s">
        <v>54</v>
      </c>
      <c r="AL140">
        <v>0.1</v>
      </c>
      <c r="AM140" s="4">
        <f t="shared" si="17"/>
        <v>1.77</v>
      </c>
      <c r="AN140" s="4">
        <f t="shared" si="18"/>
        <v>3.0749999999999997</v>
      </c>
      <c r="AO140" s="4">
        <f t="shared" si="19"/>
        <v>3.4163249999999996</v>
      </c>
      <c r="AP140" s="4">
        <f t="shared" si="20"/>
        <v>4.9811924999999997</v>
      </c>
      <c r="AQ140" s="10">
        <f t="shared" si="21"/>
        <v>3.0782070000000004</v>
      </c>
      <c r="AR140" s="10">
        <f t="shared" si="22"/>
        <v>3.4201957977000004</v>
      </c>
      <c r="AS140" s="10">
        <f t="shared" si="23"/>
        <v>4.7921526576000009</v>
      </c>
    </row>
    <row r="141" spans="1:45" x14ac:dyDescent="0.3">
      <c r="A141">
        <v>2025</v>
      </c>
      <c r="B141">
        <v>8</v>
      </c>
      <c r="C141" t="s">
        <v>55</v>
      </c>
      <c r="D141">
        <v>10</v>
      </c>
      <c r="E141" t="s">
        <v>36</v>
      </c>
      <c r="F141" t="s">
        <v>37</v>
      </c>
      <c r="G141" t="s">
        <v>38</v>
      </c>
      <c r="H141" t="s">
        <v>739</v>
      </c>
      <c r="I141" t="s">
        <v>190</v>
      </c>
      <c r="J141" t="s">
        <v>58</v>
      </c>
      <c r="K141" t="s">
        <v>59</v>
      </c>
      <c r="L141" t="s">
        <v>1194</v>
      </c>
      <c r="M141" t="s">
        <v>1195</v>
      </c>
      <c r="N141" t="s">
        <v>1196</v>
      </c>
      <c r="O141" t="s">
        <v>1197</v>
      </c>
      <c r="Q141" t="s">
        <v>62</v>
      </c>
      <c r="R141" t="s">
        <v>1198</v>
      </c>
      <c r="S141" t="s">
        <v>1198</v>
      </c>
      <c r="T141" t="s">
        <v>47</v>
      </c>
      <c r="U141" t="s">
        <v>393</v>
      </c>
      <c r="V141" t="s">
        <v>49</v>
      </c>
      <c r="W141" t="s">
        <v>394</v>
      </c>
      <c r="X141" t="s">
        <v>388</v>
      </c>
      <c r="Y141" t="s">
        <v>1220</v>
      </c>
      <c r="Z141" t="s">
        <v>1220</v>
      </c>
      <c r="AA141" t="s">
        <v>1221</v>
      </c>
      <c r="AB141" s="3">
        <f t="shared" si="16"/>
        <v>2.9999999999999698</v>
      </c>
      <c r="AC141">
        <v>9.92</v>
      </c>
      <c r="AD141" s="2">
        <v>3.3066666666666999</v>
      </c>
      <c r="AE141" s="2">
        <v>0.71</v>
      </c>
      <c r="AF141" s="2">
        <v>0.6</v>
      </c>
      <c r="AG141" s="2">
        <v>10.7</v>
      </c>
      <c r="AH141">
        <v>0</v>
      </c>
      <c r="AI141">
        <v>3.5666666666667002</v>
      </c>
      <c r="AJ141">
        <v>5.3499999999999999E-2</v>
      </c>
      <c r="AK141" t="s">
        <v>54</v>
      </c>
      <c r="AL141">
        <v>0.8</v>
      </c>
      <c r="AM141" s="4">
        <f t="shared" si="17"/>
        <v>3.5666666666667024</v>
      </c>
      <c r="AN141" s="4">
        <f t="shared" si="18"/>
        <v>6.2000000000000624</v>
      </c>
      <c r="AO141" s="4">
        <f t="shared" si="19"/>
        <v>6.8882000000000696</v>
      </c>
      <c r="AP141" s="4">
        <f t="shared" si="20"/>
        <v>10.0433800000001</v>
      </c>
      <c r="AQ141" s="10">
        <f t="shared" si="21"/>
        <v>6.2027900000000624</v>
      </c>
      <c r="AR141" s="10">
        <f t="shared" si="22"/>
        <v>6.8919199690000692</v>
      </c>
      <c r="AS141" s="10">
        <f t="shared" si="23"/>
        <v>9.6565034720000966</v>
      </c>
    </row>
    <row r="142" spans="1:45" x14ac:dyDescent="0.3">
      <c r="A142">
        <v>2025</v>
      </c>
      <c r="B142">
        <v>8</v>
      </c>
      <c r="C142" t="s">
        <v>55</v>
      </c>
      <c r="D142">
        <v>10</v>
      </c>
      <c r="E142" t="s">
        <v>36</v>
      </c>
      <c r="F142" t="s">
        <v>37</v>
      </c>
      <c r="G142" t="s">
        <v>38</v>
      </c>
      <c r="H142" t="s">
        <v>739</v>
      </c>
      <c r="I142" t="s">
        <v>190</v>
      </c>
      <c r="J142" t="s">
        <v>58</v>
      </c>
      <c r="K142" t="s">
        <v>59</v>
      </c>
      <c r="L142" t="s">
        <v>1194</v>
      </c>
      <c r="M142" t="s">
        <v>1195</v>
      </c>
      <c r="N142" t="s">
        <v>1196</v>
      </c>
      <c r="O142" t="s">
        <v>1197</v>
      </c>
      <c r="Q142" t="s">
        <v>62</v>
      </c>
      <c r="R142" t="s">
        <v>1198</v>
      </c>
      <c r="S142" t="s">
        <v>1198</v>
      </c>
      <c r="T142" t="s">
        <v>47</v>
      </c>
      <c r="U142" t="s">
        <v>393</v>
      </c>
      <c r="V142" t="s">
        <v>49</v>
      </c>
      <c r="W142" t="s">
        <v>394</v>
      </c>
      <c r="X142" t="s">
        <v>388</v>
      </c>
      <c r="Y142" t="s">
        <v>1224</v>
      </c>
      <c r="Z142" t="s">
        <v>1224</v>
      </c>
      <c r="AA142" t="s">
        <v>1225</v>
      </c>
      <c r="AB142" s="3">
        <f t="shared" si="16"/>
        <v>3.0000000000000266</v>
      </c>
      <c r="AC142">
        <v>11.32</v>
      </c>
      <c r="AD142" s="2">
        <v>3.7733333333333001</v>
      </c>
      <c r="AE142" s="2">
        <v>0.81</v>
      </c>
      <c r="AF142" s="2">
        <v>0.7</v>
      </c>
      <c r="AG142" s="2">
        <v>12.2</v>
      </c>
      <c r="AH142">
        <v>0</v>
      </c>
      <c r="AI142">
        <v>4.0666666666667002</v>
      </c>
      <c r="AJ142">
        <v>6.0999999999999999E-2</v>
      </c>
      <c r="AK142" t="s">
        <v>54</v>
      </c>
      <c r="AL142">
        <v>0.1</v>
      </c>
      <c r="AM142" s="4">
        <f t="shared" si="17"/>
        <v>4.06666666666663</v>
      </c>
      <c r="AN142" s="4">
        <f t="shared" si="18"/>
        <v>7.074999999999938</v>
      </c>
      <c r="AO142" s="4">
        <f t="shared" si="19"/>
        <v>7.8603249999999312</v>
      </c>
      <c r="AP142" s="4">
        <f t="shared" si="20"/>
        <v>11.460792499999899</v>
      </c>
      <c r="AQ142" s="10">
        <f t="shared" si="21"/>
        <v>7.0723399999999366</v>
      </c>
      <c r="AR142" s="10">
        <f t="shared" si="22"/>
        <v>7.8580769739999292</v>
      </c>
      <c r="AS142" s="10">
        <f t="shared" si="23"/>
        <v>11.010218911999901</v>
      </c>
    </row>
    <row r="143" spans="1:45" x14ac:dyDescent="0.3">
      <c r="A143">
        <v>2025</v>
      </c>
      <c r="B143">
        <v>8</v>
      </c>
      <c r="C143" t="s">
        <v>55</v>
      </c>
      <c r="D143">
        <v>10</v>
      </c>
      <c r="E143" t="s">
        <v>36</v>
      </c>
      <c r="F143" t="s">
        <v>37</v>
      </c>
      <c r="G143" t="s">
        <v>38</v>
      </c>
      <c r="H143" t="s">
        <v>341</v>
      </c>
      <c r="I143" t="s">
        <v>190</v>
      </c>
      <c r="J143" t="s">
        <v>58</v>
      </c>
      <c r="K143" t="s">
        <v>59</v>
      </c>
      <c r="L143" t="s">
        <v>1194</v>
      </c>
      <c r="M143" t="s">
        <v>1195</v>
      </c>
      <c r="N143" t="s">
        <v>1196</v>
      </c>
      <c r="O143" t="s">
        <v>1197</v>
      </c>
      <c r="Q143" t="s">
        <v>62</v>
      </c>
      <c r="R143" t="s">
        <v>1198</v>
      </c>
      <c r="S143" t="s">
        <v>1198</v>
      </c>
      <c r="T143" t="s">
        <v>47</v>
      </c>
      <c r="U143" t="s">
        <v>84</v>
      </c>
      <c r="V143" t="s">
        <v>49</v>
      </c>
      <c r="W143" t="s">
        <v>85</v>
      </c>
      <c r="X143" t="s">
        <v>388</v>
      </c>
      <c r="Y143" t="s">
        <v>1218</v>
      </c>
      <c r="Z143" t="s">
        <v>1218</v>
      </c>
      <c r="AA143" t="s">
        <v>1219</v>
      </c>
      <c r="AB143" s="3">
        <f t="shared" si="16"/>
        <v>1</v>
      </c>
      <c r="AC143">
        <v>3.53</v>
      </c>
      <c r="AD143" s="2">
        <v>3.53</v>
      </c>
      <c r="AE143" s="2">
        <v>0.25</v>
      </c>
      <c r="AF143" s="2">
        <v>0.2</v>
      </c>
      <c r="AG143" s="2">
        <v>3.81</v>
      </c>
      <c r="AH143">
        <v>0</v>
      </c>
      <c r="AI143">
        <v>3.81</v>
      </c>
      <c r="AJ143">
        <v>1.9050000000000001E-2</v>
      </c>
      <c r="AK143" t="s">
        <v>54</v>
      </c>
      <c r="AL143">
        <v>0.3</v>
      </c>
      <c r="AM143" s="4">
        <f t="shared" si="17"/>
        <v>3.81</v>
      </c>
      <c r="AN143" s="4">
        <f t="shared" si="18"/>
        <v>6.6187499999999995</v>
      </c>
      <c r="AO143" s="4">
        <f t="shared" si="19"/>
        <v>7.353431249999999</v>
      </c>
      <c r="AP143" s="4">
        <f t="shared" si="20"/>
        <v>10.721713124999999</v>
      </c>
      <c r="AQ143" s="10">
        <f t="shared" si="21"/>
        <v>6.6259710000000007</v>
      </c>
      <c r="AR143" s="10">
        <f t="shared" si="22"/>
        <v>7.3621163781000005</v>
      </c>
      <c r="AS143" s="10">
        <f t="shared" si="23"/>
        <v>10.3153116528</v>
      </c>
    </row>
    <row r="144" spans="1:45" x14ac:dyDescent="0.3">
      <c r="A144">
        <v>2025</v>
      </c>
      <c r="B144">
        <v>7</v>
      </c>
      <c r="C144" t="s">
        <v>55</v>
      </c>
      <c r="D144">
        <v>10</v>
      </c>
      <c r="E144" t="s">
        <v>36</v>
      </c>
      <c r="F144" t="s">
        <v>37</v>
      </c>
      <c r="G144" t="s">
        <v>38</v>
      </c>
      <c r="H144" t="s">
        <v>341</v>
      </c>
      <c r="I144" t="s">
        <v>190</v>
      </c>
      <c r="J144" t="s">
        <v>58</v>
      </c>
      <c r="K144" t="s">
        <v>41</v>
      </c>
      <c r="L144" t="s">
        <v>953</v>
      </c>
      <c r="M144" t="s">
        <v>954</v>
      </c>
      <c r="N144" t="s">
        <v>731</v>
      </c>
      <c r="O144" t="s">
        <v>36</v>
      </c>
      <c r="Q144" t="s">
        <v>62</v>
      </c>
      <c r="R144" t="s">
        <v>955</v>
      </c>
      <c r="S144" t="s">
        <v>956</v>
      </c>
      <c r="T144" t="s">
        <v>47</v>
      </c>
      <c r="U144" t="s">
        <v>84</v>
      </c>
      <c r="V144" t="s">
        <v>49</v>
      </c>
      <c r="W144" t="s">
        <v>85</v>
      </c>
      <c r="X144" t="s">
        <v>51</v>
      </c>
      <c r="Y144" t="s">
        <v>1246</v>
      </c>
      <c r="Z144" t="s">
        <v>1246</v>
      </c>
      <c r="AA144" t="s">
        <v>1247</v>
      </c>
      <c r="AB144" s="3">
        <f t="shared" si="16"/>
        <v>1</v>
      </c>
      <c r="AC144">
        <v>4.49</v>
      </c>
      <c r="AD144" s="2">
        <v>4.49</v>
      </c>
      <c r="AE144" s="2">
        <v>0.32</v>
      </c>
      <c r="AF144" s="2">
        <v>0.3</v>
      </c>
      <c r="AG144" s="2">
        <v>4.84</v>
      </c>
      <c r="AH144">
        <v>0</v>
      </c>
      <c r="AI144">
        <v>4.84</v>
      </c>
      <c r="AJ144">
        <v>2.4199999999999999E-2</v>
      </c>
      <c r="AK144" t="s">
        <v>54</v>
      </c>
      <c r="AL144">
        <v>0.4</v>
      </c>
      <c r="AM144" s="4">
        <f t="shared" si="17"/>
        <v>4.84</v>
      </c>
      <c r="AN144" s="4">
        <f t="shared" si="18"/>
        <v>8.4187500000000011</v>
      </c>
      <c r="AO144" s="4">
        <f t="shared" si="19"/>
        <v>9.3532312500000003</v>
      </c>
      <c r="AP144" s="4">
        <f t="shared" si="20"/>
        <v>13.637533125000001</v>
      </c>
      <c r="AQ144" s="10">
        <f t="shared" si="21"/>
        <v>8.4172440000000002</v>
      </c>
      <c r="AR144" s="10">
        <f t="shared" si="22"/>
        <v>9.3523998083999995</v>
      </c>
      <c r="AS144" s="10">
        <f t="shared" si="23"/>
        <v>13.103965459199999</v>
      </c>
    </row>
    <row r="145" spans="1:45" x14ac:dyDescent="0.3">
      <c r="A145">
        <v>2025</v>
      </c>
      <c r="B145">
        <v>12</v>
      </c>
      <c r="C145" t="s">
        <v>55</v>
      </c>
      <c r="D145">
        <v>10</v>
      </c>
      <c r="E145" t="s">
        <v>36</v>
      </c>
      <c r="F145" t="s">
        <v>37</v>
      </c>
      <c r="G145" t="s">
        <v>38</v>
      </c>
      <c r="H145" t="s">
        <v>739</v>
      </c>
      <c r="I145" t="s">
        <v>57</v>
      </c>
      <c r="J145" t="s">
        <v>58</v>
      </c>
      <c r="K145" t="s">
        <v>59</v>
      </c>
      <c r="L145" t="s">
        <v>1769</v>
      </c>
      <c r="M145" t="s">
        <v>1770</v>
      </c>
      <c r="N145" t="s">
        <v>1771</v>
      </c>
      <c r="O145" t="s">
        <v>1197</v>
      </c>
      <c r="Q145" t="s">
        <v>62</v>
      </c>
      <c r="R145" t="s">
        <v>1772</v>
      </c>
      <c r="S145" t="s">
        <v>1772</v>
      </c>
      <c r="T145" t="s">
        <v>47</v>
      </c>
      <c r="U145" t="s">
        <v>393</v>
      </c>
      <c r="V145" t="s">
        <v>49</v>
      </c>
      <c r="W145" t="s">
        <v>394</v>
      </c>
      <c r="X145" t="s">
        <v>51</v>
      </c>
      <c r="Y145" t="s">
        <v>1008</v>
      </c>
      <c r="Z145" t="s">
        <v>1008</v>
      </c>
      <c r="AA145" t="s">
        <v>1009</v>
      </c>
      <c r="AB145" s="3">
        <f t="shared" si="16"/>
        <v>1</v>
      </c>
      <c r="AC145">
        <v>7.64</v>
      </c>
      <c r="AD145" s="2">
        <v>7.64</v>
      </c>
      <c r="AE145" s="2">
        <v>29.4</v>
      </c>
      <c r="AF145" s="2">
        <v>0.3</v>
      </c>
      <c r="AG145" s="2">
        <v>36.71</v>
      </c>
      <c r="AH145">
        <v>0</v>
      </c>
      <c r="AI145">
        <v>36.71</v>
      </c>
      <c r="AJ145">
        <v>0.18354999999999999</v>
      </c>
      <c r="AK145" t="s">
        <v>54</v>
      </c>
      <c r="AL145">
        <v>2.17</v>
      </c>
      <c r="AM145" s="4">
        <f t="shared" si="17"/>
        <v>36.71</v>
      </c>
      <c r="AN145" s="4">
        <f t="shared" si="18"/>
        <v>14.324999999999999</v>
      </c>
      <c r="AO145" s="4">
        <f t="shared" si="19"/>
        <v>15.915075</v>
      </c>
      <c r="AP145" s="4">
        <f t="shared" si="20"/>
        <v>23.205067499999998</v>
      </c>
      <c r="AQ145" s="10">
        <f t="shared" si="21"/>
        <v>63.842361000000004</v>
      </c>
      <c r="AR145" s="10">
        <f t="shared" si="22"/>
        <v>70.935247307099999</v>
      </c>
      <c r="AS145" s="10">
        <f t="shared" si="23"/>
        <v>99.389787604800006</v>
      </c>
    </row>
    <row r="146" spans="1:45" x14ac:dyDescent="0.3">
      <c r="A146">
        <v>2025</v>
      </c>
      <c r="B146">
        <v>12</v>
      </c>
      <c r="C146" t="s">
        <v>55</v>
      </c>
      <c r="D146">
        <v>10</v>
      </c>
      <c r="E146" t="s">
        <v>36</v>
      </c>
      <c r="F146" t="s">
        <v>37</v>
      </c>
      <c r="G146" t="s">
        <v>38</v>
      </c>
      <c r="H146" t="s">
        <v>739</v>
      </c>
      <c r="I146" t="s">
        <v>57</v>
      </c>
      <c r="J146" t="s">
        <v>58</v>
      </c>
      <c r="K146" t="s">
        <v>59</v>
      </c>
      <c r="L146" t="s">
        <v>1769</v>
      </c>
      <c r="M146" t="s">
        <v>1770</v>
      </c>
      <c r="N146" t="s">
        <v>1771</v>
      </c>
      <c r="O146" t="s">
        <v>1197</v>
      </c>
      <c r="Q146" t="s">
        <v>62</v>
      </c>
      <c r="R146" t="s">
        <v>1772</v>
      </c>
      <c r="S146" t="s">
        <v>1772</v>
      </c>
      <c r="T146" t="s">
        <v>47</v>
      </c>
      <c r="U146" t="s">
        <v>393</v>
      </c>
      <c r="V146" t="s">
        <v>49</v>
      </c>
      <c r="W146" t="s">
        <v>394</v>
      </c>
      <c r="X146" t="s">
        <v>51</v>
      </c>
      <c r="Y146" t="s">
        <v>1777</v>
      </c>
      <c r="Z146" t="s">
        <v>1777</v>
      </c>
      <c r="AA146" t="s">
        <v>1778</v>
      </c>
      <c r="AB146" s="3">
        <f t="shared" si="16"/>
        <v>2</v>
      </c>
      <c r="AC146">
        <v>2.33</v>
      </c>
      <c r="AD146" s="2">
        <v>1.165</v>
      </c>
      <c r="AE146" s="2">
        <v>0.69</v>
      </c>
      <c r="AF146" s="2">
        <v>0.2</v>
      </c>
      <c r="AG146" s="2">
        <v>3.4</v>
      </c>
      <c r="AH146">
        <v>0</v>
      </c>
      <c r="AI146">
        <v>1.7</v>
      </c>
      <c r="AJ146">
        <v>1.7000000000000001E-2</v>
      </c>
      <c r="AK146" t="s">
        <v>54</v>
      </c>
      <c r="AL146">
        <v>0.2</v>
      </c>
      <c r="AM146" s="4">
        <f t="shared" si="17"/>
        <v>1.7</v>
      </c>
      <c r="AN146" s="4">
        <f t="shared" si="18"/>
        <v>2.1843750000000002</v>
      </c>
      <c r="AO146" s="4">
        <f t="shared" si="19"/>
        <v>2.4268406250000001</v>
      </c>
      <c r="AP146" s="4">
        <f t="shared" si="20"/>
        <v>3.5384690624999999</v>
      </c>
      <c r="AQ146" s="10">
        <f t="shared" si="21"/>
        <v>2.9564699999999999</v>
      </c>
      <c r="AR146" s="10">
        <f t="shared" si="22"/>
        <v>3.2849338169999998</v>
      </c>
      <c r="AS146" s="10">
        <f t="shared" si="23"/>
        <v>4.602632496</v>
      </c>
    </row>
    <row r="147" spans="1:45" x14ac:dyDescent="0.3">
      <c r="A147">
        <v>2025</v>
      </c>
      <c r="B147">
        <v>8</v>
      </c>
      <c r="C147" t="s">
        <v>55</v>
      </c>
      <c r="D147">
        <v>10</v>
      </c>
      <c r="E147" t="s">
        <v>36</v>
      </c>
      <c r="F147" t="s">
        <v>37</v>
      </c>
      <c r="G147" t="s">
        <v>38</v>
      </c>
      <c r="H147" t="s">
        <v>739</v>
      </c>
      <c r="I147" t="s">
        <v>190</v>
      </c>
      <c r="J147" t="s">
        <v>58</v>
      </c>
      <c r="K147" t="s">
        <v>59</v>
      </c>
      <c r="L147" t="s">
        <v>1194</v>
      </c>
      <c r="M147" t="s">
        <v>1195</v>
      </c>
      <c r="N147" t="s">
        <v>1196</v>
      </c>
      <c r="O147" t="s">
        <v>1197</v>
      </c>
      <c r="Q147" t="s">
        <v>62</v>
      </c>
      <c r="R147" t="s">
        <v>1198</v>
      </c>
      <c r="S147" t="s">
        <v>1198</v>
      </c>
      <c r="T147" t="s">
        <v>47</v>
      </c>
      <c r="U147" t="s">
        <v>393</v>
      </c>
      <c r="V147" t="s">
        <v>49</v>
      </c>
      <c r="W147" t="s">
        <v>394</v>
      </c>
      <c r="X147" t="s">
        <v>388</v>
      </c>
      <c r="Y147" t="s">
        <v>1777</v>
      </c>
      <c r="Z147" t="s">
        <v>1777</v>
      </c>
      <c r="AA147" t="s">
        <v>1778</v>
      </c>
      <c r="AB147" s="3">
        <f t="shared" si="16"/>
        <v>2</v>
      </c>
      <c r="AC147">
        <v>2.33</v>
      </c>
      <c r="AD147" s="2">
        <v>1.165</v>
      </c>
      <c r="AE147" s="2">
        <v>0.69</v>
      </c>
      <c r="AF147" s="2">
        <v>0.2</v>
      </c>
      <c r="AG147" s="2">
        <v>3.4</v>
      </c>
      <c r="AH147">
        <v>0</v>
      </c>
      <c r="AI147">
        <v>1.7</v>
      </c>
      <c r="AJ147">
        <v>1.7000000000000001E-2</v>
      </c>
      <c r="AK147" t="s">
        <v>54</v>
      </c>
      <c r="AL147">
        <v>0.2</v>
      </c>
      <c r="AM147" s="4">
        <f t="shared" si="17"/>
        <v>1.7</v>
      </c>
      <c r="AN147" s="4">
        <f t="shared" si="18"/>
        <v>2.1843750000000002</v>
      </c>
      <c r="AO147" s="4">
        <f t="shared" si="19"/>
        <v>2.4268406250000001</v>
      </c>
      <c r="AP147" s="4">
        <f t="shared" si="20"/>
        <v>3.5384690624999999</v>
      </c>
      <c r="AQ147" s="10">
        <f t="shared" si="21"/>
        <v>2.9564699999999999</v>
      </c>
      <c r="AR147" s="10">
        <f t="shared" si="22"/>
        <v>3.2849338169999998</v>
      </c>
      <c r="AS147" s="10">
        <f t="shared" si="23"/>
        <v>4.602632496</v>
      </c>
    </row>
    <row r="148" spans="1:45" x14ac:dyDescent="0.3">
      <c r="A148">
        <v>2025</v>
      </c>
      <c r="B148">
        <v>8</v>
      </c>
      <c r="C148" t="s">
        <v>55</v>
      </c>
      <c r="D148">
        <v>10</v>
      </c>
      <c r="E148" t="s">
        <v>36</v>
      </c>
      <c r="F148" t="s">
        <v>37</v>
      </c>
      <c r="G148" t="s">
        <v>38</v>
      </c>
      <c r="H148" t="s">
        <v>739</v>
      </c>
      <c r="I148" t="s">
        <v>190</v>
      </c>
      <c r="J148" t="s">
        <v>58</v>
      </c>
      <c r="K148" t="s">
        <v>59</v>
      </c>
      <c r="L148" t="s">
        <v>1194</v>
      </c>
      <c r="M148" t="s">
        <v>1195</v>
      </c>
      <c r="N148" t="s">
        <v>1196</v>
      </c>
      <c r="O148" t="s">
        <v>1197</v>
      </c>
      <c r="Q148" t="s">
        <v>62</v>
      </c>
      <c r="R148" t="s">
        <v>1198</v>
      </c>
      <c r="S148" t="s">
        <v>1198</v>
      </c>
      <c r="T148" t="s">
        <v>47</v>
      </c>
      <c r="U148" t="s">
        <v>393</v>
      </c>
      <c r="V148" t="s">
        <v>49</v>
      </c>
      <c r="W148" t="s">
        <v>394</v>
      </c>
      <c r="X148" t="s">
        <v>388</v>
      </c>
      <c r="Y148" t="s">
        <v>1226</v>
      </c>
      <c r="Z148" t="s">
        <v>1226</v>
      </c>
      <c r="AA148" t="s">
        <v>1227</v>
      </c>
      <c r="AB148" s="3">
        <f t="shared" si="16"/>
        <v>6.9999999999999627</v>
      </c>
      <c r="AC148">
        <v>18.8</v>
      </c>
      <c r="AD148" s="2">
        <v>2.6857142857143002</v>
      </c>
      <c r="AE148" s="2">
        <v>1.3</v>
      </c>
      <c r="AF148" s="2">
        <v>0.12</v>
      </c>
      <c r="AG148" s="2">
        <v>19.5</v>
      </c>
      <c r="AH148">
        <v>0</v>
      </c>
      <c r="AI148">
        <v>2.7857142857142998</v>
      </c>
      <c r="AJ148">
        <v>9.7500000000000003E-2</v>
      </c>
      <c r="AK148" t="s">
        <v>54</v>
      </c>
      <c r="AL148">
        <v>0.15</v>
      </c>
      <c r="AM148" s="4">
        <f t="shared" si="17"/>
        <v>2.7857142857143007</v>
      </c>
      <c r="AN148" s="4">
        <f t="shared" si="18"/>
        <v>5.0357142857143131</v>
      </c>
      <c r="AO148" s="4">
        <f t="shared" si="19"/>
        <v>5.5946785714286023</v>
      </c>
      <c r="AP148" s="4">
        <f t="shared" si="20"/>
        <v>8.1573535714286152</v>
      </c>
      <c r="AQ148" s="10">
        <f t="shared" si="21"/>
        <v>4.8446357142857401</v>
      </c>
      <c r="AR148" s="10">
        <f t="shared" si="22"/>
        <v>5.382874742142886</v>
      </c>
      <c r="AS148" s="10">
        <f t="shared" si="23"/>
        <v>7.5421288800000399</v>
      </c>
    </row>
    <row r="149" spans="1:45" x14ac:dyDescent="0.3">
      <c r="A149">
        <v>2025</v>
      </c>
      <c r="B149">
        <v>4</v>
      </c>
      <c r="C149" t="s">
        <v>55</v>
      </c>
      <c r="D149">
        <v>10</v>
      </c>
      <c r="E149" t="s">
        <v>36</v>
      </c>
      <c r="F149" t="s">
        <v>37</v>
      </c>
      <c r="G149" t="s">
        <v>38</v>
      </c>
      <c r="H149" t="s">
        <v>101</v>
      </c>
      <c r="I149" t="s">
        <v>375</v>
      </c>
      <c r="J149" t="s">
        <v>376</v>
      </c>
      <c r="K149" t="s">
        <v>59</v>
      </c>
      <c r="M149">
        <v>2503061</v>
      </c>
      <c r="N149" t="s">
        <v>377</v>
      </c>
      <c r="O149" t="s">
        <v>36</v>
      </c>
      <c r="Q149" t="s">
        <v>62</v>
      </c>
      <c r="R149" t="s">
        <v>378</v>
      </c>
      <c r="S149" t="s">
        <v>378</v>
      </c>
      <c r="T149" t="s">
        <v>47</v>
      </c>
      <c r="U149" t="s">
        <v>84</v>
      </c>
      <c r="V149" t="s">
        <v>49</v>
      </c>
      <c r="W149" t="s">
        <v>85</v>
      </c>
      <c r="X149" t="s">
        <v>51</v>
      </c>
      <c r="Y149" t="s">
        <v>1222</v>
      </c>
      <c r="Z149" t="s">
        <v>1222</v>
      </c>
      <c r="AA149" t="s">
        <v>1223</v>
      </c>
      <c r="AB149" s="3">
        <f t="shared" si="16"/>
        <v>1</v>
      </c>
      <c r="AC149">
        <v>8.36</v>
      </c>
      <c r="AD149" s="2">
        <v>8.36</v>
      </c>
      <c r="AE149" s="2">
        <v>0.6</v>
      </c>
      <c r="AF149" s="2">
        <v>0.5</v>
      </c>
      <c r="AG149" s="2">
        <v>9.1</v>
      </c>
      <c r="AH149">
        <v>0</v>
      </c>
      <c r="AI149">
        <v>9.1</v>
      </c>
      <c r="AJ149">
        <v>4.5499999999999999E-2</v>
      </c>
      <c r="AK149" t="s">
        <v>54</v>
      </c>
      <c r="AL149">
        <v>0.7</v>
      </c>
      <c r="AM149" s="4">
        <f t="shared" si="17"/>
        <v>9.1</v>
      </c>
      <c r="AN149" s="4">
        <f t="shared" si="18"/>
        <v>15.674999999999999</v>
      </c>
      <c r="AO149" s="4">
        <f t="shared" si="19"/>
        <v>17.414925</v>
      </c>
      <c r="AP149" s="4">
        <f t="shared" si="20"/>
        <v>25.391932499999996</v>
      </c>
      <c r="AQ149" s="10">
        <f t="shared" si="21"/>
        <v>15.825810000000001</v>
      </c>
      <c r="AR149" s="10">
        <f t="shared" si="22"/>
        <v>17.584057490999999</v>
      </c>
      <c r="AS149" s="10">
        <f t="shared" si="23"/>
        <v>24.637621008</v>
      </c>
    </row>
    <row r="150" spans="1:45" x14ac:dyDescent="0.3">
      <c r="A150">
        <v>2025</v>
      </c>
      <c r="B150">
        <v>7</v>
      </c>
      <c r="C150" t="s">
        <v>55</v>
      </c>
      <c r="D150">
        <v>10</v>
      </c>
      <c r="E150" t="s">
        <v>36</v>
      </c>
      <c r="F150" t="s">
        <v>37</v>
      </c>
      <c r="G150" t="s">
        <v>38</v>
      </c>
      <c r="H150" t="s">
        <v>739</v>
      </c>
      <c r="I150" t="s">
        <v>190</v>
      </c>
      <c r="J150" t="s">
        <v>58</v>
      </c>
      <c r="K150" t="s">
        <v>41</v>
      </c>
      <c r="L150" t="s">
        <v>953</v>
      </c>
      <c r="M150" t="s">
        <v>954</v>
      </c>
      <c r="N150" t="s">
        <v>731</v>
      </c>
      <c r="O150" t="s">
        <v>36</v>
      </c>
      <c r="Q150" t="s">
        <v>62</v>
      </c>
      <c r="R150" t="s">
        <v>955</v>
      </c>
      <c r="S150" t="s">
        <v>956</v>
      </c>
      <c r="T150" t="s">
        <v>47</v>
      </c>
      <c r="U150" t="s">
        <v>393</v>
      </c>
      <c r="V150" t="s">
        <v>49</v>
      </c>
      <c r="W150" t="s">
        <v>394</v>
      </c>
      <c r="X150" t="s">
        <v>51</v>
      </c>
      <c r="Y150" t="s">
        <v>404</v>
      </c>
      <c r="Z150" t="s">
        <v>404</v>
      </c>
      <c r="AA150" t="s">
        <v>405</v>
      </c>
      <c r="AB150" s="3">
        <f t="shared" si="16"/>
        <v>6.0000000000000009</v>
      </c>
      <c r="AC150">
        <v>26.37</v>
      </c>
      <c r="AD150" s="2">
        <v>4.3949999999999996</v>
      </c>
      <c r="AE150" s="2">
        <v>90.52</v>
      </c>
      <c r="AF150" s="2">
        <v>0.1</v>
      </c>
      <c r="AG150" s="2">
        <v>117</v>
      </c>
      <c r="AH150">
        <v>0</v>
      </c>
      <c r="AI150">
        <v>19.5</v>
      </c>
      <c r="AJ150">
        <v>0.58499999999999996</v>
      </c>
      <c r="AK150" t="s">
        <v>54</v>
      </c>
      <c r="AL150">
        <v>4.32</v>
      </c>
      <c r="AM150" s="4">
        <f t="shared" si="17"/>
        <v>19.499999999999996</v>
      </c>
      <c r="AN150" s="4">
        <f t="shared" si="18"/>
        <v>8.2406249999999996</v>
      </c>
      <c r="AO150" s="4">
        <f t="shared" si="19"/>
        <v>9.1553343749999989</v>
      </c>
      <c r="AP150" s="4">
        <f t="shared" si="20"/>
        <v>13.348988437499999</v>
      </c>
      <c r="AQ150" s="10">
        <f t="shared" si="21"/>
        <v>33.912449999999993</v>
      </c>
      <c r="AR150" s="10">
        <f t="shared" si="22"/>
        <v>37.680123194999993</v>
      </c>
      <c r="AS150" s="10">
        <f t="shared" si="23"/>
        <v>52.794902159999985</v>
      </c>
    </row>
    <row r="151" spans="1:45" x14ac:dyDescent="0.3">
      <c r="A151">
        <v>2025</v>
      </c>
      <c r="B151">
        <v>12</v>
      </c>
      <c r="C151" t="s">
        <v>55</v>
      </c>
      <c r="D151">
        <v>10</v>
      </c>
      <c r="E151" t="s">
        <v>36</v>
      </c>
      <c r="F151" t="s">
        <v>37</v>
      </c>
      <c r="G151" t="s">
        <v>38</v>
      </c>
      <c r="H151" t="s">
        <v>101</v>
      </c>
      <c r="I151" t="s">
        <v>57</v>
      </c>
      <c r="J151" t="s">
        <v>58</v>
      </c>
      <c r="K151" t="s">
        <v>59</v>
      </c>
      <c r="L151" t="s">
        <v>1769</v>
      </c>
      <c r="M151" t="s">
        <v>1770</v>
      </c>
      <c r="N151" t="s">
        <v>1771</v>
      </c>
      <c r="O151" t="s">
        <v>1197</v>
      </c>
      <c r="Q151" t="s">
        <v>62</v>
      </c>
      <c r="R151" t="s">
        <v>1772</v>
      </c>
      <c r="S151" t="s">
        <v>1772</v>
      </c>
      <c r="T151" t="s">
        <v>47</v>
      </c>
      <c r="U151" t="s">
        <v>393</v>
      </c>
      <c r="V151" t="s">
        <v>49</v>
      </c>
      <c r="W151" t="s">
        <v>394</v>
      </c>
      <c r="X151" t="s">
        <v>51</v>
      </c>
      <c r="Y151" t="s">
        <v>982</v>
      </c>
      <c r="Z151" t="s">
        <v>982</v>
      </c>
      <c r="AA151" t="s">
        <v>983</v>
      </c>
      <c r="AB151" s="3">
        <f t="shared" si="16"/>
        <v>2</v>
      </c>
      <c r="AC151">
        <v>37.86</v>
      </c>
      <c r="AD151" s="2">
        <v>18.93</v>
      </c>
      <c r="AE151" s="2">
        <v>58.8</v>
      </c>
      <c r="AF151" s="2">
        <v>0.22</v>
      </c>
      <c r="AG151" s="2">
        <v>96.15</v>
      </c>
      <c r="AH151">
        <v>0</v>
      </c>
      <c r="AI151">
        <v>48.075000000000003</v>
      </c>
      <c r="AJ151">
        <v>0.48075000000000001</v>
      </c>
      <c r="AK151" t="s">
        <v>54</v>
      </c>
      <c r="AL151">
        <v>4.3499999999999996</v>
      </c>
      <c r="AM151" s="4">
        <f t="shared" si="17"/>
        <v>48.075000000000003</v>
      </c>
      <c r="AN151" s="4">
        <f t="shared" si="18"/>
        <v>35.493749999999999</v>
      </c>
      <c r="AO151" s="4">
        <f t="shared" si="19"/>
        <v>39.433556249999995</v>
      </c>
      <c r="AP151" s="4">
        <f t="shared" si="20"/>
        <v>57.496325624999997</v>
      </c>
      <c r="AQ151" s="10">
        <f t="shared" si="21"/>
        <v>83.607232500000009</v>
      </c>
      <c r="AR151" s="10">
        <f t="shared" si="22"/>
        <v>92.895996030750013</v>
      </c>
      <c r="AS151" s="10">
        <f t="shared" si="23"/>
        <v>130.15973955600001</v>
      </c>
    </row>
    <row r="152" spans="1:45" x14ac:dyDescent="0.3">
      <c r="A152">
        <v>2025</v>
      </c>
      <c r="B152">
        <v>12</v>
      </c>
      <c r="C152" t="s">
        <v>55</v>
      </c>
      <c r="D152">
        <v>10</v>
      </c>
      <c r="E152" t="s">
        <v>36</v>
      </c>
      <c r="F152" t="s">
        <v>37</v>
      </c>
      <c r="G152" t="s">
        <v>38</v>
      </c>
      <c r="H152" t="s">
        <v>739</v>
      </c>
      <c r="I152" t="s">
        <v>57</v>
      </c>
      <c r="J152" t="s">
        <v>58</v>
      </c>
      <c r="K152" t="s">
        <v>59</v>
      </c>
      <c r="L152" t="s">
        <v>1769</v>
      </c>
      <c r="M152" t="s">
        <v>1770</v>
      </c>
      <c r="N152" t="s">
        <v>1771</v>
      </c>
      <c r="O152" t="s">
        <v>1197</v>
      </c>
      <c r="Q152" t="s">
        <v>62</v>
      </c>
      <c r="R152" t="s">
        <v>1772</v>
      </c>
      <c r="S152" t="s">
        <v>1772</v>
      </c>
      <c r="T152" t="s">
        <v>47</v>
      </c>
      <c r="U152" t="s">
        <v>393</v>
      </c>
      <c r="V152" t="s">
        <v>49</v>
      </c>
      <c r="W152" t="s">
        <v>394</v>
      </c>
      <c r="X152" t="s">
        <v>51</v>
      </c>
      <c r="Y152" t="s">
        <v>1780</v>
      </c>
      <c r="Z152" t="s">
        <v>1780</v>
      </c>
      <c r="AA152" t="s">
        <v>1781</v>
      </c>
      <c r="AB152" s="3">
        <f t="shared" si="16"/>
        <v>4</v>
      </c>
      <c r="AC152">
        <v>286.57</v>
      </c>
      <c r="AD152" s="2">
        <v>71.642499999999998</v>
      </c>
      <c r="AE152" s="2">
        <v>85.7</v>
      </c>
      <c r="AF152" s="2">
        <v>2.15</v>
      </c>
      <c r="AG152" s="2">
        <v>373.8</v>
      </c>
      <c r="AH152">
        <v>0</v>
      </c>
      <c r="AI152">
        <v>93.45</v>
      </c>
      <c r="AJ152">
        <v>1.869</v>
      </c>
      <c r="AK152" t="s">
        <v>54</v>
      </c>
      <c r="AL152">
        <v>2.13</v>
      </c>
      <c r="AM152" s="4">
        <f t="shared" si="17"/>
        <v>93.45</v>
      </c>
      <c r="AN152" s="4">
        <f t="shared" si="18"/>
        <v>134.32968750000001</v>
      </c>
      <c r="AO152" s="4">
        <f t="shared" si="19"/>
        <v>149.2402828125</v>
      </c>
      <c r="AP152" s="4">
        <f t="shared" si="20"/>
        <v>217.60066078124999</v>
      </c>
      <c r="AQ152" s="10">
        <f t="shared" si="21"/>
        <v>162.51889500000001</v>
      </c>
      <c r="AR152" s="10">
        <f t="shared" si="22"/>
        <v>180.5747442345</v>
      </c>
      <c r="AS152" s="10">
        <f t="shared" si="23"/>
        <v>253.00941573600002</v>
      </c>
    </row>
    <row r="153" spans="1:45" x14ac:dyDescent="0.3">
      <c r="A153">
        <v>2025</v>
      </c>
      <c r="B153">
        <v>12</v>
      </c>
      <c r="C153" t="s">
        <v>55</v>
      </c>
      <c r="D153">
        <v>10</v>
      </c>
      <c r="E153" t="s">
        <v>36</v>
      </c>
      <c r="F153" t="s">
        <v>37</v>
      </c>
      <c r="G153" t="s">
        <v>38</v>
      </c>
      <c r="H153" t="s">
        <v>739</v>
      </c>
      <c r="I153" t="s">
        <v>57</v>
      </c>
      <c r="J153" t="s">
        <v>58</v>
      </c>
      <c r="K153" t="s">
        <v>59</v>
      </c>
      <c r="L153" t="s">
        <v>1769</v>
      </c>
      <c r="M153" t="s">
        <v>1770</v>
      </c>
      <c r="N153" t="s">
        <v>1771</v>
      </c>
      <c r="O153" t="s">
        <v>1197</v>
      </c>
      <c r="Q153" t="s">
        <v>62</v>
      </c>
      <c r="R153" t="s">
        <v>1772</v>
      </c>
      <c r="S153" t="s">
        <v>1772</v>
      </c>
      <c r="T153" t="s">
        <v>47</v>
      </c>
      <c r="U153" t="s">
        <v>393</v>
      </c>
      <c r="V153" t="s">
        <v>49</v>
      </c>
      <c r="W153" t="s">
        <v>394</v>
      </c>
      <c r="X153" t="s">
        <v>51</v>
      </c>
      <c r="Y153" t="s">
        <v>1775</v>
      </c>
      <c r="Z153" t="s">
        <v>1775</v>
      </c>
      <c r="AA153" t="s">
        <v>1776</v>
      </c>
      <c r="AB153" s="3">
        <f t="shared" si="16"/>
        <v>2</v>
      </c>
      <c r="AC153">
        <v>2.33</v>
      </c>
      <c r="AD153" s="2">
        <v>1.165</v>
      </c>
      <c r="AE153" s="2">
        <v>0.69</v>
      </c>
      <c r="AF153" s="2">
        <v>0.2</v>
      </c>
      <c r="AG153" s="2">
        <v>3.4</v>
      </c>
      <c r="AH153">
        <v>0</v>
      </c>
      <c r="AI153">
        <v>1.7</v>
      </c>
      <c r="AJ153">
        <v>1.7000000000000001E-2</v>
      </c>
      <c r="AK153" t="s">
        <v>54</v>
      </c>
      <c r="AL153">
        <v>0.2</v>
      </c>
      <c r="AM153" s="4">
        <f t="shared" si="17"/>
        <v>1.7</v>
      </c>
      <c r="AN153" s="4">
        <f t="shared" si="18"/>
        <v>2.1843750000000002</v>
      </c>
      <c r="AO153" s="4">
        <f t="shared" si="19"/>
        <v>2.4268406250000001</v>
      </c>
      <c r="AP153" s="4">
        <f t="shared" si="20"/>
        <v>3.5384690624999999</v>
      </c>
      <c r="AQ153" s="10">
        <f t="shared" si="21"/>
        <v>2.9564699999999999</v>
      </c>
      <c r="AR153" s="10">
        <f t="shared" si="22"/>
        <v>3.2849338169999998</v>
      </c>
      <c r="AS153" s="10">
        <f t="shared" si="23"/>
        <v>4.602632496</v>
      </c>
    </row>
    <row r="154" spans="1:45" x14ac:dyDescent="0.3">
      <c r="A154">
        <v>2025</v>
      </c>
      <c r="B154">
        <v>7</v>
      </c>
      <c r="C154" t="s">
        <v>55</v>
      </c>
      <c r="D154">
        <v>10</v>
      </c>
      <c r="E154" t="s">
        <v>36</v>
      </c>
      <c r="F154" t="s">
        <v>37</v>
      </c>
      <c r="G154" t="s">
        <v>38</v>
      </c>
      <c r="H154" t="s">
        <v>739</v>
      </c>
      <c r="I154" t="s">
        <v>190</v>
      </c>
      <c r="J154" t="s">
        <v>58</v>
      </c>
      <c r="K154" t="s">
        <v>41</v>
      </c>
      <c r="L154" t="s">
        <v>953</v>
      </c>
      <c r="M154" t="s">
        <v>954</v>
      </c>
      <c r="N154" t="s">
        <v>731</v>
      </c>
      <c r="O154" t="s">
        <v>36</v>
      </c>
      <c r="Q154" t="s">
        <v>62</v>
      </c>
      <c r="R154" t="s">
        <v>955</v>
      </c>
      <c r="S154" t="s">
        <v>956</v>
      </c>
      <c r="T154" t="s">
        <v>47</v>
      </c>
      <c r="U154" t="s">
        <v>393</v>
      </c>
      <c r="V154" t="s">
        <v>49</v>
      </c>
      <c r="W154" t="s">
        <v>394</v>
      </c>
      <c r="X154" t="s">
        <v>51</v>
      </c>
      <c r="Y154" t="s">
        <v>1775</v>
      </c>
      <c r="Z154" t="s">
        <v>1775</v>
      </c>
      <c r="AA154" t="s">
        <v>1776</v>
      </c>
      <c r="AB154" s="3">
        <f t="shared" si="16"/>
        <v>2</v>
      </c>
      <c r="AC154">
        <v>2.33</v>
      </c>
      <c r="AD154" s="2">
        <v>1.165</v>
      </c>
      <c r="AE154" s="2">
        <v>0.69</v>
      </c>
      <c r="AF154" s="2">
        <v>0.2</v>
      </c>
      <c r="AG154" s="2">
        <v>3.4</v>
      </c>
      <c r="AH154">
        <v>0</v>
      </c>
      <c r="AI154">
        <v>1.7</v>
      </c>
      <c r="AJ154">
        <v>1.7000000000000001E-2</v>
      </c>
      <c r="AK154" t="s">
        <v>54</v>
      </c>
      <c r="AL154">
        <v>0.2</v>
      </c>
      <c r="AM154" s="4">
        <f t="shared" si="17"/>
        <v>1.7</v>
      </c>
      <c r="AN154" s="4">
        <f t="shared" si="18"/>
        <v>2.1843750000000002</v>
      </c>
      <c r="AO154" s="4">
        <f t="shared" si="19"/>
        <v>2.4268406250000001</v>
      </c>
      <c r="AP154" s="4">
        <f t="shared" si="20"/>
        <v>3.5384690624999999</v>
      </c>
      <c r="AQ154" s="10">
        <f t="shared" si="21"/>
        <v>2.9564699999999999</v>
      </c>
      <c r="AR154" s="10">
        <f t="shared" si="22"/>
        <v>3.2849338169999998</v>
      </c>
      <c r="AS154" s="10">
        <f t="shared" si="23"/>
        <v>4.602632496</v>
      </c>
    </row>
    <row r="155" spans="1:45" x14ac:dyDescent="0.3">
      <c r="A155">
        <v>2025</v>
      </c>
      <c r="B155">
        <v>7</v>
      </c>
      <c r="C155" t="s">
        <v>55</v>
      </c>
      <c r="D155">
        <v>10</v>
      </c>
      <c r="E155" t="s">
        <v>36</v>
      </c>
      <c r="F155" t="s">
        <v>37</v>
      </c>
      <c r="G155" t="s">
        <v>38</v>
      </c>
      <c r="H155" t="s">
        <v>739</v>
      </c>
      <c r="I155" t="s">
        <v>190</v>
      </c>
      <c r="J155" t="s">
        <v>58</v>
      </c>
      <c r="K155" t="s">
        <v>41</v>
      </c>
      <c r="L155" t="s">
        <v>953</v>
      </c>
      <c r="M155" t="s">
        <v>954</v>
      </c>
      <c r="N155" t="s">
        <v>731</v>
      </c>
      <c r="O155" t="s">
        <v>36</v>
      </c>
      <c r="Q155" t="s">
        <v>62</v>
      </c>
      <c r="R155" t="s">
        <v>955</v>
      </c>
      <c r="S155" t="s">
        <v>956</v>
      </c>
      <c r="T155" t="s">
        <v>47</v>
      </c>
      <c r="U155" t="s">
        <v>393</v>
      </c>
      <c r="V155" t="s">
        <v>49</v>
      </c>
      <c r="W155" t="s">
        <v>394</v>
      </c>
      <c r="X155" t="s">
        <v>51</v>
      </c>
      <c r="Y155" t="s">
        <v>986</v>
      </c>
      <c r="Z155" t="s">
        <v>986</v>
      </c>
      <c r="AA155" t="s">
        <v>987</v>
      </c>
      <c r="AB155" s="3">
        <f t="shared" si="16"/>
        <v>1</v>
      </c>
      <c r="AC155">
        <v>4.57</v>
      </c>
      <c r="AD155" s="2">
        <v>4.57</v>
      </c>
      <c r="AE155" s="2">
        <v>29.4</v>
      </c>
      <c r="AF155" s="2">
        <v>0.1</v>
      </c>
      <c r="AG155" s="2">
        <v>33.619999999999997</v>
      </c>
      <c r="AH155">
        <v>0</v>
      </c>
      <c r="AI155">
        <v>33.619999999999997</v>
      </c>
      <c r="AJ155">
        <v>0.1681</v>
      </c>
      <c r="AK155" t="s">
        <v>54</v>
      </c>
      <c r="AL155">
        <v>2.17</v>
      </c>
      <c r="AM155" s="4">
        <f t="shared" si="17"/>
        <v>33.619999999999997</v>
      </c>
      <c r="AN155" s="4">
        <f t="shared" si="18"/>
        <v>8.5687500000000014</v>
      </c>
      <c r="AO155" s="4">
        <f t="shared" si="19"/>
        <v>9.519881250000001</v>
      </c>
      <c r="AP155" s="4">
        <f t="shared" si="20"/>
        <v>13.880518125000002</v>
      </c>
      <c r="AQ155" s="10">
        <f t="shared" si="21"/>
        <v>58.468541999999999</v>
      </c>
      <c r="AR155" s="10">
        <f t="shared" si="22"/>
        <v>64.964397016199996</v>
      </c>
      <c r="AS155" s="10">
        <f t="shared" si="23"/>
        <v>91.023826185600001</v>
      </c>
    </row>
    <row r="156" spans="1:45" x14ac:dyDescent="0.3">
      <c r="A156">
        <v>2025</v>
      </c>
      <c r="B156">
        <v>7</v>
      </c>
      <c r="C156" t="s">
        <v>55</v>
      </c>
      <c r="D156">
        <v>10</v>
      </c>
      <c r="E156" t="s">
        <v>36</v>
      </c>
      <c r="F156" t="s">
        <v>37</v>
      </c>
      <c r="G156" t="s">
        <v>38</v>
      </c>
      <c r="H156" t="s">
        <v>739</v>
      </c>
      <c r="I156" t="s">
        <v>190</v>
      </c>
      <c r="J156" t="s">
        <v>58</v>
      </c>
      <c r="K156" t="s">
        <v>41</v>
      </c>
      <c r="L156" t="s">
        <v>953</v>
      </c>
      <c r="M156" t="s">
        <v>954</v>
      </c>
      <c r="N156" t="s">
        <v>731</v>
      </c>
      <c r="O156" t="s">
        <v>36</v>
      </c>
      <c r="Q156" t="s">
        <v>62</v>
      </c>
      <c r="R156" t="s">
        <v>955</v>
      </c>
      <c r="S156" t="s">
        <v>956</v>
      </c>
      <c r="T156" t="s">
        <v>47</v>
      </c>
      <c r="U156" t="s">
        <v>393</v>
      </c>
      <c r="V156" t="s">
        <v>49</v>
      </c>
      <c r="W156" t="s">
        <v>394</v>
      </c>
      <c r="X156" t="s">
        <v>51</v>
      </c>
      <c r="Y156" t="s">
        <v>986</v>
      </c>
      <c r="Z156" t="s">
        <v>986</v>
      </c>
      <c r="AA156" t="s">
        <v>987</v>
      </c>
      <c r="AB156" s="3">
        <f t="shared" si="16"/>
        <v>6.9999999999999334</v>
      </c>
      <c r="AC156">
        <v>31.97</v>
      </c>
      <c r="AD156" s="2">
        <v>4.5671428571429002</v>
      </c>
      <c r="AE156" s="2">
        <v>203.29</v>
      </c>
      <c r="AF156" s="2">
        <v>0.5</v>
      </c>
      <c r="AG156" s="2">
        <v>235.32</v>
      </c>
      <c r="AH156">
        <v>0</v>
      </c>
      <c r="AI156">
        <v>33.617142857143001</v>
      </c>
      <c r="AJ156">
        <v>1.1766000000000001</v>
      </c>
      <c r="AK156" t="s">
        <v>54</v>
      </c>
      <c r="AL156">
        <v>15.22</v>
      </c>
      <c r="AM156" s="4">
        <f t="shared" si="17"/>
        <v>33.617142857143179</v>
      </c>
      <c r="AN156" s="4">
        <f t="shared" si="18"/>
        <v>8.5633928571429383</v>
      </c>
      <c r="AO156" s="4">
        <f t="shared" si="19"/>
        <v>9.5139294642858037</v>
      </c>
      <c r="AP156" s="4">
        <f t="shared" si="20"/>
        <v>13.871840089285845</v>
      </c>
      <c r="AQ156" s="10">
        <f t="shared" si="21"/>
        <v>58.463573142857705</v>
      </c>
      <c r="AR156" s="10">
        <f t="shared" si="22"/>
        <v>64.958876119029199</v>
      </c>
      <c r="AS156" s="10">
        <f t="shared" si="23"/>
        <v>91.016090668800871</v>
      </c>
    </row>
    <row r="157" spans="1:45" x14ac:dyDescent="0.3">
      <c r="A157">
        <v>2025</v>
      </c>
      <c r="B157">
        <v>4</v>
      </c>
      <c r="C157" t="s">
        <v>55</v>
      </c>
      <c r="D157">
        <v>10</v>
      </c>
      <c r="E157" t="s">
        <v>36</v>
      </c>
      <c r="F157" t="s">
        <v>37</v>
      </c>
      <c r="G157" t="s">
        <v>38</v>
      </c>
      <c r="H157" t="s">
        <v>39</v>
      </c>
      <c r="I157" t="s">
        <v>375</v>
      </c>
      <c r="J157" t="s">
        <v>376</v>
      </c>
      <c r="K157" t="s">
        <v>59</v>
      </c>
      <c r="M157">
        <v>2503061</v>
      </c>
      <c r="N157" t="s">
        <v>377</v>
      </c>
      <c r="O157" t="s">
        <v>36</v>
      </c>
      <c r="Q157" t="s">
        <v>62</v>
      </c>
      <c r="R157" t="s">
        <v>378</v>
      </c>
      <c r="S157" t="s">
        <v>378</v>
      </c>
      <c r="T157" t="s">
        <v>47</v>
      </c>
      <c r="U157" t="s">
        <v>84</v>
      </c>
      <c r="V157" t="s">
        <v>49</v>
      </c>
      <c r="W157" t="s">
        <v>85</v>
      </c>
      <c r="X157" t="s">
        <v>51</v>
      </c>
      <c r="Y157" t="s">
        <v>993</v>
      </c>
      <c r="Z157" t="s">
        <v>993</v>
      </c>
      <c r="AA157" t="s">
        <v>994</v>
      </c>
      <c r="AB157" s="3">
        <f t="shared" si="16"/>
        <v>2</v>
      </c>
      <c r="AC157">
        <v>19.18</v>
      </c>
      <c r="AD157" s="2">
        <v>9.59</v>
      </c>
      <c r="AE157" s="2">
        <v>58.8</v>
      </c>
      <c r="AF157" s="2">
        <v>0.9</v>
      </c>
      <c r="AG157" s="2">
        <v>77.34</v>
      </c>
      <c r="AH157">
        <v>0</v>
      </c>
      <c r="AI157">
        <v>38.67</v>
      </c>
      <c r="AJ157">
        <v>0.38669999999999999</v>
      </c>
      <c r="AK157" t="s">
        <v>54</v>
      </c>
      <c r="AL157">
        <v>4.3499999999999996</v>
      </c>
      <c r="AM157" s="4">
        <f t="shared" si="17"/>
        <v>38.67</v>
      </c>
      <c r="AN157" s="4">
        <f t="shared" si="18"/>
        <v>17.981249999999999</v>
      </c>
      <c r="AO157" s="4">
        <f t="shared" si="19"/>
        <v>19.977168750000001</v>
      </c>
      <c r="AP157" s="4">
        <f t="shared" si="20"/>
        <v>29.127826874999997</v>
      </c>
      <c r="AQ157" s="10">
        <f t="shared" si="21"/>
        <v>67.250997000000012</v>
      </c>
      <c r="AR157" s="10">
        <f t="shared" si="22"/>
        <v>74.722582766700015</v>
      </c>
      <c r="AS157" s="10">
        <f t="shared" si="23"/>
        <v>104.69635212960002</v>
      </c>
    </row>
    <row r="158" spans="1:45" x14ac:dyDescent="0.3">
      <c r="A158">
        <v>2025</v>
      </c>
      <c r="B158">
        <v>7</v>
      </c>
      <c r="C158" t="s">
        <v>55</v>
      </c>
      <c r="D158">
        <v>10</v>
      </c>
      <c r="E158" t="s">
        <v>36</v>
      </c>
      <c r="F158" t="s">
        <v>37</v>
      </c>
      <c r="G158" t="s">
        <v>38</v>
      </c>
      <c r="H158" t="s">
        <v>739</v>
      </c>
      <c r="I158" t="s">
        <v>190</v>
      </c>
      <c r="J158" t="s">
        <v>58</v>
      </c>
      <c r="K158" t="s">
        <v>41</v>
      </c>
      <c r="L158" t="s">
        <v>953</v>
      </c>
      <c r="M158" t="s">
        <v>954</v>
      </c>
      <c r="N158" t="s">
        <v>731</v>
      </c>
      <c r="O158" t="s">
        <v>36</v>
      </c>
      <c r="Q158" t="s">
        <v>62</v>
      </c>
      <c r="R158" t="s">
        <v>955</v>
      </c>
      <c r="S158" t="s">
        <v>956</v>
      </c>
      <c r="T158" t="s">
        <v>47</v>
      </c>
      <c r="U158" t="s">
        <v>393</v>
      </c>
      <c r="V158" t="s">
        <v>49</v>
      </c>
      <c r="W158" t="s">
        <v>394</v>
      </c>
      <c r="X158" t="s">
        <v>51</v>
      </c>
      <c r="Y158" t="s">
        <v>406</v>
      </c>
      <c r="Z158" t="s">
        <v>406</v>
      </c>
      <c r="AA158" t="s">
        <v>407</v>
      </c>
      <c r="AB158" s="3">
        <f t="shared" si="16"/>
        <v>4</v>
      </c>
      <c r="AC158">
        <v>12.22</v>
      </c>
      <c r="AD158" s="2">
        <v>3.0550000000000002</v>
      </c>
      <c r="AE158" s="2">
        <v>60.35</v>
      </c>
      <c r="AF158" s="2">
        <v>0.03</v>
      </c>
      <c r="AG158" s="2">
        <v>72.599999999999994</v>
      </c>
      <c r="AH158">
        <v>0</v>
      </c>
      <c r="AI158">
        <v>18.149999999999999</v>
      </c>
      <c r="AJ158">
        <v>0.36299999999999999</v>
      </c>
      <c r="AK158" t="s">
        <v>54</v>
      </c>
      <c r="AL158">
        <v>2.88</v>
      </c>
      <c r="AM158" s="4">
        <f t="shared" si="17"/>
        <v>18.149999999999999</v>
      </c>
      <c r="AN158" s="4">
        <f t="shared" si="18"/>
        <v>5.7281250000000004</v>
      </c>
      <c r="AO158" s="4">
        <f t="shared" si="19"/>
        <v>6.3639468749999999</v>
      </c>
      <c r="AP158" s="4">
        <f t="shared" si="20"/>
        <v>9.2789896874999993</v>
      </c>
      <c r="AQ158" s="10">
        <f t="shared" si="21"/>
        <v>31.564664999999998</v>
      </c>
      <c r="AR158" s="10">
        <f t="shared" si="22"/>
        <v>35.071499281499996</v>
      </c>
      <c r="AS158" s="10">
        <f t="shared" si="23"/>
        <v>49.139870471999998</v>
      </c>
    </row>
    <row r="159" spans="1:45" x14ac:dyDescent="0.3">
      <c r="A159">
        <v>2025</v>
      </c>
      <c r="B159">
        <v>7</v>
      </c>
      <c r="C159" t="s">
        <v>55</v>
      </c>
      <c r="D159">
        <v>10</v>
      </c>
      <c r="E159" t="s">
        <v>36</v>
      </c>
      <c r="F159" t="s">
        <v>37</v>
      </c>
      <c r="G159" t="s">
        <v>38</v>
      </c>
      <c r="H159" t="s">
        <v>739</v>
      </c>
      <c r="I159" t="s">
        <v>190</v>
      </c>
      <c r="J159" t="s">
        <v>58</v>
      </c>
      <c r="K159" t="s">
        <v>41</v>
      </c>
      <c r="L159" t="s">
        <v>953</v>
      </c>
      <c r="M159" t="s">
        <v>954</v>
      </c>
      <c r="N159" t="s">
        <v>731</v>
      </c>
      <c r="O159" t="s">
        <v>36</v>
      </c>
      <c r="Q159" t="s">
        <v>62</v>
      </c>
      <c r="R159" t="s">
        <v>955</v>
      </c>
      <c r="S159" t="s">
        <v>956</v>
      </c>
      <c r="T159" t="s">
        <v>47</v>
      </c>
      <c r="U159" t="s">
        <v>393</v>
      </c>
      <c r="V159" t="s">
        <v>49</v>
      </c>
      <c r="W159" t="s">
        <v>394</v>
      </c>
      <c r="X159" t="s">
        <v>51</v>
      </c>
      <c r="Y159" t="s">
        <v>988</v>
      </c>
      <c r="Z159" t="s">
        <v>988</v>
      </c>
      <c r="AA159" t="s">
        <v>989</v>
      </c>
      <c r="AB159" s="3">
        <f t="shared" si="16"/>
        <v>5</v>
      </c>
      <c r="AC159">
        <v>24.51</v>
      </c>
      <c r="AD159" s="2">
        <v>4.9020000000000001</v>
      </c>
      <c r="AE159" s="2">
        <v>145.21</v>
      </c>
      <c r="AF159" s="2">
        <v>0.5</v>
      </c>
      <c r="AG159" s="2">
        <v>169.77</v>
      </c>
      <c r="AH159">
        <v>0</v>
      </c>
      <c r="AI159">
        <v>33.954000000000001</v>
      </c>
      <c r="AJ159">
        <v>0.84884999999999999</v>
      </c>
      <c r="AK159" t="s">
        <v>54</v>
      </c>
      <c r="AL159">
        <v>10.87</v>
      </c>
      <c r="AM159" s="4">
        <f t="shared" si="17"/>
        <v>33.954000000000001</v>
      </c>
      <c r="AN159" s="4">
        <f t="shared" si="18"/>
        <v>9.1912500000000001</v>
      </c>
      <c r="AO159" s="4">
        <f t="shared" si="19"/>
        <v>10.211478749999999</v>
      </c>
      <c r="AP159" s="4">
        <f t="shared" si="20"/>
        <v>14.888905874999999</v>
      </c>
      <c r="AQ159" s="10">
        <f t="shared" si="21"/>
        <v>59.049401400000001</v>
      </c>
      <c r="AR159" s="10">
        <f t="shared" si="22"/>
        <v>65.609789895540004</v>
      </c>
      <c r="AS159" s="10">
        <f t="shared" si="23"/>
        <v>91.928108099520003</v>
      </c>
    </row>
    <row r="160" spans="1:45" x14ac:dyDescent="0.3">
      <c r="A160">
        <v>2025</v>
      </c>
      <c r="B160">
        <v>7</v>
      </c>
      <c r="C160" t="s">
        <v>55</v>
      </c>
      <c r="D160">
        <v>10</v>
      </c>
      <c r="E160" t="s">
        <v>36</v>
      </c>
      <c r="F160" t="s">
        <v>37</v>
      </c>
      <c r="G160" t="s">
        <v>38</v>
      </c>
      <c r="H160" t="s">
        <v>83</v>
      </c>
      <c r="I160" t="s">
        <v>190</v>
      </c>
      <c r="J160" t="s">
        <v>58</v>
      </c>
      <c r="K160" t="s">
        <v>41</v>
      </c>
      <c r="L160" t="s">
        <v>953</v>
      </c>
      <c r="M160" t="s">
        <v>954</v>
      </c>
      <c r="N160" t="s">
        <v>731</v>
      </c>
      <c r="O160" t="s">
        <v>36</v>
      </c>
      <c r="Q160" t="s">
        <v>62</v>
      </c>
      <c r="R160" t="s">
        <v>955</v>
      </c>
      <c r="S160" t="s">
        <v>956</v>
      </c>
      <c r="T160" t="s">
        <v>47</v>
      </c>
      <c r="U160" t="s">
        <v>393</v>
      </c>
      <c r="V160" t="s">
        <v>49</v>
      </c>
      <c r="W160" t="s">
        <v>394</v>
      </c>
      <c r="X160" t="s">
        <v>51</v>
      </c>
      <c r="Y160" t="s">
        <v>991</v>
      </c>
      <c r="Z160" t="s">
        <v>991</v>
      </c>
      <c r="AA160" t="s">
        <v>992</v>
      </c>
      <c r="AB160" s="3">
        <f t="shared" si="16"/>
        <v>5</v>
      </c>
      <c r="AC160">
        <v>24.46</v>
      </c>
      <c r="AD160" s="2">
        <v>4.8920000000000003</v>
      </c>
      <c r="AE160" s="2">
        <v>145.21</v>
      </c>
      <c r="AF160" s="2">
        <v>0.5</v>
      </c>
      <c r="AG160" s="2">
        <v>169.72</v>
      </c>
      <c r="AH160">
        <v>0</v>
      </c>
      <c r="AI160">
        <v>33.944000000000003</v>
      </c>
      <c r="AJ160">
        <v>0.84860000000000002</v>
      </c>
      <c r="AK160" t="s">
        <v>54</v>
      </c>
      <c r="AL160">
        <v>10.87</v>
      </c>
      <c r="AM160" s="4">
        <f t="shared" si="17"/>
        <v>33.944000000000003</v>
      </c>
      <c r="AN160" s="4">
        <f t="shared" si="18"/>
        <v>9.1725000000000012</v>
      </c>
      <c r="AO160" s="4">
        <f t="shared" si="19"/>
        <v>10.190647500000001</v>
      </c>
      <c r="AP160" s="4">
        <f t="shared" si="20"/>
        <v>14.85853275</v>
      </c>
      <c r="AQ160" s="10">
        <f t="shared" si="21"/>
        <v>59.032010400000004</v>
      </c>
      <c r="AR160" s="10">
        <f t="shared" si="22"/>
        <v>65.590466755440005</v>
      </c>
      <c r="AS160" s="10">
        <f t="shared" si="23"/>
        <v>91.901033790720007</v>
      </c>
    </row>
    <row r="161" spans="1:45" x14ac:dyDescent="0.3">
      <c r="A161">
        <v>2025</v>
      </c>
      <c r="B161">
        <v>7</v>
      </c>
      <c r="C161" t="s">
        <v>55</v>
      </c>
      <c r="D161">
        <v>10</v>
      </c>
      <c r="E161" t="s">
        <v>36</v>
      </c>
      <c r="F161" t="s">
        <v>37</v>
      </c>
      <c r="G161" t="s">
        <v>38</v>
      </c>
      <c r="H161" t="s">
        <v>739</v>
      </c>
      <c r="I161" t="s">
        <v>190</v>
      </c>
      <c r="J161" t="s">
        <v>58</v>
      </c>
      <c r="K161" t="s">
        <v>41</v>
      </c>
      <c r="L161" t="s">
        <v>953</v>
      </c>
      <c r="M161" t="s">
        <v>954</v>
      </c>
      <c r="N161" t="s">
        <v>731</v>
      </c>
      <c r="O161" t="s">
        <v>36</v>
      </c>
      <c r="Q161" t="s">
        <v>62</v>
      </c>
      <c r="R161" t="s">
        <v>955</v>
      </c>
      <c r="S161" t="s">
        <v>956</v>
      </c>
      <c r="T161" t="s">
        <v>47</v>
      </c>
      <c r="U161" t="s">
        <v>393</v>
      </c>
      <c r="V161" t="s">
        <v>49</v>
      </c>
      <c r="W161" t="s">
        <v>394</v>
      </c>
      <c r="X161" t="s">
        <v>51</v>
      </c>
      <c r="Y161" t="s">
        <v>984</v>
      </c>
      <c r="Z161" t="s">
        <v>984</v>
      </c>
      <c r="AA161" t="s">
        <v>985</v>
      </c>
      <c r="AB161" s="3">
        <f t="shared" si="16"/>
        <v>1</v>
      </c>
      <c r="AC161">
        <v>7.41</v>
      </c>
      <c r="AD161" s="2">
        <v>7.41</v>
      </c>
      <c r="AE161" s="2">
        <v>29.4</v>
      </c>
      <c r="AF161" s="2">
        <v>0.3</v>
      </c>
      <c r="AG161" s="2">
        <v>36.479999999999997</v>
      </c>
      <c r="AH161">
        <v>0</v>
      </c>
      <c r="AI161">
        <v>36.479999999999997</v>
      </c>
      <c r="AJ161">
        <v>0.18240000000000001</v>
      </c>
      <c r="AK161" t="s">
        <v>54</v>
      </c>
      <c r="AL161">
        <v>2.17</v>
      </c>
      <c r="AM161" s="4">
        <f t="shared" si="17"/>
        <v>36.479999999999997</v>
      </c>
      <c r="AN161" s="4">
        <f t="shared" si="18"/>
        <v>13.893750000000001</v>
      </c>
      <c r="AO161" s="4">
        <f t="shared" si="19"/>
        <v>15.43595625</v>
      </c>
      <c r="AP161" s="4">
        <f t="shared" si="20"/>
        <v>22.506485625</v>
      </c>
      <c r="AQ161" s="10">
        <f t="shared" si="21"/>
        <v>63.442367999999995</v>
      </c>
      <c r="AR161" s="10">
        <f t="shared" si="22"/>
        <v>70.490815084799991</v>
      </c>
      <c r="AS161" s="10">
        <f t="shared" si="23"/>
        <v>98.767078502399983</v>
      </c>
    </row>
    <row r="162" spans="1:45" x14ac:dyDescent="0.3">
      <c r="A162">
        <v>2025</v>
      </c>
      <c r="B162">
        <v>11</v>
      </c>
      <c r="C162" t="s">
        <v>55</v>
      </c>
      <c r="D162">
        <v>10</v>
      </c>
      <c r="E162" t="s">
        <v>36</v>
      </c>
      <c r="F162" t="s">
        <v>37</v>
      </c>
      <c r="G162" t="s">
        <v>38</v>
      </c>
      <c r="H162" t="s">
        <v>83</v>
      </c>
      <c r="I162" t="s">
        <v>375</v>
      </c>
      <c r="J162" t="s">
        <v>376</v>
      </c>
      <c r="K162" t="s">
        <v>51</v>
      </c>
      <c r="L162" t="s">
        <v>1622</v>
      </c>
      <c r="M162" t="s">
        <v>1623</v>
      </c>
      <c r="N162" t="s">
        <v>1485</v>
      </c>
      <c r="O162" t="s">
        <v>1197</v>
      </c>
      <c r="Q162" t="s">
        <v>62</v>
      </c>
      <c r="R162" t="s">
        <v>1624</v>
      </c>
      <c r="S162" t="s">
        <v>1624</v>
      </c>
      <c r="T162" t="s">
        <v>47</v>
      </c>
      <c r="U162" t="s">
        <v>393</v>
      </c>
      <c r="V162" t="s">
        <v>49</v>
      </c>
      <c r="W162" t="s">
        <v>394</v>
      </c>
      <c r="X162" t="s">
        <v>51</v>
      </c>
      <c r="Y162" t="s">
        <v>982</v>
      </c>
      <c r="Z162" t="s">
        <v>982</v>
      </c>
      <c r="AA162" t="s">
        <v>990</v>
      </c>
      <c r="AB162" s="3">
        <f t="shared" si="16"/>
        <v>1</v>
      </c>
      <c r="AC162">
        <v>7.15</v>
      </c>
      <c r="AD162" s="2">
        <v>7.15</v>
      </c>
      <c r="AE162" s="2">
        <v>29.4</v>
      </c>
      <c r="AF162" s="2">
        <v>0.3</v>
      </c>
      <c r="AG162" s="2">
        <v>36.22</v>
      </c>
      <c r="AH162">
        <v>0</v>
      </c>
      <c r="AI162">
        <v>36.22</v>
      </c>
      <c r="AJ162">
        <v>0.18110000000000001</v>
      </c>
      <c r="AK162" t="s">
        <v>54</v>
      </c>
      <c r="AL162">
        <v>2.17</v>
      </c>
      <c r="AM162" s="4">
        <f t="shared" si="17"/>
        <v>36.22</v>
      </c>
      <c r="AN162" s="4">
        <f t="shared" si="18"/>
        <v>13.40625</v>
      </c>
      <c r="AO162" s="4">
        <f t="shared" si="19"/>
        <v>14.894343749999999</v>
      </c>
      <c r="AP162" s="4">
        <f t="shared" si="20"/>
        <v>21.716784375</v>
      </c>
      <c r="AQ162" s="10">
        <f t="shared" si="21"/>
        <v>62.990202000000004</v>
      </c>
      <c r="AR162" s="10">
        <f t="shared" si="22"/>
        <v>69.988413442199999</v>
      </c>
      <c r="AS162" s="10">
        <f t="shared" si="23"/>
        <v>98.0631464736</v>
      </c>
    </row>
    <row r="163" spans="1:45" x14ac:dyDescent="0.3">
      <c r="A163">
        <v>2025</v>
      </c>
      <c r="B163">
        <v>4</v>
      </c>
      <c r="C163" t="s">
        <v>55</v>
      </c>
      <c r="D163">
        <v>10</v>
      </c>
      <c r="E163" t="s">
        <v>36</v>
      </c>
      <c r="F163" t="s">
        <v>37</v>
      </c>
      <c r="G163" t="s">
        <v>38</v>
      </c>
      <c r="H163" t="s">
        <v>236</v>
      </c>
      <c r="I163" t="s">
        <v>375</v>
      </c>
      <c r="J163" t="s">
        <v>376</v>
      </c>
      <c r="K163" t="s">
        <v>59</v>
      </c>
      <c r="M163">
        <v>2503061</v>
      </c>
      <c r="N163" t="s">
        <v>377</v>
      </c>
      <c r="O163" t="s">
        <v>36</v>
      </c>
      <c r="Q163" t="s">
        <v>62</v>
      </c>
      <c r="R163" t="s">
        <v>378</v>
      </c>
      <c r="S163" t="s">
        <v>378</v>
      </c>
      <c r="T163" t="s">
        <v>47</v>
      </c>
      <c r="U163" t="s">
        <v>178</v>
      </c>
      <c r="V163" t="s">
        <v>49</v>
      </c>
      <c r="W163" t="s">
        <v>179</v>
      </c>
      <c r="X163" t="s">
        <v>51</v>
      </c>
      <c r="Y163" t="s">
        <v>1640</v>
      </c>
      <c r="Z163" t="s">
        <v>1640</v>
      </c>
      <c r="AA163" t="s">
        <v>1642</v>
      </c>
      <c r="AB163" s="3">
        <f t="shared" si="16"/>
        <v>1</v>
      </c>
      <c r="AC163">
        <v>7.66</v>
      </c>
      <c r="AD163" s="2">
        <v>7.66</v>
      </c>
      <c r="AE163" s="2">
        <v>1.7</v>
      </c>
      <c r="AF163" s="2">
        <v>0.5</v>
      </c>
      <c r="AG163" s="2">
        <v>8.7899999999999991</v>
      </c>
      <c r="AH163">
        <v>0</v>
      </c>
      <c r="AI163">
        <v>8.7899999999999991</v>
      </c>
      <c r="AJ163">
        <v>4.3950000000000003E-2</v>
      </c>
      <c r="AK163" t="s">
        <v>54</v>
      </c>
      <c r="AL163">
        <v>0.4</v>
      </c>
      <c r="AM163" s="4">
        <f t="shared" si="17"/>
        <v>8.7899999999999991</v>
      </c>
      <c r="AN163" s="4">
        <f t="shared" si="18"/>
        <v>14.362500000000001</v>
      </c>
      <c r="AO163" s="4">
        <f t="shared" si="19"/>
        <v>15.956737500000001</v>
      </c>
      <c r="AP163" s="4">
        <f t="shared" si="20"/>
        <v>23.26581375</v>
      </c>
      <c r="AQ163" s="10">
        <f t="shared" si="21"/>
        <v>15.286688999999999</v>
      </c>
      <c r="AR163" s="10">
        <f t="shared" si="22"/>
        <v>16.985040147899998</v>
      </c>
      <c r="AS163" s="10">
        <f t="shared" si="23"/>
        <v>23.798317435199998</v>
      </c>
    </row>
    <row r="164" spans="1:45" x14ac:dyDescent="0.3">
      <c r="A164">
        <v>2025</v>
      </c>
      <c r="B164">
        <v>6</v>
      </c>
      <c r="C164" t="s">
        <v>55</v>
      </c>
      <c r="D164">
        <v>10</v>
      </c>
      <c r="E164" t="s">
        <v>36</v>
      </c>
      <c r="F164" t="s">
        <v>37</v>
      </c>
      <c r="G164" t="s">
        <v>38</v>
      </c>
      <c r="H164" t="s">
        <v>78</v>
      </c>
      <c r="I164" t="s">
        <v>190</v>
      </c>
      <c r="J164" t="s">
        <v>58</v>
      </c>
      <c r="K164" t="s">
        <v>59</v>
      </c>
      <c r="M164" t="s">
        <v>730</v>
      </c>
      <c r="N164" t="s">
        <v>731</v>
      </c>
      <c r="O164" t="s">
        <v>36</v>
      </c>
      <c r="Q164" t="s">
        <v>62</v>
      </c>
      <c r="R164" t="s">
        <v>732</v>
      </c>
      <c r="S164" t="s">
        <v>732</v>
      </c>
      <c r="T164" t="s">
        <v>47</v>
      </c>
      <c r="U164" t="s">
        <v>428</v>
      </c>
      <c r="V164" t="s">
        <v>49</v>
      </c>
      <c r="W164" t="s">
        <v>425</v>
      </c>
      <c r="X164" t="s">
        <v>686</v>
      </c>
      <c r="Y164" t="s">
        <v>639</v>
      </c>
      <c r="Z164" t="s">
        <v>639</v>
      </c>
      <c r="AA164" t="s">
        <v>640</v>
      </c>
      <c r="AB164" s="3">
        <f t="shared" si="16"/>
        <v>3.000000000000036</v>
      </c>
      <c r="AC164">
        <v>82.57</v>
      </c>
      <c r="AD164" s="2">
        <v>27.523333333332999</v>
      </c>
      <c r="AE164" s="2">
        <v>45.26</v>
      </c>
      <c r="AF164" s="2">
        <v>0.55000000000000004</v>
      </c>
      <c r="AG164" s="2">
        <v>128.38</v>
      </c>
      <c r="AH164">
        <v>0</v>
      </c>
      <c r="AI164">
        <v>42.793333333333003</v>
      </c>
      <c r="AJ164">
        <v>0.64190000000000003</v>
      </c>
      <c r="AK164" t="s">
        <v>54</v>
      </c>
      <c r="AL164">
        <v>2.16</v>
      </c>
      <c r="AM164" s="4">
        <f t="shared" si="17"/>
        <v>42.793333333332818</v>
      </c>
      <c r="AN164" s="4">
        <f t="shared" si="18"/>
        <v>51.606249999999378</v>
      </c>
      <c r="AO164" s="4">
        <f t="shared" si="19"/>
        <v>57.334543749999305</v>
      </c>
      <c r="AP164" s="4">
        <f t="shared" si="20"/>
        <v>83.59696437499899</v>
      </c>
      <c r="AQ164" s="10">
        <f t="shared" si="21"/>
        <v>74.421885999999105</v>
      </c>
      <c r="AR164" s="10">
        <f t="shared" si="22"/>
        <v>82.69015753459901</v>
      </c>
      <c r="AS164" s="10">
        <f t="shared" si="23"/>
        <v>115.85999212479861</v>
      </c>
    </row>
    <row r="165" spans="1:45" x14ac:dyDescent="0.3">
      <c r="A165">
        <v>2025</v>
      </c>
      <c r="B165">
        <v>6</v>
      </c>
      <c r="C165" t="s">
        <v>55</v>
      </c>
      <c r="D165">
        <v>10</v>
      </c>
      <c r="E165" t="s">
        <v>36</v>
      </c>
      <c r="F165" t="s">
        <v>37</v>
      </c>
      <c r="G165" t="s">
        <v>38</v>
      </c>
      <c r="H165" t="s">
        <v>101</v>
      </c>
      <c r="I165" t="s">
        <v>190</v>
      </c>
      <c r="J165" t="s">
        <v>58</v>
      </c>
      <c r="K165" t="s">
        <v>59</v>
      </c>
      <c r="M165" t="s">
        <v>730</v>
      </c>
      <c r="N165" t="s">
        <v>731</v>
      </c>
      <c r="O165" t="s">
        <v>36</v>
      </c>
      <c r="Q165" t="s">
        <v>62</v>
      </c>
      <c r="R165" t="s">
        <v>732</v>
      </c>
      <c r="S165" t="s">
        <v>732</v>
      </c>
      <c r="T165" t="s">
        <v>47</v>
      </c>
      <c r="U165" t="s">
        <v>428</v>
      </c>
      <c r="V165" t="s">
        <v>49</v>
      </c>
      <c r="W165" t="s">
        <v>425</v>
      </c>
      <c r="X165" t="s">
        <v>686</v>
      </c>
      <c r="Y165" t="s">
        <v>762</v>
      </c>
      <c r="Z165" t="s">
        <v>762</v>
      </c>
      <c r="AA165" t="s">
        <v>763</v>
      </c>
      <c r="AB165" s="3">
        <f t="shared" si="16"/>
        <v>0.90999999999999803</v>
      </c>
      <c r="AC165">
        <v>8.99</v>
      </c>
      <c r="AD165" s="2">
        <v>9.8791208791209009</v>
      </c>
      <c r="AE165" s="2">
        <v>1.9</v>
      </c>
      <c r="AF165" s="2">
        <v>0.7</v>
      </c>
      <c r="AG165" s="2">
        <v>10.95</v>
      </c>
      <c r="AH165">
        <v>0</v>
      </c>
      <c r="AI165">
        <v>12.032967032967001</v>
      </c>
      <c r="AJ165">
        <v>5.475E-2</v>
      </c>
      <c r="AK165" t="s">
        <v>54</v>
      </c>
      <c r="AL165">
        <v>0.7</v>
      </c>
      <c r="AM165" s="4">
        <f t="shared" si="17"/>
        <v>12.032967032967058</v>
      </c>
      <c r="AN165" s="4">
        <f t="shared" si="18"/>
        <v>18.523351648351689</v>
      </c>
      <c r="AO165" s="4">
        <f t="shared" si="19"/>
        <v>20.579443681318725</v>
      </c>
      <c r="AP165" s="4">
        <f t="shared" si="20"/>
        <v>30.0059773351649</v>
      </c>
      <c r="AQ165" s="10">
        <f t="shared" si="21"/>
        <v>20.926532967033012</v>
      </c>
      <c r="AR165" s="10">
        <f t="shared" si="22"/>
        <v>23.251470779670377</v>
      </c>
      <c r="AS165" s="10">
        <f t="shared" si="23"/>
        <v>32.578426523076992</v>
      </c>
    </row>
    <row r="166" spans="1:45" x14ac:dyDescent="0.3">
      <c r="A166">
        <v>2025</v>
      </c>
      <c r="B166">
        <v>6</v>
      </c>
      <c r="C166" t="s">
        <v>55</v>
      </c>
      <c r="D166">
        <v>10</v>
      </c>
      <c r="E166" t="s">
        <v>36</v>
      </c>
      <c r="F166" t="s">
        <v>37</v>
      </c>
      <c r="G166" t="s">
        <v>38</v>
      </c>
      <c r="H166" t="s">
        <v>341</v>
      </c>
      <c r="I166" t="s">
        <v>190</v>
      </c>
      <c r="J166" t="s">
        <v>58</v>
      </c>
      <c r="K166" t="s">
        <v>59</v>
      </c>
      <c r="M166" t="s">
        <v>730</v>
      </c>
      <c r="N166" t="s">
        <v>731</v>
      </c>
      <c r="O166" t="s">
        <v>36</v>
      </c>
      <c r="Q166" t="s">
        <v>62</v>
      </c>
      <c r="R166" t="s">
        <v>732</v>
      </c>
      <c r="S166" t="s">
        <v>732</v>
      </c>
      <c r="T166" t="s">
        <v>47</v>
      </c>
      <c r="U166" t="s">
        <v>428</v>
      </c>
      <c r="V166" t="s">
        <v>49</v>
      </c>
      <c r="W166" t="s">
        <v>425</v>
      </c>
      <c r="X166" t="s">
        <v>686</v>
      </c>
      <c r="Y166" t="s">
        <v>766</v>
      </c>
      <c r="Z166" t="s">
        <v>766</v>
      </c>
      <c r="AA166" t="s">
        <v>767</v>
      </c>
      <c r="AB166" s="3">
        <f t="shared" si="16"/>
        <v>0.19999999999999998</v>
      </c>
      <c r="AC166">
        <v>19.649999999999999</v>
      </c>
      <c r="AD166" s="2">
        <v>98.25</v>
      </c>
      <c r="AE166" s="2">
        <v>4.16</v>
      </c>
      <c r="AF166" s="2">
        <v>0.15</v>
      </c>
      <c r="AG166" s="2">
        <v>23.95</v>
      </c>
      <c r="AH166">
        <v>0</v>
      </c>
      <c r="AI166">
        <v>119.75</v>
      </c>
      <c r="AJ166">
        <v>0.11975</v>
      </c>
      <c r="AK166" t="s">
        <v>54</v>
      </c>
      <c r="AL166">
        <v>0.14000000000000001</v>
      </c>
      <c r="AM166" s="4">
        <f t="shared" si="17"/>
        <v>119.75</v>
      </c>
      <c r="AN166" s="4">
        <f t="shared" si="18"/>
        <v>184.21875</v>
      </c>
      <c r="AO166" s="4">
        <f t="shared" si="19"/>
        <v>204.66703125000001</v>
      </c>
      <c r="AP166" s="4">
        <f t="shared" si="20"/>
        <v>298.41595312499999</v>
      </c>
      <c r="AQ166" s="10">
        <f t="shared" si="21"/>
        <v>208.25722500000001</v>
      </c>
      <c r="AR166" s="10">
        <f t="shared" si="22"/>
        <v>231.39460269750001</v>
      </c>
      <c r="AS166" s="10">
        <f t="shared" si="23"/>
        <v>324.21484787999998</v>
      </c>
    </row>
    <row r="167" spans="1:45" x14ac:dyDescent="0.3">
      <c r="A167">
        <v>2025</v>
      </c>
      <c r="B167">
        <v>12</v>
      </c>
      <c r="C167" t="s">
        <v>55</v>
      </c>
      <c r="D167">
        <v>10</v>
      </c>
      <c r="E167" t="s">
        <v>36</v>
      </c>
      <c r="F167" t="s">
        <v>37</v>
      </c>
      <c r="G167" t="s">
        <v>38</v>
      </c>
      <c r="H167" t="s">
        <v>101</v>
      </c>
      <c r="I167" t="s">
        <v>57</v>
      </c>
      <c r="J167" t="s">
        <v>58</v>
      </c>
      <c r="K167" t="s">
        <v>59</v>
      </c>
      <c r="L167" t="s">
        <v>1769</v>
      </c>
      <c r="M167" t="s">
        <v>1770</v>
      </c>
      <c r="N167" t="s">
        <v>1771</v>
      </c>
      <c r="O167" t="s">
        <v>1197</v>
      </c>
      <c r="Q167" t="s">
        <v>62</v>
      </c>
      <c r="R167" t="s">
        <v>1772</v>
      </c>
      <c r="S167" t="s">
        <v>1772</v>
      </c>
      <c r="T167" t="s">
        <v>47</v>
      </c>
      <c r="U167" t="s">
        <v>167</v>
      </c>
      <c r="V167" t="s">
        <v>49</v>
      </c>
      <c r="W167" t="s">
        <v>168</v>
      </c>
      <c r="X167" t="s">
        <v>51</v>
      </c>
      <c r="Y167" t="s">
        <v>764</v>
      </c>
      <c r="Z167" t="s">
        <v>764</v>
      </c>
      <c r="AA167" t="s">
        <v>765</v>
      </c>
      <c r="AB167" s="3">
        <f t="shared" si="16"/>
        <v>0.83000000000000229</v>
      </c>
      <c r="AC167">
        <v>8.2200000000000006</v>
      </c>
      <c r="AD167" s="2">
        <v>9.9036144578312992</v>
      </c>
      <c r="AE167" s="2">
        <v>1.74</v>
      </c>
      <c r="AF167" s="2">
        <v>0.6</v>
      </c>
      <c r="AG167" s="2">
        <v>10.1</v>
      </c>
      <c r="AH167">
        <v>0</v>
      </c>
      <c r="AI167">
        <v>12.168674698795</v>
      </c>
      <c r="AJ167">
        <v>5.0500000000000003E-2</v>
      </c>
      <c r="AK167" t="s">
        <v>54</v>
      </c>
      <c r="AL167">
        <v>0.6</v>
      </c>
      <c r="AM167" s="4">
        <f t="shared" si="17"/>
        <v>12.168674698795147</v>
      </c>
      <c r="AN167" s="4">
        <f t="shared" si="18"/>
        <v>18.569277108433685</v>
      </c>
      <c r="AO167" s="4">
        <f t="shared" si="19"/>
        <v>20.630466867469824</v>
      </c>
      <c r="AP167" s="4">
        <f t="shared" si="20"/>
        <v>30.080371987951725</v>
      </c>
      <c r="AQ167" s="10">
        <f t="shared" si="21"/>
        <v>21.162542168674641</v>
      </c>
      <c r="AR167" s="10">
        <f t="shared" si="22"/>
        <v>23.513700603614392</v>
      </c>
      <c r="AS167" s="10">
        <f t="shared" si="23"/>
        <v>32.94584564819268</v>
      </c>
    </row>
    <row r="168" spans="1:45" x14ac:dyDescent="0.3">
      <c r="A168">
        <v>2025</v>
      </c>
      <c r="B168">
        <v>6</v>
      </c>
      <c r="C168" t="s">
        <v>55</v>
      </c>
      <c r="D168">
        <v>10</v>
      </c>
      <c r="E168" t="s">
        <v>36</v>
      </c>
      <c r="F168" t="s">
        <v>37</v>
      </c>
      <c r="G168" t="s">
        <v>38</v>
      </c>
      <c r="H168" t="s">
        <v>101</v>
      </c>
      <c r="I168" t="s">
        <v>190</v>
      </c>
      <c r="J168" t="s">
        <v>58</v>
      </c>
      <c r="K168" t="s">
        <v>59</v>
      </c>
      <c r="M168" t="s">
        <v>730</v>
      </c>
      <c r="N168" t="s">
        <v>731</v>
      </c>
      <c r="O168" t="s">
        <v>36</v>
      </c>
      <c r="Q168" t="s">
        <v>62</v>
      </c>
      <c r="R168" t="s">
        <v>732</v>
      </c>
      <c r="S168" t="s">
        <v>732</v>
      </c>
      <c r="T168" t="s">
        <v>47</v>
      </c>
      <c r="U168" t="s">
        <v>153</v>
      </c>
      <c r="V168" t="s">
        <v>49</v>
      </c>
      <c r="W168" t="s">
        <v>154</v>
      </c>
      <c r="X168" t="s">
        <v>686</v>
      </c>
      <c r="Y168" t="s">
        <v>1891</v>
      </c>
      <c r="Z168" t="s">
        <v>1891</v>
      </c>
      <c r="AA168" t="s">
        <v>1892</v>
      </c>
      <c r="AB168" s="3">
        <f t="shared" si="16"/>
        <v>2</v>
      </c>
      <c r="AC168">
        <v>17.37</v>
      </c>
      <c r="AD168" s="2">
        <v>8.6850000000000005</v>
      </c>
      <c r="AE168" s="2">
        <v>5.16</v>
      </c>
      <c r="AF168" s="2">
        <v>0.13</v>
      </c>
      <c r="AG168" s="2">
        <v>22.65</v>
      </c>
      <c r="AH168">
        <v>0</v>
      </c>
      <c r="AI168">
        <v>11.324999999999999</v>
      </c>
      <c r="AJ168">
        <v>0.11325</v>
      </c>
      <c r="AK168" t="s">
        <v>54</v>
      </c>
      <c r="AL168">
        <v>0.13</v>
      </c>
      <c r="AM168" s="4">
        <f t="shared" si="17"/>
        <v>11.324999999999999</v>
      </c>
      <c r="AN168" s="4">
        <f t="shared" si="18"/>
        <v>16.284375000000001</v>
      </c>
      <c r="AO168" s="4">
        <f t="shared" si="19"/>
        <v>18.091940624999999</v>
      </c>
      <c r="AP168" s="4">
        <f t="shared" si="20"/>
        <v>26.379059062499998</v>
      </c>
      <c r="AQ168" s="10">
        <f t="shared" si="21"/>
        <v>19.695307499999998</v>
      </c>
      <c r="AR168" s="10">
        <f t="shared" si="22"/>
        <v>21.883456163249999</v>
      </c>
      <c r="AS168" s="10">
        <f t="shared" si="23"/>
        <v>30.661654715999997</v>
      </c>
    </row>
    <row r="169" spans="1:45" x14ac:dyDescent="0.3">
      <c r="A169">
        <v>2025</v>
      </c>
      <c r="B169">
        <v>8</v>
      </c>
      <c r="C169" t="s">
        <v>55</v>
      </c>
      <c r="D169">
        <v>10</v>
      </c>
      <c r="E169" t="s">
        <v>36</v>
      </c>
      <c r="F169" t="s">
        <v>37</v>
      </c>
      <c r="G169" t="s">
        <v>38</v>
      </c>
      <c r="H169" t="s">
        <v>206</v>
      </c>
      <c r="I169" t="s">
        <v>190</v>
      </c>
      <c r="J169" t="s">
        <v>58</v>
      </c>
      <c r="K169" t="s">
        <v>59</v>
      </c>
      <c r="L169" t="s">
        <v>1194</v>
      </c>
      <c r="M169" t="s">
        <v>1195</v>
      </c>
      <c r="N169" t="s">
        <v>1196</v>
      </c>
      <c r="O169" t="s">
        <v>1197</v>
      </c>
      <c r="Q169" t="s">
        <v>62</v>
      </c>
      <c r="R169" t="s">
        <v>1198</v>
      </c>
      <c r="S169" t="s">
        <v>1198</v>
      </c>
      <c r="T169" t="s">
        <v>47</v>
      </c>
      <c r="U169" t="s">
        <v>153</v>
      </c>
      <c r="V169" t="s">
        <v>49</v>
      </c>
      <c r="W169" t="s">
        <v>154</v>
      </c>
      <c r="X169" t="s">
        <v>388</v>
      </c>
      <c r="Y169" t="s">
        <v>845</v>
      </c>
      <c r="Z169" t="s">
        <v>845</v>
      </c>
      <c r="AA169" t="s">
        <v>846</v>
      </c>
      <c r="AB169" s="3">
        <f t="shared" si="16"/>
        <v>1</v>
      </c>
      <c r="AC169">
        <v>40.43</v>
      </c>
      <c r="AD169" s="2">
        <v>40.43</v>
      </c>
      <c r="AE169" s="2">
        <v>8.5500000000000007</v>
      </c>
      <c r="AF169" s="2">
        <v>0.3</v>
      </c>
      <c r="AG169" s="2">
        <v>49.28</v>
      </c>
      <c r="AH169">
        <v>0</v>
      </c>
      <c r="AI169">
        <v>49.28</v>
      </c>
      <c r="AJ169">
        <v>0.24640000000000001</v>
      </c>
      <c r="AK169" t="s">
        <v>54</v>
      </c>
      <c r="AL169">
        <v>0.28999999999999998</v>
      </c>
      <c r="AM169" s="4">
        <f t="shared" si="17"/>
        <v>49.28</v>
      </c>
      <c r="AN169" s="4">
        <f t="shared" si="18"/>
        <v>75.806250000000006</v>
      </c>
      <c r="AO169" s="4">
        <f t="shared" si="19"/>
        <v>84.220743750000011</v>
      </c>
      <c r="AP169" s="4">
        <f t="shared" si="20"/>
        <v>122.79854437500001</v>
      </c>
      <c r="AQ169" s="10">
        <f t="shared" si="21"/>
        <v>85.702848000000003</v>
      </c>
      <c r="AR169" s="10">
        <f t="shared" si="22"/>
        <v>95.224434412800008</v>
      </c>
      <c r="AS169" s="10">
        <f t="shared" si="23"/>
        <v>133.4221937664</v>
      </c>
    </row>
    <row r="170" spans="1:45" x14ac:dyDescent="0.3">
      <c r="A170">
        <v>2025</v>
      </c>
      <c r="B170">
        <v>4</v>
      </c>
      <c r="C170" t="s">
        <v>55</v>
      </c>
      <c r="D170">
        <v>10</v>
      </c>
      <c r="E170" t="s">
        <v>36</v>
      </c>
      <c r="F170" t="s">
        <v>37</v>
      </c>
      <c r="G170" t="s">
        <v>38</v>
      </c>
      <c r="H170" t="s">
        <v>56</v>
      </c>
      <c r="I170" t="s">
        <v>190</v>
      </c>
      <c r="J170" t="s">
        <v>58</v>
      </c>
      <c r="K170" t="s">
        <v>59</v>
      </c>
      <c r="M170" t="s">
        <v>383</v>
      </c>
      <c r="N170" t="s">
        <v>384</v>
      </c>
      <c r="O170" t="s">
        <v>36</v>
      </c>
      <c r="Q170" t="s">
        <v>62</v>
      </c>
      <c r="R170" t="s">
        <v>385</v>
      </c>
      <c r="S170" t="s">
        <v>385</v>
      </c>
      <c r="T170" t="s">
        <v>47</v>
      </c>
      <c r="U170" t="s">
        <v>153</v>
      </c>
      <c r="V170" t="s">
        <v>49</v>
      </c>
      <c r="W170" t="s">
        <v>154</v>
      </c>
      <c r="X170" t="s">
        <v>388</v>
      </c>
      <c r="Y170" t="s">
        <v>1104</v>
      </c>
      <c r="Z170" t="s">
        <v>1104</v>
      </c>
      <c r="AA170" t="s">
        <v>1374</v>
      </c>
      <c r="AB170" s="3">
        <f t="shared" si="16"/>
        <v>2</v>
      </c>
      <c r="AC170">
        <v>88.89</v>
      </c>
      <c r="AD170" s="2">
        <v>44.445</v>
      </c>
      <c r="AE170" s="2">
        <v>6.37</v>
      </c>
      <c r="AF170" s="2">
        <v>0.57999999999999996</v>
      </c>
      <c r="AG170" s="2">
        <v>95.84</v>
      </c>
      <c r="AH170">
        <v>0</v>
      </c>
      <c r="AI170">
        <v>47.92</v>
      </c>
      <c r="AJ170">
        <v>0.47920000000000001</v>
      </c>
      <c r="AK170" t="s">
        <v>54</v>
      </c>
      <c r="AL170">
        <v>0.75</v>
      </c>
      <c r="AM170" s="4">
        <f t="shared" si="17"/>
        <v>47.92</v>
      </c>
      <c r="AN170" s="4">
        <f t="shared" si="18"/>
        <v>83.334374999999994</v>
      </c>
      <c r="AO170" s="4">
        <f t="shared" si="19"/>
        <v>92.584490624999987</v>
      </c>
      <c r="AP170" s="4">
        <f t="shared" si="20"/>
        <v>134.99335406249998</v>
      </c>
      <c r="AQ170" s="10">
        <f t="shared" si="21"/>
        <v>83.337672000000012</v>
      </c>
      <c r="AR170" s="10">
        <f t="shared" si="22"/>
        <v>92.596487359200012</v>
      </c>
      <c r="AS170" s="10">
        <f t="shared" si="23"/>
        <v>129.74008776960002</v>
      </c>
    </row>
    <row r="171" spans="1:45" x14ac:dyDescent="0.3">
      <c r="A171">
        <v>2025</v>
      </c>
      <c r="B171">
        <v>7</v>
      </c>
      <c r="C171" t="s">
        <v>55</v>
      </c>
      <c r="D171">
        <v>10</v>
      </c>
      <c r="E171" t="s">
        <v>36</v>
      </c>
      <c r="F171" t="s">
        <v>37</v>
      </c>
      <c r="G171" t="s">
        <v>38</v>
      </c>
      <c r="H171" t="s">
        <v>101</v>
      </c>
      <c r="I171" t="s">
        <v>190</v>
      </c>
      <c r="J171" t="s">
        <v>58</v>
      </c>
      <c r="K171" t="s">
        <v>41</v>
      </c>
      <c r="L171" t="s">
        <v>953</v>
      </c>
      <c r="M171" t="s">
        <v>954</v>
      </c>
      <c r="N171" t="s">
        <v>731</v>
      </c>
      <c r="O171" t="s">
        <v>36</v>
      </c>
      <c r="Q171" t="s">
        <v>62</v>
      </c>
      <c r="R171" t="s">
        <v>955</v>
      </c>
      <c r="S171" t="s">
        <v>956</v>
      </c>
      <c r="T171" t="s">
        <v>47</v>
      </c>
      <c r="U171" t="s">
        <v>153</v>
      </c>
      <c r="V171" t="s">
        <v>49</v>
      </c>
      <c r="W171" t="s">
        <v>154</v>
      </c>
      <c r="X171" t="s">
        <v>51</v>
      </c>
      <c r="Y171" t="s">
        <v>529</v>
      </c>
      <c r="Z171" t="s">
        <v>529</v>
      </c>
      <c r="AA171" t="s">
        <v>530</v>
      </c>
      <c r="AB171" s="3">
        <f t="shared" si="16"/>
        <v>5</v>
      </c>
      <c r="AC171">
        <v>245.54</v>
      </c>
      <c r="AD171" s="2">
        <v>49.107999999999997</v>
      </c>
      <c r="AE171" s="2">
        <v>76.62</v>
      </c>
      <c r="AF171" s="2">
        <v>1.5</v>
      </c>
      <c r="AG171" s="2">
        <v>323.66000000000003</v>
      </c>
      <c r="AH171">
        <v>0</v>
      </c>
      <c r="AI171">
        <v>64.731999999999999</v>
      </c>
      <c r="AJ171">
        <v>1.6183000000000001</v>
      </c>
      <c r="AK171" t="s">
        <v>54</v>
      </c>
      <c r="AL171">
        <v>3.9</v>
      </c>
      <c r="AM171" s="4">
        <f t="shared" si="17"/>
        <v>64.731999999999999</v>
      </c>
      <c r="AN171" s="4">
        <f t="shared" si="18"/>
        <v>92.077500000000001</v>
      </c>
      <c r="AO171" s="4">
        <f t="shared" si="19"/>
        <v>102.2981025</v>
      </c>
      <c r="AP171" s="4">
        <f t="shared" si="20"/>
        <v>149.15634224999999</v>
      </c>
      <c r="AQ171" s="10">
        <f t="shared" si="21"/>
        <v>112.57542120000001</v>
      </c>
      <c r="AR171" s="10">
        <f t="shared" si="22"/>
        <v>125.08255049532001</v>
      </c>
      <c r="AS171" s="10">
        <f t="shared" si="23"/>
        <v>175.25741572416001</v>
      </c>
    </row>
    <row r="172" spans="1:45" x14ac:dyDescent="0.3">
      <c r="A172">
        <v>2025</v>
      </c>
      <c r="B172">
        <v>8</v>
      </c>
      <c r="C172" t="s">
        <v>55</v>
      </c>
      <c r="D172">
        <v>10</v>
      </c>
      <c r="E172" t="s">
        <v>36</v>
      </c>
      <c r="F172" t="s">
        <v>37</v>
      </c>
      <c r="G172" t="s">
        <v>38</v>
      </c>
      <c r="H172" t="s">
        <v>101</v>
      </c>
      <c r="I172" t="s">
        <v>190</v>
      </c>
      <c r="J172" t="s">
        <v>58</v>
      </c>
      <c r="K172" t="s">
        <v>59</v>
      </c>
      <c r="L172" t="s">
        <v>1194</v>
      </c>
      <c r="M172" t="s">
        <v>1195</v>
      </c>
      <c r="N172" t="s">
        <v>1196</v>
      </c>
      <c r="O172" t="s">
        <v>1197</v>
      </c>
      <c r="Q172" t="s">
        <v>62</v>
      </c>
      <c r="R172" t="s">
        <v>1198</v>
      </c>
      <c r="S172" t="s">
        <v>1198</v>
      </c>
      <c r="T172" t="s">
        <v>47</v>
      </c>
      <c r="U172" t="s">
        <v>163</v>
      </c>
      <c r="V172" t="s">
        <v>49</v>
      </c>
      <c r="W172" t="s">
        <v>164</v>
      </c>
      <c r="X172" t="s">
        <v>388</v>
      </c>
      <c r="Y172" t="s">
        <v>1104</v>
      </c>
      <c r="Z172" t="s">
        <v>1104</v>
      </c>
      <c r="AA172" t="s">
        <v>1105</v>
      </c>
      <c r="AB172" s="3">
        <f t="shared" si="16"/>
        <v>1</v>
      </c>
      <c r="AC172">
        <v>42.69</v>
      </c>
      <c r="AD172" s="2">
        <v>42.69</v>
      </c>
      <c r="AE172" s="2">
        <v>29.4</v>
      </c>
      <c r="AF172" s="2">
        <v>0.27</v>
      </c>
      <c r="AG172" s="2">
        <v>72</v>
      </c>
      <c r="AH172">
        <v>0</v>
      </c>
      <c r="AI172">
        <v>72</v>
      </c>
      <c r="AJ172">
        <v>0.36</v>
      </c>
      <c r="AK172" t="s">
        <v>54</v>
      </c>
      <c r="AL172">
        <v>2.17</v>
      </c>
      <c r="AM172" s="4">
        <f t="shared" si="17"/>
        <v>72</v>
      </c>
      <c r="AN172" s="4">
        <f t="shared" si="18"/>
        <v>80.043749999999989</v>
      </c>
      <c r="AO172" s="4">
        <f t="shared" si="19"/>
        <v>88.928606249999987</v>
      </c>
      <c r="AP172" s="4">
        <f t="shared" si="20"/>
        <v>129.66287062499998</v>
      </c>
      <c r="AQ172" s="10">
        <f t="shared" si="21"/>
        <v>125.21520000000001</v>
      </c>
      <c r="AR172" s="10">
        <f t="shared" si="22"/>
        <v>139.12660872000001</v>
      </c>
      <c r="AS172" s="10">
        <f t="shared" si="23"/>
        <v>194.93502336</v>
      </c>
    </row>
    <row r="173" spans="1:45" x14ac:dyDescent="0.3">
      <c r="A173">
        <v>2025</v>
      </c>
      <c r="B173">
        <v>11</v>
      </c>
      <c r="C173" t="s">
        <v>55</v>
      </c>
      <c r="D173">
        <v>10</v>
      </c>
      <c r="E173" t="s">
        <v>36</v>
      </c>
      <c r="F173" t="s">
        <v>37</v>
      </c>
      <c r="G173" t="s">
        <v>38</v>
      </c>
      <c r="H173" t="s">
        <v>101</v>
      </c>
      <c r="I173" t="s">
        <v>375</v>
      </c>
      <c r="J173" t="s">
        <v>376</v>
      </c>
      <c r="K173" t="s">
        <v>51</v>
      </c>
      <c r="L173" t="s">
        <v>1622</v>
      </c>
      <c r="M173" t="s">
        <v>1623</v>
      </c>
      <c r="N173" t="s">
        <v>1485</v>
      </c>
      <c r="O173" t="s">
        <v>1197</v>
      </c>
      <c r="Q173" t="s">
        <v>62</v>
      </c>
      <c r="R173" t="s">
        <v>1624</v>
      </c>
      <c r="S173" t="s">
        <v>1624</v>
      </c>
      <c r="T173" t="s">
        <v>47</v>
      </c>
      <c r="U173" t="s">
        <v>157</v>
      </c>
      <c r="V173" t="s">
        <v>49</v>
      </c>
      <c r="W173" t="s">
        <v>158</v>
      </c>
      <c r="X173" t="s">
        <v>51</v>
      </c>
      <c r="Y173" t="s">
        <v>1111</v>
      </c>
      <c r="Z173" t="s">
        <v>1111</v>
      </c>
      <c r="AA173" t="s">
        <v>1390</v>
      </c>
      <c r="AB173" s="3">
        <f t="shared" si="16"/>
        <v>2</v>
      </c>
      <c r="AC173">
        <v>472.36</v>
      </c>
      <c r="AD173" s="2">
        <v>236.18</v>
      </c>
      <c r="AE173" s="2">
        <v>33.85</v>
      </c>
      <c r="AF173" s="2">
        <v>3.6</v>
      </c>
      <c r="AG173" s="2">
        <v>509.26</v>
      </c>
      <c r="AH173">
        <v>0</v>
      </c>
      <c r="AI173">
        <v>254.63</v>
      </c>
      <c r="AJ173">
        <v>2.5463</v>
      </c>
      <c r="AK173" t="s">
        <v>54</v>
      </c>
      <c r="AL173">
        <v>3.98</v>
      </c>
      <c r="AM173" s="4">
        <f t="shared" si="17"/>
        <v>254.63</v>
      </c>
      <c r="AN173" s="4">
        <f t="shared" si="18"/>
        <v>442.83750000000003</v>
      </c>
      <c r="AO173" s="4">
        <f t="shared" si="19"/>
        <v>491.99246250000004</v>
      </c>
      <c r="AP173" s="4">
        <f t="shared" si="20"/>
        <v>717.35246625000002</v>
      </c>
      <c r="AQ173" s="10">
        <f t="shared" si="21"/>
        <v>442.82703300000003</v>
      </c>
      <c r="AR173" s="10">
        <f t="shared" si="22"/>
        <v>492.02511636630004</v>
      </c>
      <c r="AS173" s="10">
        <f t="shared" si="23"/>
        <v>689.39312497440005</v>
      </c>
    </row>
    <row r="174" spans="1:45" x14ac:dyDescent="0.3">
      <c r="A174">
        <v>2025</v>
      </c>
      <c r="B174">
        <v>12</v>
      </c>
      <c r="C174" t="s">
        <v>55</v>
      </c>
      <c r="D174">
        <v>10</v>
      </c>
      <c r="E174" t="s">
        <v>36</v>
      </c>
      <c r="F174" t="s">
        <v>37</v>
      </c>
      <c r="G174" t="s">
        <v>38</v>
      </c>
      <c r="H174" t="s">
        <v>101</v>
      </c>
      <c r="I174" t="s">
        <v>57</v>
      </c>
      <c r="J174" t="s">
        <v>58</v>
      </c>
      <c r="K174" t="s">
        <v>59</v>
      </c>
      <c r="L174" t="s">
        <v>1769</v>
      </c>
      <c r="M174" t="s">
        <v>1770</v>
      </c>
      <c r="N174" t="s">
        <v>1771</v>
      </c>
      <c r="O174" t="s">
        <v>1197</v>
      </c>
      <c r="Q174" t="s">
        <v>62</v>
      </c>
      <c r="R174" t="s">
        <v>1772</v>
      </c>
      <c r="S174" t="s">
        <v>1772</v>
      </c>
      <c r="T174" t="s">
        <v>47</v>
      </c>
      <c r="U174" t="s">
        <v>157</v>
      </c>
      <c r="V174" t="s">
        <v>49</v>
      </c>
      <c r="W174" t="s">
        <v>158</v>
      </c>
      <c r="X174" t="s">
        <v>51</v>
      </c>
      <c r="Y174" t="s">
        <v>1532</v>
      </c>
      <c r="Z174" t="s">
        <v>1532</v>
      </c>
      <c r="AA174" t="s">
        <v>1720</v>
      </c>
      <c r="AB174" s="3">
        <f t="shared" si="16"/>
        <v>1</v>
      </c>
      <c r="AC174">
        <v>166.46</v>
      </c>
      <c r="AD174" s="2">
        <v>166.46</v>
      </c>
      <c r="AE174" s="2">
        <v>23.31</v>
      </c>
      <c r="AF174" s="2">
        <v>1.1499999999999999</v>
      </c>
      <c r="AG174" s="2">
        <v>190.92</v>
      </c>
      <c r="AH174">
        <v>0</v>
      </c>
      <c r="AI174">
        <v>190.92</v>
      </c>
      <c r="AJ174">
        <v>0.9546</v>
      </c>
      <c r="AK174" t="s">
        <v>54</v>
      </c>
      <c r="AL174">
        <v>0.87</v>
      </c>
      <c r="AM174" s="4">
        <f t="shared" si="17"/>
        <v>190.92</v>
      </c>
      <c r="AN174" s="4">
        <f t="shared" si="18"/>
        <v>312.11250000000001</v>
      </c>
      <c r="AO174" s="4">
        <f t="shared" si="19"/>
        <v>346.75698750000004</v>
      </c>
      <c r="AP174" s="4">
        <f t="shared" si="20"/>
        <v>505.59103875</v>
      </c>
      <c r="AQ174" s="10">
        <f t="shared" si="21"/>
        <v>332.02897200000001</v>
      </c>
      <c r="AR174" s="10">
        <f t="shared" si="22"/>
        <v>368.9173907892</v>
      </c>
      <c r="AS174" s="10">
        <f t="shared" si="23"/>
        <v>516.90270360960005</v>
      </c>
    </row>
    <row r="175" spans="1:45" x14ac:dyDescent="0.3">
      <c r="A175">
        <v>2025</v>
      </c>
      <c r="B175">
        <v>12</v>
      </c>
      <c r="C175" t="s">
        <v>55</v>
      </c>
      <c r="D175">
        <v>10</v>
      </c>
      <c r="E175" t="s">
        <v>36</v>
      </c>
      <c r="F175" t="s">
        <v>37</v>
      </c>
      <c r="G175" t="s">
        <v>38</v>
      </c>
      <c r="H175" t="s">
        <v>78</v>
      </c>
      <c r="I175" t="s">
        <v>57</v>
      </c>
      <c r="J175" t="s">
        <v>58</v>
      </c>
      <c r="K175" t="s">
        <v>59</v>
      </c>
      <c r="L175" t="s">
        <v>1769</v>
      </c>
      <c r="M175" t="s">
        <v>1770</v>
      </c>
      <c r="N175" t="s">
        <v>1771</v>
      </c>
      <c r="O175" t="s">
        <v>1197</v>
      </c>
      <c r="Q175" t="s">
        <v>62</v>
      </c>
      <c r="R175" t="s">
        <v>1772</v>
      </c>
      <c r="S175" t="s">
        <v>1772</v>
      </c>
      <c r="T175" t="s">
        <v>47</v>
      </c>
      <c r="U175" t="s">
        <v>1927</v>
      </c>
      <c r="V175" t="s">
        <v>49</v>
      </c>
      <c r="W175" t="s">
        <v>1928</v>
      </c>
      <c r="X175" t="s">
        <v>51</v>
      </c>
      <c r="Y175" t="s">
        <v>1883</v>
      </c>
      <c r="Z175" t="s">
        <v>1883</v>
      </c>
      <c r="AA175" t="s">
        <v>1720</v>
      </c>
      <c r="AB175" s="3">
        <f t="shared" si="16"/>
        <v>1</v>
      </c>
      <c r="AC175">
        <v>174.56</v>
      </c>
      <c r="AD175" s="2">
        <v>174.56</v>
      </c>
      <c r="AE175" s="2">
        <v>51.82</v>
      </c>
      <c r="AF175" s="2">
        <v>1.31</v>
      </c>
      <c r="AG175" s="2">
        <v>227.7</v>
      </c>
      <c r="AH175">
        <v>0</v>
      </c>
      <c r="AI175">
        <v>227.7</v>
      </c>
      <c r="AJ175">
        <v>1.1385000000000001</v>
      </c>
      <c r="AK175" t="s">
        <v>54</v>
      </c>
      <c r="AL175">
        <v>1.3</v>
      </c>
      <c r="AM175" s="4">
        <f t="shared" si="17"/>
        <v>227.7</v>
      </c>
      <c r="AN175" s="4">
        <f t="shared" si="18"/>
        <v>327.3</v>
      </c>
      <c r="AO175" s="4">
        <f t="shared" si="19"/>
        <v>363.63030000000003</v>
      </c>
      <c r="AP175" s="4">
        <f t="shared" si="20"/>
        <v>530.19326999999998</v>
      </c>
      <c r="AQ175" s="10">
        <f t="shared" si="21"/>
        <v>395.99306999999999</v>
      </c>
      <c r="AR175" s="10">
        <f t="shared" si="22"/>
        <v>439.98790007700001</v>
      </c>
      <c r="AS175" s="10">
        <f t="shared" si="23"/>
        <v>616.48201137599995</v>
      </c>
    </row>
    <row r="176" spans="1:45" x14ac:dyDescent="0.3">
      <c r="A176">
        <v>2025</v>
      </c>
      <c r="B176">
        <v>12</v>
      </c>
      <c r="C176" t="s">
        <v>55</v>
      </c>
      <c r="D176">
        <v>10</v>
      </c>
      <c r="E176" t="s">
        <v>36</v>
      </c>
      <c r="F176" t="s">
        <v>37</v>
      </c>
      <c r="G176" t="s">
        <v>38</v>
      </c>
      <c r="H176" t="s">
        <v>78</v>
      </c>
      <c r="I176" t="s">
        <v>57</v>
      </c>
      <c r="J176" t="s">
        <v>58</v>
      </c>
      <c r="K176" t="s">
        <v>59</v>
      </c>
      <c r="L176" t="s">
        <v>1769</v>
      </c>
      <c r="M176" t="s">
        <v>1770</v>
      </c>
      <c r="N176" t="s">
        <v>1771</v>
      </c>
      <c r="O176" t="s">
        <v>1197</v>
      </c>
      <c r="Q176" t="s">
        <v>62</v>
      </c>
      <c r="R176" t="s">
        <v>1772</v>
      </c>
      <c r="S176" t="s">
        <v>1772</v>
      </c>
      <c r="T176" t="s">
        <v>47</v>
      </c>
      <c r="U176" t="s">
        <v>1927</v>
      </c>
      <c r="V176" t="s">
        <v>49</v>
      </c>
      <c r="W176" t="s">
        <v>1928</v>
      </c>
      <c r="X176" t="s">
        <v>51</v>
      </c>
      <c r="Y176" t="s">
        <v>1930</v>
      </c>
      <c r="Z176" t="s">
        <v>1930</v>
      </c>
      <c r="AA176" t="s">
        <v>1931</v>
      </c>
      <c r="AB176" s="3">
        <f t="shared" si="16"/>
        <v>1</v>
      </c>
      <c r="AC176">
        <v>47.4</v>
      </c>
      <c r="AD176" s="2">
        <v>47.4</v>
      </c>
      <c r="AE176" s="2">
        <v>13.97</v>
      </c>
      <c r="AF176" s="2">
        <v>0.35</v>
      </c>
      <c r="AG176" s="2">
        <v>61.36</v>
      </c>
      <c r="AH176">
        <v>0</v>
      </c>
      <c r="AI176">
        <v>61.36</v>
      </c>
      <c r="AJ176">
        <v>0.30680000000000002</v>
      </c>
      <c r="AK176" t="s">
        <v>54</v>
      </c>
      <c r="AL176">
        <v>0.35</v>
      </c>
      <c r="AM176" s="4">
        <f t="shared" si="17"/>
        <v>61.36</v>
      </c>
      <c r="AN176" s="4">
        <f t="shared" si="18"/>
        <v>88.875</v>
      </c>
      <c r="AO176" s="4">
        <f t="shared" si="19"/>
        <v>98.740124999999992</v>
      </c>
      <c r="AP176" s="4">
        <f t="shared" si="20"/>
        <v>143.96861249999998</v>
      </c>
      <c r="AQ176" s="10">
        <f t="shared" si="21"/>
        <v>106.71117600000001</v>
      </c>
      <c r="AR176" s="10">
        <f t="shared" si="22"/>
        <v>118.5667876536</v>
      </c>
      <c r="AS176" s="10">
        <f t="shared" si="23"/>
        <v>166.12795879680002</v>
      </c>
    </row>
    <row r="177" spans="1:45" x14ac:dyDescent="0.3">
      <c r="A177">
        <v>2025</v>
      </c>
      <c r="B177">
        <v>9</v>
      </c>
      <c r="C177" t="s">
        <v>55</v>
      </c>
      <c r="D177">
        <v>10</v>
      </c>
      <c r="E177" t="s">
        <v>36</v>
      </c>
      <c r="F177" t="s">
        <v>37</v>
      </c>
      <c r="G177" t="s">
        <v>38</v>
      </c>
      <c r="H177" t="s">
        <v>78</v>
      </c>
      <c r="I177" t="s">
        <v>375</v>
      </c>
      <c r="J177" t="s">
        <v>376</v>
      </c>
      <c r="K177" t="s">
        <v>41</v>
      </c>
      <c r="L177" t="s">
        <v>1503</v>
      </c>
      <c r="M177" t="s">
        <v>1504</v>
      </c>
      <c r="N177" t="s">
        <v>377</v>
      </c>
      <c r="O177" t="s">
        <v>1197</v>
      </c>
      <c r="Q177" t="s">
        <v>62</v>
      </c>
      <c r="R177" t="s">
        <v>1505</v>
      </c>
      <c r="S177" t="s">
        <v>1505</v>
      </c>
      <c r="T177" t="s">
        <v>47</v>
      </c>
      <c r="U177" t="s">
        <v>1539</v>
      </c>
      <c r="V177" t="s">
        <v>49</v>
      </c>
      <c r="W177" t="s">
        <v>1540</v>
      </c>
      <c r="X177" t="s">
        <v>388</v>
      </c>
      <c r="Y177" t="s">
        <v>1541</v>
      </c>
      <c r="Z177" t="s">
        <v>1541</v>
      </c>
      <c r="AA177" t="s">
        <v>1929</v>
      </c>
      <c r="AB177" s="3">
        <f t="shared" si="16"/>
        <v>1</v>
      </c>
      <c r="AC177">
        <v>34.840000000000003</v>
      </c>
      <c r="AD177" s="2">
        <v>34.840000000000003</v>
      </c>
      <c r="AE177" s="2">
        <v>10.34</v>
      </c>
      <c r="AF177" s="2">
        <v>0.26</v>
      </c>
      <c r="AG177" s="2">
        <v>45.45</v>
      </c>
      <c r="AH177">
        <v>0</v>
      </c>
      <c r="AI177">
        <v>45.45</v>
      </c>
      <c r="AJ177">
        <v>0.22725000000000001</v>
      </c>
      <c r="AK177" t="s">
        <v>54</v>
      </c>
      <c r="AL177">
        <v>0.26</v>
      </c>
      <c r="AM177" s="4">
        <f t="shared" si="17"/>
        <v>45.45</v>
      </c>
      <c r="AN177" s="4">
        <f t="shared" si="18"/>
        <v>65.325000000000003</v>
      </c>
      <c r="AO177" s="4">
        <f t="shared" si="19"/>
        <v>72.576075000000003</v>
      </c>
      <c r="AP177" s="4">
        <f t="shared" si="20"/>
        <v>105.8199675</v>
      </c>
      <c r="AQ177" s="10">
        <f t="shared" si="21"/>
        <v>79.042095000000003</v>
      </c>
      <c r="AR177" s="10">
        <f t="shared" si="22"/>
        <v>87.823671754499998</v>
      </c>
      <c r="AS177" s="10">
        <f t="shared" si="23"/>
        <v>123.052733496</v>
      </c>
    </row>
    <row r="178" spans="1:45" x14ac:dyDescent="0.3">
      <c r="A178">
        <v>2025</v>
      </c>
      <c r="B178">
        <v>9</v>
      </c>
      <c r="C178" t="s">
        <v>55</v>
      </c>
      <c r="D178">
        <v>10</v>
      </c>
      <c r="E178" t="s">
        <v>36</v>
      </c>
      <c r="F178" t="s">
        <v>37</v>
      </c>
      <c r="G178" t="s">
        <v>38</v>
      </c>
      <c r="H178" t="s">
        <v>101</v>
      </c>
      <c r="I178" t="s">
        <v>375</v>
      </c>
      <c r="J178" t="s">
        <v>376</v>
      </c>
      <c r="K178" t="s">
        <v>41</v>
      </c>
      <c r="L178" t="s">
        <v>1503</v>
      </c>
      <c r="M178" t="s">
        <v>1504</v>
      </c>
      <c r="N178" t="s">
        <v>377</v>
      </c>
      <c r="O178" t="s">
        <v>1197</v>
      </c>
      <c r="Q178" t="s">
        <v>62</v>
      </c>
      <c r="R178" t="s">
        <v>1505</v>
      </c>
      <c r="S178" t="s">
        <v>1505</v>
      </c>
      <c r="T178" t="s">
        <v>47</v>
      </c>
      <c r="U178" t="s">
        <v>1539</v>
      </c>
      <c r="V178" t="s">
        <v>49</v>
      </c>
      <c r="W178" t="s">
        <v>1540</v>
      </c>
      <c r="X178" t="s">
        <v>388</v>
      </c>
      <c r="Y178" t="s">
        <v>1541</v>
      </c>
      <c r="Z178" t="s">
        <v>1541</v>
      </c>
      <c r="AA178" t="s">
        <v>1542</v>
      </c>
      <c r="AB178" s="3">
        <f t="shared" si="16"/>
        <v>1</v>
      </c>
      <c r="AC178">
        <v>8.91</v>
      </c>
      <c r="AD178" s="2">
        <v>8.91</v>
      </c>
      <c r="AE178" s="2">
        <v>3.24</v>
      </c>
      <c r="AF178" s="2">
        <v>0.8</v>
      </c>
      <c r="AG178" s="2">
        <v>12.22</v>
      </c>
      <c r="AH178">
        <v>0</v>
      </c>
      <c r="AI178">
        <v>12.22</v>
      </c>
      <c r="AJ178">
        <v>6.1100000000000002E-2</v>
      </c>
      <c r="AK178" t="s">
        <v>54</v>
      </c>
      <c r="AL178">
        <v>2.23</v>
      </c>
      <c r="AM178" s="4">
        <f t="shared" si="17"/>
        <v>12.22</v>
      </c>
      <c r="AN178" s="4">
        <f t="shared" si="18"/>
        <v>16.706250000000001</v>
      </c>
      <c r="AO178" s="4">
        <f t="shared" si="19"/>
        <v>18.560643750000001</v>
      </c>
      <c r="AP178" s="4">
        <f t="shared" si="20"/>
        <v>27.062454374999998</v>
      </c>
      <c r="AQ178" s="10">
        <f t="shared" si="21"/>
        <v>21.251802000000001</v>
      </c>
      <c r="AR178" s="10">
        <f t="shared" si="22"/>
        <v>23.6128772022</v>
      </c>
      <c r="AS178" s="10">
        <f t="shared" si="23"/>
        <v>33.084805353600004</v>
      </c>
    </row>
    <row r="179" spans="1:45" x14ac:dyDescent="0.3">
      <c r="A179">
        <v>2025</v>
      </c>
      <c r="B179">
        <v>6</v>
      </c>
      <c r="C179" t="s">
        <v>55</v>
      </c>
      <c r="D179">
        <v>10</v>
      </c>
      <c r="E179" t="s">
        <v>36</v>
      </c>
      <c r="F179" t="s">
        <v>37</v>
      </c>
      <c r="G179" t="s">
        <v>38</v>
      </c>
      <c r="H179" t="s">
        <v>78</v>
      </c>
      <c r="I179" t="s">
        <v>190</v>
      </c>
      <c r="J179" t="s">
        <v>58</v>
      </c>
      <c r="K179" t="s">
        <v>59</v>
      </c>
      <c r="M179" t="s">
        <v>730</v>
      </c>
      <c r="N179" t="s">
        <v>731</v>
      </c>
      <c r="O179" t="s">
        <v>36</v>
      </c>
      <c r="Q179" t="s">
        <v>62</v>
      </c>
      <c r="R179" t="s">
        <v>732</v>
      </c>
      <c r="S179" t="s">
        <v>732</v>
      </c>
      <c r="T179" t="s">
        <v>47</v>
      </c>
      <c r="U179" t="s">
        <v>669</v>
      </c>
      <c r="V179" t="s">
        <v>49</v>
      </c>
      <c r="W179" t="s">
        <v>670</v>
      </c>
      <c r="X179" t="s">
        <v>686</v>
      </c>
      <c r="Y179" t="s">
        <v>1543</v>
      </c>
      <c r="Z179" t="s">
        <v>1543</v>
      </c>
      <c r="AA179" t="s">
        <v>1544</v>
      </c>
      <c r="AB179" s="3">
        <f t="shared" si="16"/>
        <v>4</v>
      </c>
      <c r="AC179">
        <v>11.89</v>
      </c>
      <c r="AD179" s="2">
        <v>2.9725000000000001</v>
      </c>
      <c r="AE179" s="2">
        <v>4.3099999999999996</v>
      </c>
      <c r="AF179" s="2">
        <v>0.1</v>
      </c>
      <c r="AG179" s="2">
        <v>16.309999999999999</v>
      </c>
      <c r="AH179">
        <v>0</v>
      </c>
      <c r="AI179">
        <v>4.0774999999999997</v>
      </c>
      <c r="AJ179">
        <v>8.1549999999999997E-2</v>
      </c>
      <c r="AK179" t="s">
        <v>54</v>
      </c>
      <c r="AL179">
        <v>8.9</v>
      </c>
      <c r="AM179" s="4">
        <f t="shared" si="17"/>
        <v>4.0774999999999997</v>
      </c>
      <c r="AN179" s="4">
        <f t="shared" si="18"/>
        <v>5.5734375000000007</v>
      </c>
      <c r="AO179" s="4">
        <f t="shared" si="19"/>
        <v>6.1920890625000009</v>
      </c>
      <c r="AP179" s="4">
        <f t="shared" si="20"/>
        <v>9.0284114062500009</v>
      </c>
      <c r="AQ179" s="10">
        <f t="shared" si="21"/>
        <v>7.0911802499999999</v>
      </c>
      <c r="AR179" s="10">
        <f t="shared" si="22"/>
        <v>7.8790103757749996</v>
      </c>
      <c r="AS179" s="10">
        <f t="shared" si="23"/>
        <v>11.0395494132</v>
      </c>
    </row>
    <row r="180" spans="1:45" x14ac:dyDescent="0.3">
      <c r="A180">
        <v>2025</v>
      </c>
      <c r="B180">
        <v>6</v>
      </c>
      <c r="C180" t="s">
        <v>55</v>
      </c>
      <c r="D180">
        <v>10</v>
      </c>
      <c r="E180" t="s">
        <v>36</v>
      </c>
      <c r="F180" t="s">
        <v>37</v>
      </c>
      <c r="G180" t="s">
        <v>38</v>
      </c>
      <c r="H180" t="s">
        <v>78</v>
      </c>
      <c r="I180" t="s">
        <v>190</v>
      </c>
      <c r="J180" t="s">
        <v>58</v>
      </c>
      <c r="K180" t="s">
        <v>59</v>
      </c>
      <c r="M180" t="s">
        <v>730</v>
      </c>
      <c r="N180" t="s">
        <v>731</v>
      </c>
      <c r="O180" t="s">
        <v>36</v>
      </c>
      <c r="Q180" t="s">
        <v>62</v>
      </c>
      <c r="R180" t="s">
        <v>732</v>
      </c>
      <c r="S180" t="s">
        <v>732</v>
      </c>
      <c r="T180" t="s">
        <v>47</v>
      </c>
      <c r="U180" t="s">
        <v>157</v>
      </c>
      <c r="V180" t="s">
        <v>49</v>
      </c>
      <c r="W180" t="s">
        <v>158</v>
      </c>
      <c r="X180" t="s">
        <v>686</v>
      </c>
      <c r="Y180" t="s">
        <v>951</v>
      </c>
      <c r="Z180" t="s">
        <v>951</v>
      </c>
      <c r="AA180" t="s">
        <v>952</v>
      </c>
      <c r="AB180" s="3">
        <f t="shared" si="16"/>
        <v>2</v>
      </c>
      <c r="AC180">
        <v>438.91</v>
      </c>
      <c r="AD180" s="2">
        <v>219.45500000000001</v>
      </c>
      <c r="AE180" s="2">
        <v>92.8</v>
      </c>
      <c r="AF180" s="2">
        <v>3.25</v>
      </c>
      <c r="AG180" s="2">
        <v>534.96</v>
      </c>
      <c r="AH180">
        <v>0</v>
      </c>
      <c r="AI180">
        <v>267.48</v>
      </c>
      <c r="AJ180">
        <v>2.6747999999999998</v>
      </c>
      <c r="AK180" t="s">
        <v>54</v>
      </c>
      <c r="AL180">
        <v>3.17</v>
      </c>
      <c r="AM180" s="4">
        <f t="shared" si="17"/>
        <v>267.48</v>
      </c>
      <c r="AN180" s="4">
        <f t="shared" si="18"/>
        <v>411.47812500000003</v>
      </c>
      <c r="AO180" s="4">
        <f t="shared" si="19"/>
        <v>457.15219687500002</v>
      </c>
      <c r="AP180" s="4">
        <f t="shared" si="20"/>
        <v>666.55341468749998</v>
      </c>
      <c r="AQ180" s="10">
        <f t="shared" si="21"/>
        <v>465.17446800000005</v>
      </c>
      <c r="AR180" s="10">
        <f t="shared" si="22"/>
        <v>516.8553513948001</v>
      </c>
      <c r="AS180" s="10">
        <f t="shared" si="23"/>
        <v>724.18361178240002</v>
      </c>
    </row>
    <row r="181" spans="1:45" x14ac:dyDescent="0.3">
      <c r="A181">
        <v>2025</v>
      </c>
      <c r="B181">
        <v>6</v>
      </c>
      <c r="C181" t="s">
        <v>55</v>
      </c>
      <c r="D181">
        <v>10</v>
      </c>
      <c r="E181" t="s">
        <v>36</v>
      </c>
      <c r="F181" t="s">
        <v>37</v>
      </c>
      <c r="G181" t="s">
        <v>38</v>
      </c>
      <c r="H181" t="s">
        <v>101</v>
      </c>
      <c r="I181" t="s">
        <v>190</v>
      </c>
      <c r="J181" t="s">
        <v>58</v>
      </c>
      <c r="K181" t="s">
        <v>59</v>
      </c>
      <c r="M181" t="s">
        <v>730</v>
      </c>
      <c r="N181" t="s">
        <v>731</v>
      </c>
      <c r="O181" t="s">
        <v>36</v>
      </c>
      <c r="Q181" t="s">
        <v>62</v>
      </c>
      <c r="R181" t="s">
        <v>732</v>
      </c>
      <c r="S181" t="s">
        <v>732</v>
      </c>
      <c r="T181" t="s">
        <v>47</v>
      </c>
      <c r="U181" t="s">
        <v>157</v>
      </c>
      <c r="V181" t="s">
        <v>49</v>
      </c>
      <c r="W181" t="s">
        <v>158</v>
      </c>
      <c r="X181" t="s">
        <v>686</v>
      </c>
      <c r="Y181" t="s">
        <v>342</v>
      </c>
      <c r="Z181" t="s">
        <v>342</v>
      </c>
      <c r="AA181" t="s">
        <v>853</v>
      </c>
      <c r="AB181" s="3">
        <f t="shared" si="16"/>
        <v>1</v>
      </c>
      <c r="AC181">
        <v>99.55</v>
      </c>
      <c r="AD181" s="2">
        <v>99.55</v>
      </c>
      <c r="AE181" s="2">
        <v>21.5</v>
      </c>
      <c r="AF181" s="2">
        <v>0.74</v>
      </c>
      <c r="AG181" s="2">
        <v>121.34</v>
      </c>
      <c r="AH181">
        <v>0</v>
      </c>
      <c r="AI181">
        <v>121.34</v>
      </c>
      <c r="AJ181">
        <v>0.60670000000000002</v>
      </c>
      <c r="AK181" t="s">
        <v>54</v>
      </c>
      <c r="AL181">
        <v>0.72</v>
      </c>
      <c r="AM181" s="4">
        <f t="shared" si="17"/>
        <v>121.34</v>
      </c>
      <c r="AN181" s="4">
        <f t="shared" si="18"/>
        <v>186.65625</v>
      </c>
      <c r="AO181" s="4">
        <f t="shared" si="19"/>
        <v>207.37509374999999</v>
      </c>
      <c r="AP181" s="4">
        <f t="shared" si="20"/>
        <v>302.36445937499997</v>
      </c>
      <c r="AQ181" s="10">
        <f t="shared" si="21"/>
        <v>211.02239400000002</v>
      </c>
      <c r="AR181" s="10">
        <f t="shared" si="22"/>
        <v>234.46698197340001</v>
      </c>
      <c r="AS181" s="10">
        <f t="shared" si="23"/>
        <v>328.51966297920001</v>
      </c>
    </row>
    <row r="182" spans="1:45" x14ac:dyDescent="0.3">
      <c r="A182">
        <v>2025</v>
      </c>
      <c r="B182">
        <v>6</v>
      </c>
      <c r="C182" t="s">
        <v>55</v>
      </c>
      <c r="D182">
        <v>10</v>
      </c>
      <c r="E182" t="s">
        <v>36</v>
      </c>
      <c r="F182" t="s">
        <v>37</v>
      </c>
      <c r="G182" t="s">
        <v>38</v>
      </c>
      <c r="H182" t="s">
        <v>101</v>
      </c>
      <c r="I182" t="s">
        <v>190</v>
      </c>
      <c r="J182" t="s">
        <v>58</v>
      </c>
      <c r="K182" t="s">
        <v>59</v>
      </c>
      <c r="M182" t="s">
        <v>730</v>
      </c>
      <c r="N182" t="s">
        <v>731</v>
      </c>
      <c r="O182" t="s">
        <v>36</v>
      </c>
      <c r="Q182" t="s">
        <v>62</v>
      </c>
      <c r="R182" t="s">
        <v>732</v>
      </c>
      <c r="S182" t="s">
        <v>732</v>
      </c>
      <c r="T182" t="s">
        <v>47</v>
      </c>
      <c r="U182" t="s">
        <v>157</v>
      </c>
      <c r="V182" t="s">
        <v>49</v>
      </c>
      <c r="W182" t="s">
        <v>158</v>
      </c>
      <c r="X182" t="s">
        <v>686</v>
      </c>
      <c r="Y182" t="s">
        <v>548</v>
      </c>
      <c r="Z182" t="s">
        <v>548</v>
      </c>
      <c r="AA182" t="s">
        <v>849</v>
      </c>
      <c r="AB182" s="3">
        <f t="shared" si="16"/>
        <v>5</v>
      </c>
      <c r="AC182">
        <v>664.52</v>
      </c>
      <c r="AD182" s="2">
        <v>132.904</v>
      </c>
      <c r="AE182" s="2">
        <v>141.69</v>
      </c>
      <c r="AF182" s="2">
        <v>4.96</v>
      </c>
      <c r="AG182" s="2">
        <v>811.17</v>
      </c>
      <c r="AH182">
        <v>0</v>
      </c>
      <c r="AI182">
        <v>162.23400000000001</v>
      </c>
      <c r="AJ182">
        <v>4.0558500000000004</v>
      </c>
      <c r="AK182" t="s">
        <v>54</v>
      </c>
      <c r="AL182">
        <v>1.26</v>
      </c>
      <c r="AM182" s="4">
        <f t="shared" si="17"/>
        <v>162.23399999999998</v>
      </c>
      <c r="AN182" s="4">
        <f t="shared" si="18"/>
        <v>249.19499999999999</v>
      </c>
      <c r="AO182" s="4">
        <f t="shared" si="19"/>
        <v>276.85564499999998</v>
      </c>
      <c r="AP182" s="4">
        <f t="shared" si="20"/>
        <v>403.67098049999998</v>
      </c>
      <c r="AQ182" s="10">
        <f t="shared" si="21"/>
        <v>282.14114939999996</v>
      </c>
      <c r="AR182" s="10">
        <f t="shared" si="22"/>
        <v>313.48703109833997</v>
      </c>
      <c r="AS182" s="10">
        <f t="shared" si="23"/>
        <v>439.23734138591993</v>
      </c>
    </row>
    <row r="183" spans="1:45" x14ac:dyDescent="0.3">
      <c r="A183">
        <v>2025</v>
      </c>
      <c r="B183">
        <v>6</v>
      </c>
      <c r="C183" t="s">
        <v>55</v>
      </c>
      <c r="D183">
        <v>10</v>
      </c>
      <c r="E183" t="s">
        <v>36</v>
      </c>
      <c r="F183" t="s">
        <v>37</v>
      </c>
      <c r="G183" t="s">
        <v>38</v>
      </c>
      <c r="H183" t="s">
        <v>101</v>
      </c>
      <c r="I183" t="s">
        <v>190</v>
      </c>
      <c r="J183" t="s">
        <v>58</v>
      </c>
      <c r="K183" t="s">
        <v>59</v>
      </c>
      <c r="M183" t="s">
        <v>730</v>
      </c>
      <c r="N183" t="s">
        <v>731</v>
      </c>
      <c r="O183" t="s">
        <v>36</v>
      </c>
      <c r="Q183" t="s">
        <v>62</v>
      </c>
      <c r="R183" t="s">
        <v>732</v>
      </c>
      <c r="S183" t="s">
        <v>732</v>
      </c>
      <c r="T183" t="s">
        <v>47</v>
      </c>
      <c r="U183" t="s">
        <v>157</v>
      </c>
      <c r="V183" t="s">
        <v>49</v>
      </c>
      <c r="W183" t="s">
        <v>158</v>
      </c>
      <c r="X183" t="s">
        <v>686</v>
      </c>
      <c r="Y183" t="s">
        <v>548</v>
      </c>
      <c r="Z183" t="s">
        <v>548</v>
      </c>
      <c r="AA183" t="s">
        <v>851</v>
      </c>
      <c r="AB183" s="3">
        <f t="shared" si="16"/>
        <v>1</v>
      </c>
      <c r="AC183">
        <v>51.81</v>
      </c>
      <c r="AD183" s="2">
        <v>51.81</v>
      </c>
      <c r="AE183" s="2">
        <v>10.96</v>
      </c>
      <c r="AF183" s="2">
        <v>0.38</v>
      </c>
      <c r="AG183" s="2">
        <v>63.15</v>
      </c>
      <c r="AH183">
        <v>0</v>
      </c>
      <c r="AI183">
        <v>63.15</v>
      </c>
      <c r="AJ183">
        <v>0.31574999999999998</v>
      </c>
      <c r="AK183" t="s">
        <v>54</v>
      </c>
      <c r="AL183">
        <v>0.37</v>
      </c>
      <c r="AM183" s="4">
        <f t="shared" si="17"/>
        <v>63.15</v>
      </c>
      <c r="AN183" s="4">
        <f t="shared" si="18"/>
        <v>97.143750000000011</v>
      </c>
      <c r="AO183" s="4">
        <f t="shared" si="19"/>
        <v>107.92670625000001</v>
      </c>
      <c r="AP183" s="4">
        <f t="shared" si="20"/>
        <v>157.36316062500001</v>
      </c>
      <c r="AQ183" s="10">
        <f t="shared" si="21"/>
        <v>109.82416500000001</v>
      </c>
      <c r="AR183" s="10">
        <f t="shared" si="22"/>
        <v>122.0256297315</v>
      </c>
      <c r="AS183" s="10">
        <f t="shared" si="23"/>
        <v>170.97426007200002</v>
      </c>
    </row>
    <row r="184" spans="1:45" x14ac:dyDescent="0.3">
      <c r="A184">
        <v>2025</v>
      </c>
      <c r="B184">
        <v>6</v>
      </c>
      <c r="C184" t="s">
        <v>55</v>
      </c>
      <c r="D184">
        <v>10</v>
      </c>
      <c r="E184" t="s">
        <v>36</v>
      </c>
      <c r="F184" t="s">
        <v>37</v>
      </c>
      <c r="G184" t="s">
        <v>38</v>
      </c>
      <c r="H184" t="s">
        <v>924</v>
      </c>
      <c r="I184" t="s">
        <v>190</v>
      </c>
      <c r="J184" t="s">
        <v>58</v>
      </c>
      <c r="K184" t="s">
        <v>59</v>
      </c>
      <c r="M184" t="s">
        <v>730</v>
      </c>
      <c r="N184" t="s">
        <v>731</v>
      </c>
      <c r="O184" t="s">
        <v>36</v>
      </c>
      <c r="Q184" t="s">
        <v>62</v>
      </c>
      <c r="R184" t="s">
        <v>732</v>
      </c>
      <c r="S184" t="s">
        <v>732</v>
      </c>
      <c r="T184" t="s">
        <v>47</v>
      </c>
      <c r="U184" t="s">
        <v>925</v>
      </c>
      <c r="V184" t="s">
        <v>49</v>
      </c>
      <c r="W184" t="s">
        <v>926</v>
      </c>
      <c r="X184" t="s">
        <v>686</v>
      </c>
      <c r="Y184" t="s">
        <v>548</v>
      </c>
      <c r="Z184" t="s">
        <v>548</v>
      </c>
      <c r="AA184" t="s">
        <v>850</v>
      </c>
      <c r="AB184" s="3">
        <f t="shared" si="16"/>
        <v>1</v>
      </c>
      <c r="AC184">
        <v>46.24</v>
      </c>
      <c r="AD184" s="2">
        <v>46.24</v>
      </c>
      <c r="AE184" s="2">
        <v>9.7799999999999994</v>
      </c>
      <c r="AF184" s="2">
        <v>0.34</v>
      </c>
      <c r="AG184" s="2">
        <v>56.36</v>
      </c>
      <c r="AH184">
        <v>0</v>
      </c>
      <c r="AI184">
        <v>56.36</v>
      </c>
      <c r="AJ184">
        <v>0.28179999999999999</v>
      </c>
      <c r="AK184" t="s">
        <v>54</v>
      </c>
      <c r="AL184">
        <v>0.33</v>
      </c>
      <c r="AM184" s="4">
        <f t="shared" si="17"/>
        <v>56.36</v>
      </c>
      <c r="AN184" s="4">
        <f t="shared" si="18"/>
        <v>86.7</v>
      </c>
      <c r="AO184" s="4">
        <f t="shared" si="19"/>
        <v>96.323700000000002</v>
      </c>
      <c r="AP184" s="4">
        <f t="shared" si="20"/>
        <v>140.44532999999998</v>
      </c>
      <c r="AQ184" s="10">
        <f t="shared" si="21"/>
        <v>98.015675999999999</v>
      </c>
      <c r="AR184" s="10">
        <f t="shared" si="22"/>
        <v>108.90521760359999</v>
      </c>
      <c r="AS184" s="10">
        <f t="shared" si="23"/>
        <v>152.5908043968</v>
      </c>
    </row>
    <row r="185" spans="1:45" x14ac:dyDescent="0.3">
      <c r="A185">
        <v>2025</v>
      </c>
      <c r="B185">
        <v>6</v>
      </c>
      <c r="C185" t="s">
        <v>55</v>
      </c>
      <c r="D185">
        <v>10</v>
      </c>
      <c r="E185" t="s">
        <v>36</v>
      </c>
      <c r="F185" t="s">
        <v>37</v>
      </c>
      <c r="G185" t="s">
        <v>38</v>
      </c>
      <c r="H185" t="s">
        <v>78</v>
      </c>
      <c r="I185" t="s">
        <v>190</v>
      </c>
      <c r="J185" t="s">
        <v>58</v>
      </c>
      <c r="K185" t="s">
        <v>59</v>
      </c>
      <c r="M185" t="s">
        <v>730</v>
      </c>
      <c r="N185" t="s">
        <v>731</v>
      </c>
      <c r="O185" t="s">
        <v>36</v>
      </c>
      <c r="Q185" t="s">
        <v>62</v>
      </c>
      <c r="R185" t="s">
        <v>732</v>
      </c>
      <c r="S185" t="s">
        <v>732</v>
      </c>
      <c r="T185" t="s">
        <v>47</v>
      </c>
      <c r="U185" t="s">
        <v>157</v>
      </c>
      <c r="V185" t="s">
        <v>49</v>
      </c>
      <c r="W185" t="s">
        <v>158</v>
      </c>
      <c r="X185" t="s">
        <v>686</v>
      </c>
      <c r="Y185" t="s">
        <v>826</v>
      </c>
      <c r="Z185" t="s">
        <v>826</v>
      </c>
      <c r="AA185" t="s">
        <v>927</v>
      </c>
      <c r="AB185" s="3">
        <f t="shared" si="16"/>
        <v>2</v>
      </c>
      <c r="AC185">
        <v>324.62</v>
      </c>
      <c r="AD185" s="2">
        <v>162.31</v>
      </c>
      <c r="AE185" s="2">
        <v>68.64</v>
      </c>
      <c r="AF185" s="2">
        <v>2.4</v>
      </c>
      <c r="AG185" s="2">
        <v>395.65</v>
      </c>
      <c r="AH185">
        <v>0</v>
      </c>
      <c r="AI185">
        <v>197.82499999999999</v>
      </c>
      <c r="AJ185">
        <v>1.9782500000000001</v>
      </c>
      <c r="AK185" t="s">
        <v>54</v>
      </c>
      <c r="AL185">
        <v>2.35</v>
      </c>
      <c r="AM185" s="4">
        <f t="shared" si="17"/>
        <v>197.82499999999999</v>
      </c>
      <c r="AN185" s="4">
        <f t="shared" si="18"/>
        <v>304.33125000000001</v>
      </c>
      <c r="AO185" s="4">
        <f t="shared" si="19"/>
        <v>338.11201875</v>
      </c>
      <c r="AP185" s="4">
        <f t="shared" si="20"/>
        <v>492.98619187499997</v>
      </c>
      <c r="AQ185" s="10">
        <f t="shared" si="21"/>
        <v>344.03745750000002</v>
      </c>
      <c r="AR185" s="10">
        <f t="shared" si="22"/>
        <v>382.26001902824999</v>
      </c>
      <c r="AS185" s="10">
        <f t="shared" si="23"/>
        <v>535.59751383599996</v>
      </c>
    </row>
    <row r="186" spans="1:45" x14ac:dyDescent="0.3">
      <c r="A186">
        <v>2025</v>
      </c>
      <c r="B186">
        <v>6</v>
      </c>
      <c r="C186" t="s">
        <v>55</v>
      </c>
      <c r="D186">
        <v>10</v>
      </c>
      <c r="E186" t="s">
        <v>36</v>
      </c>
      <c r="F186" t="s">
        <v>37</v>
      </c>
      <c r="G186" t="s">
        <v>38</v>
      </c>
      <c r="H186" t="s">
        <v>78</v>
      </c>
      <c r="I186" t="s">
        <v>190</v>
      </c>
      <c r="J186" t="s">
        <v>58</v>
      </c>
      <c r="K186" t="s">
        <v>59</v>
      </c>
      <c r="M186" t="s">
        <v>730</v>
      </c>
      <c r="N186" t="s">
        <v>731</v>
      </c>
      <c r="O186" t="s">
        <v>36</v>
      </c>
      <c r="Q186" t="s">
        <v>62</v>
      </c>
      <c r="R186" t="s">
        <v>732</v>
      </c>
      <c r="S186" t="s">
        <v>732</v>
      </c>
      <c r="T186" t="s">
        <v>47</v>
      </c>
      <c r="U186" t="s">
        <v>157</v>
      </c>
      <c r="V186" t="s">
        <v>49</v>
      </c>
      <c r="W186" t="s">
        <v>158</v>
      </c>
      <c r="X186" t="s">
        <v>686</v>
      </c>
      <c r="Y186" t="s">
        <v>548</v>
      </c>
      <c r="Z186" t="s">
        <v>548</v>
      </c>
      <c r="AA186" t="s">
        <v>852</v>
      </c>
      <c r="AB186" s="3">
        <f t="shared" si="16"/>
        <v>1</v>
      </c>
      <c r="AC186">
        <v>44.4</v>
      </c>
      <c r="AD186" s="2">
        <v>44.4</v>
      </c>
      <c r="AE186" s="2">
        <v>9.39</v>
      </c>
      <c r="AF186" s="2">
        <v>0.33</v>
      </c>
      <c r="AG186" s="2">
        <v>54.11</v>
      </c>
      <c r="AH186">
        <v>0</v>
      </c>
      <c r="AI186">
        <v>54.11</v>
      </c>
      <c r="AJ186">
        <v>0.27055000000000001</v>
      </c>
      <c r="AK186" t="s">
        <v>54</v>
      </c>
      <c r="AL186">
        <v>0.32</v>
      </c>
      <c r="AM186" s="4">
        <f t="shared" si="17"/>
        <v>54.11</v>
      </c>
      <c r="AN186" s="4">
        <f t="shared" si="18"/>
        <v>83.25</v>
      </c>
      <c r="AO186" s="4">
        <f t="shared" si="19"/>
        <v>92.490750000000006</v>
      </c>
      <c r="AP186" s="4">
        <f t="shared" si="20"/>
        <v>134.856675</v>
      </c>
      <c r="AQ186" s="10">
        <f t="shared" si="21"/>
        <v>94.10270100000001</v>
      </c>
      <c r="AR186" s="10">
        <f t="shared" si="22"/>
        <v>104.5575110811</v>
      </c>
      <c r="AS186" s="10">
        <f t="shared" si="23"/>
        <v>146.4990849168</v>
      </c>
    </row>
    <row r="187" spans="1:45" x14ac:dyDescent="0.3">
      <c r="A187">
        <v>2025</v>
      </c>
      <c r="B187">
        <v>6</v>
      </c>
      <c r="C187" t="s">
        <v>55</v>
      </c>
      <c r="D187">
        <v>10</v>
      </c>
      <c r="E187" t="s">
        <v>36</v>
      </c>
      <c r="F187" t="s">
        <v>37</v>
      </c>
      <c r="G187" t="s">
        <v>38</v>
      </c>
      <c r="H187" t="s">
        <v>78</v>
      </c>
      <c r="I187" t="s">
        <v>190</v>
      </c>
      <c r="J187" t="s">
        <v>58</v>
      </c>
      <c r="K187" t="s">
        <v>59</v>
      </c>
      <c r="M187" t="s">
        <v>730</v>
      </c>
      <c r="N187" t="s">
        <v>731</v>
      </c>
      <c r="O187" t="s">
        <v>36</v>
      </c>
      <c r="Q187" t="s">
        <v>62</v>
      </c>
      <c r="R187" t="s">
        <v>732</v>
      </c>
      <c r="S187" t="s">
        <v>732</v>
      </c>
      <c r="T187" t="s">
        <v>47</v>
      </c>
      <c r="U187" t="s">
        <v>167</v>
      </c>
      <c r="V187" t="s">
        <v>49</v>
      </c>
      <c r="W187" t="s">
        <v>168</v>
      </c>
      <c r="X187" t="s">
        <v>686</v>
      </c>
      <c r="Y187" t="s">
        <v>548</v>
      </c>
      <c r="Z187" t="s">
        <v>548</v>
      </c>
      <c r="AA187" t="s">
        <v>854</v>
      </c>
      <c r="AB187" s="3">
        <f t="shared" si="16"/>
        <v>1</v>
      </c>
      <c r="AC187">
        <v>105.97</v>
      </c>
      <c r="AD187" s="2">
        <v>105.97</v>
      </c>
      <c r="AE187" s="2">
        <v>22.4</v>
      </c>
      <c r="AF187" s="2">
        <v>0.78</v>
      </c>
      <c r="AG187" s="2">
        <v>129.15</v>
      </c>
      <c r="AH187">
        <v>0</v>
      </c>
      <c r="AI187">
        <v>129.15</v>
      </c>
      <c r="AJ187">
        <v>0.64575000000000005</v>
      </c>
      <c r="AK187" t="s">
        <v>54</v>
      </c>
      <c r="AL187">
        <v>0.77</v>
      </c>
      <c r="AM187" s="4">
        <f t="shared" si="17"/>
        <v>129.15</v>
      </c>
      <c r="AN187" s="4">
        <f t="shared" si="18"/>
        <v>198.69374999999999</v>
      </c>
      <c r="AO187" s="4">
        <f t="shared" si="19"/>
        <v>220.74875624999999</v>
      </c>
      <c r="AP187" s="4">
        <f t="shared" si="20"/>
        <v>321.86400562499995</v>
      </c>
      <c r="AQ187" s="10">
        <f t="shared" si="21"/>
        <v>224.60476500000001</v>
      </c>
      <c r="AR187" s="10">
        <f t="shared" si="22"/>
        <v>249.55835439150002</v>
      </c>
      <c r="AS187" s="10">
        <f t="shared" si="23"/>
        <v>349.66469815200003</v>
      </c>
    </row>
    <row r="188" spans="1:45" x14ac:dyDescent="0.3">
      <c r="A188">
        <v>2025</v>
      </c>
      <c r="B188">
        <v>6</v>
      </c>
      <c r="C188" t="s">
        <v>55</v>
      </c>
      <c r="D188">
        <v>10</v>
      </c>
      <c r="E188" t="s">
        <v>36</v>
      </c>
      <c r="F188" t="s">
        <v>37</v>
      </c>
      <c r="G188" t="s">
        <v>38</v>
      </c>
      <c r="H188" t="s">
        <v>78</v>
      </c>
      <c r="I188" t="s">
        <v>190</v>
      </c>
      <c r="J188" t="s">
        <v>58</v>
      </c>
      <c r="K188" t="s">
        <v>59</v>
      </c>
      <c r="M188" t="s">
        <v>730</v>
      </c>
      <c r="N188" t="s">
        <v>731</v>
      </c>
      <c r="O188" t="s">
        <v>36</v>
      </c>
      <c r="Q188" t="s">
        <v>62</v>
      </c>
      <c r="R188" t="s">
        <v>732</v>
      </c>
      <c r="S188" t="s">
        <v>732</v>
      </c>
      <c r="T188" t="s">
        <v>47</v>
      </c>
      <c r="U188" t="s">
        <v>660</v>
      </c>
      <c r="V188" t="s">
        <v>89</v>
      </c>
      <c r="W188" t="s">
        <v>661</v>
      </c>
      <c r="X188" t="s">
        <v>686</v>
      </c>
      <c r="Y188" t="s">
        <v>342</v>
      </c>
      <c r="Z188" t="s">
        <v>342</v>
      </c>
      <c r="AA188" t="s">
        <v>877</v>
      </c>
      <c r="AB188" s="3">
        <f t="shared" si="16"/>
        <v>10</v>
      </c>
      <c r="AC188">
        <v>306.11</v>
      </c>
      <c r="AD188" s="2">
        <v>30.611000000000001</v>
      </c>
      <c r="AE188" s="2">
        <v>64.72</v>
      </c>
      <c r="AF188" s="2">
        <v>2.2599999999999998</v>
      </c>
      <c r="AG188" s="2">
        <v>373.1</v>
      </c>
      <c r="AH188">
        <v>0</v>
      </c>
      <c r="AI188">
        <v>37.31</v>
      </c>
      <c r="AJ188">
        <v>1.8654999999999999</v>
      </c>
      <c r="AK188" t="s">
        <v>54</v>
      </c>
      <c r="AL188">
        <v>2.21</v>
      </c>
      <c r="AM188" s="4">
        <f t="shared" si="17"/>
        <v>37.31</v>
      </c>
      <c r="AN188" s="4">
        <f t="shared" si="18"/>
        <v>57.395625000000003</v>
      </c>
      <c r="AO188" s="4">
        <f t="shared" si="19"/>
        <v>63.766539375000001</v>
      </c>
      <c r="AP188" s="4">
        <f t="shared" si="20"/>
        <v>92.975172937499991</v>
      </c>
      <c r="AQ188" s="10">
        <f t="shared" si="21"/>
        <v>64.885821000000007</v>
      </c>
      <c r="AR188" s="10">
        <f t="shared" si="22"/>
        <v>72.094635713100004</v>
      </c>
      <c r="AS188" s="10">
        <f t="shared" si="23"/>
        <v>101.01424613280001</v>
      </c>
    </row>
    <row r="189" spans="1:45" x14ac:dyDescent="0.3">
      <c r="A189">
        <v>2025</v>
      </c>
      <c r="B189">
        <v>6</v>
      </c>
      <c r="C189" t="s">
        <v>55</v>
      </c>
      <c r="D189">
        <v>10</v>
      </c>
      <c r="E189" t="s">
        <v>36</v>
      </c>
      <c r="F189" t="s">
        <v>37</v>
      </c>
      <c r="G189" t="s">
        <v>38</v>
      </c>
      <c r="H189" t="s">
        <v>78</v>
      </c>
      <c r="I189" t="s">
        <v>190</v>
      </c>
      <c r="J189" t="s">
        <v>58</v>
      </c>
      <c r="K189" t="s">
        <v>59</v>
      </c>
      <c r="M189" t="s">
        <v>730</v>
      </c>
      <c r="N189" t="s">
        <v>731</v>
      </c>
      <c r="O189" t="s">
        <v>36</v>
      </c>
      <c r="Q189" t="s">
        <v>62</v>
      </c>
      <c r="R189" t="s">
        <v>732</v>
      </c>
      <c r="S189" t="s">
        <v>732</v>
      </c>
      <c r="T189" t="s">
        <v>47</v>
      </c>
      <c r="U189" t="s">
        <v>660</v>
      </c>
      <c r="V189" t="s">
        <v>89</v>
      </c>
      <c r="W189" t="s">
        <v>661</v>
      </c>
      <c r="X189" t="s">
        <v>686</v>
      </c>
      <c r="Y189" t="s">
        <v>942</v>
      </c>
      <c r="Z189" t="s">
        <v>942</v>
      </c>
      <c r="AA189" t="s">
        <v>943</v>
      </c>
      <c r="AB189" s="3">
        <f t="shared" si="16"/>
        <v>1</v>
      </c>
      <c r="AC189">
        <v>196.34</v>
      </c>
      <c r="AD189" s="2">
        <v>196.34</v>
      </c>
      <c r="AE189" s="2">
        <v>41.51</v>
      </c>
      <c r="AF189" s="2">
        <v>1.45</v>
      </c>
      <c r="AG189" s="2">
        <v>239.3</v>
      </c>
      <c r="AH189">
        <v>0</v>
      </c>
      <c r="AI189">
        <v>239.3</v>
      </c>
      <c r="AJ189">
        <v>1.1964999999999999</v>
      </c>
      <c r="AK189" t="s">
        <v>54</v>
      </c>
      <c r="AL189">
        <v>1.42</v>
      </c>
      <c r="AM189" s="4">
        <f t="shared" si="17"/>
        <v>239.3</v>
      </c>
      <c r="AN189" s="4">
        <f t="shared" si="18"/>
        <v>368.13749999999999</v>
      </c>
      <c r="AO189" s="4">
        <f t="shared" si="19"/>
        <v>409.00076250000001</v>
      </c>
      <c r="AP189" s="4">
        <f t="shared" si="20"/>
        <v>596.34593624999991</v>
      </c>
      <c r="AQ189" s="10">
        <f t="shared" si="21"/>
        <v>416.16663000000005</v>
      </c>
      <c r="AR189" s="10">
        <f t="shared" si="22"/>
        <v>462.40274259300003</v>
      </c>
      <c r="AS189" s="10">
        <f t="shared" si="23"/>
        <v>647.88820958400004</v>
      </c>
    </row>
    <row r="190" spans="1:45" x14ac:dyDescent="0.3">
      <c r="A190">
        <v>2025</v>
      </c>
      <c r="B190">
        <v>6</v>
      </c>
      <c r="C190" t="s">
        <v>55</v>
      </c>
      <c r="D190">
        <v>10</v>
      </c>
      <c r="E190" t="s">
        <v>36</v>
      </c>
      <c r="F190" t="s">
        <v>37</v>
      </c>
      <c r="G190" t="s">
        <v>38</v>
      </c>
      <c r="H190" t="s">
        <v>78</v>
      </c>
      <c r="I190" t="s">
        <v>190</v>
      </c>
      <c r="J190" t="s">
        <v>58</v>
      </c>
      <c r="K190" t="s">
        <v>59</v>
      </c>
      <c r="M190" t="s">
        <v>730</v>
      </c>
      <c r="N190" t="s">
        <v>731</v>
      </c>
      <c r="O190" t="s">
        <v>36</v>
      </c>
      <c r="Q190" t="s">
        <v>62</v>
      </c>
      <c r="R190" t="s">
        <v>732</v>
      </c>
      <c r="S190" t="s">
        <v>732</v>
      </c>
      <c r="T190" t="s">
        <v>47</v>
      </c>
      <c r="U190" t="s">
        <v>660</v>
      </c>
      <c r="V190" t="s">
        <v>89</v>
      </c>
      <c r="W190" t="s">
        <v>661</v>
      </c>
      <c r="X190" t="s">
        <v>686</v>
      </c>
      <c r="Y190" t="s">
        <v>662</v>
      </c>
      <c r="Z190" t="s">
        <v>662</v>
      </c>
      <c r="AA190" t="s">
        <v>946</v>
      </c>
      <c r="AB190" s="3">
        <f t="shared" si="16"/>
        <v>4</v>
      </c>
      <c r="AC190">
        <v>439.79</v>
      </c>
      <c r="AD190" s="2">
        <v>109.94750000000001</v>
      </c>
      <c r="AE190" s="2">
        <v>92.99</v>
      </c>
      <c r="AF190" s="2">
        <v>3.25</v>
      </c>
      <c r="AG190" s="2">
        <v>536.29999999999995</v>
      </c>
      <c r="AH190">
        <v>0</v>
      </c>
      <c r="AI190">
        <v>134.07499999999999</v>
      </c>
      <c r="AJ190">
        <v>2.6815000000000002</v>
      </c>
      <c r="AK190" t="s">
        <v>54</v>
      </c>
      <c r="AL190">
        <v>3.18</v>
      </c>
      <c r="AM190" s="4">
        <f t="shared" si="17"/>
        <v>134.07499999999999</v>
      </c>
      <c r="AN190" s="4">
        <f t="shared" si="18"/>
        <v>206.15156250000001</v>
      </c>
      <c r="AO190" s="4">
        <f t="shared" si="19"/>
        <v>229.03438593750002</v>
      </c>
      <c r="AP190" s="4">
        <f t="shared" si="20"/>
        <v>333.94491609375001</v>
      </c>
      <c r="AQ190" s="10">
        <f t="shared" si="21"/>
        <v>233.16983249999998</v>
      </c>
      <c r="AR190" s="10">
        <f t="shared" si="22"/>
        <v>259.07500089075</v>
      </c>
      <c r="AS190" s="10">
        <f t="shared" si="23"/>
        <v>362.99879523599998</v>
      </c>
    </row>
    <row r="191" spans="1:45" x14ac:dyDescent="0.3">
      <c r="A191">
        <v>2025</v>
      </c>
      <c r="B191">
        <v>8</v>
      </c>
      <c r="C191" t="s">
        <v>55</v>
      </c>
      <c r="D191">
        <v>10</v>
      </c>
      <c r="E191" t="s">
        <v>36</v>
      </c>
      <c r="F191" t="s">
        <v>37</v>
      </c>
      <c r="G191" t="s">
        <v>38</v>
      </c>
      <c r="H191" t="s">
        <v>78</v>
      </c>
      <c r="I191" t="s">
        <v>190</v>
      </c>
      <c r="J191" t="s">
        <v>58</v>
      </c>
      <c r="K191" t="s">
        <v>59</v>
      </c>
      <c r="L191" t="s">
        <v>1194</v>
      </c>
      <c r="M191" t="s">
        <v>1195</v>
      </c>
      <c r="N191" t="s">
        <v>1196</v>
      </c>
      <c r="O191" t="s">
        <v>1197</v>
      </c>
      <c r="Q191" t="s">
        <v>62</v>
      </c>
      <c r="R191" t="s">
        <v>1198</v>
      </c>
      <c r="S191" t="s">
        <v>1198</v>
      </c>
      <c r="T191" t="s">
        <v>47</v>
      </c>
      <c r="U191" t="s">
        <v>669</v>
      </c>
      <c r="V191" t="s">
        <v>49</v>
      </c>
      <c r="W191" t="s">
        <v>670</v>
      </c>
      <c r="X191" t="s">
        <v>388</v>
      </c>
      <c r="Y191" t="s">
        <v>944</v>
      </c>
      <c r="Z191" t="s">
        <v>944</v>
      </c>
      <c r="AA191" t="s">
        <v>945</v>
      </c>
      <c r="AB191" s="3">
        <f t="shared" si="16"/>
        <v>1</v>
      </c>
      <c r="AC191">
        <v>107.45</v>
      </c>
      <c r="AD191" s="2">
        <v>107.45</v>
      </c>
      <c r="AE191" s="2">
        <v>22.72</v>
      </c>
      <c r="AF191" s="2">
        <v>0.8</v>
      </c>
      <c r="AG191" s="2">
        <v>130.96</v>
      </c>
      <c r="AH191">
        <v>0</v>
      </c>
      <c r="AI191">
        <v>130.96</v>
      </c>
      <c r="AJ191">
        <v>0.65480000000000005</v>
      </c>
      <c r="AK191" t="s">
        <v>54</v>
      </c>
      <c r="AL191">
        <v>0.78</v>
      </c>
      <c r="AM191" s="4">
        <f t="shared" si="17"/>
        <v>130.96</v>
      </c>
      <c r="AN191" s="4">
        <f t="shared" si="18"/>
        <v>201.46875</v>
      </c>
      <c r="AO191" s="4">
        <f t="shared" si="19"/>
        <v>223.83178125000001</v>
      </c>
      <c r="AP191" s="4">
        <f t="shared" si="20"/>
        <v>326.35922812499996</v>
      </c>
      <c r="AQ191" s="10">
        <f t="shared" si="21"/>
        <v>227.75253600000002</v>
      </c>
      <c r="AR191" s="10">
        <f t="shared" si="22"/>
        <v>253.0558427496</v>
      </c>
      <c r="AS191" s="10">
        <f t="shared" si="23"/>
        <v>354.56514804480003</v>
      </c>
    </row>
    <row r="192" spans="1:45" x14ac:dyDescent="0.3">
      <c r="A192">
        <v>2025</v>
      </c>
      <c r="B192">
        <v>7</v>
      </c>
      <c r="C192" t="s">
        <v>55</v>
      </c>
      <c r="D192">
        <v>10</v>
      </c>
      <c r="E192" t="s">
        <v>36</v>
      </c>
      <c r="F192" t="s">
        <v>37</v>
      </c>
      <c r="G192" t="s">
        <v>38</v>
      </c>
      <c r="H192" t="s">
        <v>78</v>
      </c>
      <c r="I192" t="s">
        <v>190</v>
      </c>
      <c r="J192" t="s">
        <v>58</v>
      </c>
      <c r="K192" t="s">
        <v>41</v>
      </c>
      <c r="L192" t="s">
        <v>953</v>
      </c>
      <c r="M192" t="s">
        <v>954</v>
      </c>
      <c r="N192" t="s">
        <v>731</v>
      </c>
      <c r="O192" t="s">
        <v>36</v>
      </c>
      <c r="Q192" t="s">
        <v>62</v>
      </c>
      <c r="R192" t="s">
        <v>955</v>
      </c>
      <c r="S192" t="s">
        <v>956</v>
      </c>
      <c r="T192" t="s">
        <v>47</v>
      </c>
      <c r="U192" t="s">
        <v>938</v>
      </c>
      <c r="V192" t="s">
        <v>49</v>
      </c>
      <c r="W192" t="s">
        <v>939</v>
      </c>
      <c r="X192" t="s">
        <v>51</v>
      </c>
      <c r="Y192" t="s">
        <v>1481</v>
      </c>
      <c r="Z192" t="s">
        <v>1481</v>
      </c>
      <c r="AA192" t="s">
        <v>1482</v>
      </c>
      <c r="AB192" s="3">
        <f t="shared" si="16"/>
        <v>1</v>
      </c>
      <c r="AC192">
        <v>93.58</v>
      </c>
      <c r="AD192" s="2">
        <v>93.58</v>
      </c>
      <c r="AE192" s="2">
        <v>6.71</v>
      </c>
      <c r="AF192" s="2">
        <v>0.61</v>
      </c>
      <c r="AG192" s="2">
        <v>100.89</v>
      </c>
      <c r="AH192">
        <v>0</v>
      </c>
      <c r="AI192">
        <v>100.89</v>
      </c>
      <c r="AJ192">
        <v>0.50444999999999995</v>
      </c>
      <c r="AK192" t="s">
        <v>54</v>
      </c>
      <c r="AL192">
        <v>0.79</v>
      </c>
      <c r="AM192" s="4">
        <f t="shared" si="17"/>
        <v>100.89</v>
      </c>
      <c r="AN192" s="4">
        <f t="shared" si="18"/>
        <v>175.46250000000001</v>
      </c>
      <c r="AO192" s="4">
        <f t="shared" si="19"/>
        <v>194.93883750000001</v>
      </c>
      <c r="AP192" s="4">
        <f t="shared" si="20"/>
        <v>284.23170375000001</v>
      </c>
      <c r="AQ192" s="10">
        <f t="shared" si="21"/>
        <v>175.45779900000002</v>
      </c>
      <c r="AR192" s="10">
        <f t="shared" si="22"/>
        <v>194.95116046890001</v>
      </c>
      <c r="AS192" s="10">
        <f t="shared" si="23"/>
        <v>273.15270148320002</v>
      </c>
    </row>
    <row r="193" spans="1:45" x14ac:dyDescent="0.3">
      <c r="A193">
        <v>2025</v>
      </c>
      <c r="B193">
        <v>9</v>
      </c>
      <c r="C193" t="s">
        <v>55</v>
      </c>
      <c r="D193">
        <v>10</v>
      </c>
      <c r="E193" t="s">
        <v>36</v>
      </c>
      <c r="F193" t="s">
        <v>37</v>
      </c>
      <c r="G193" t="s">
        <v>38</v>
      </c>
      <c r="H193" t="s">
        <v>78</v>
      </c>
      <c r="I193" t="s">
        <v>375</v>
      </c>
      <c r="J193" t="s">
        <v>376</v>
      </c>
      <c r="K193" t="s">
        <v>41</v>
      </c>
      <c r="L193" t="s">
        <v>1503</v>
      </c>
      <c r="M193" t="s">
        <v>1504</v>
      </c>
      <c r="N193" t="s">
        <v>377</v>
      </c>
      <c r="O193" t="s">
        <v>1197</v>
      </c>
      <c r="Q193" t="s">
        <v>62</v>
      </c>
      <c r="R193" t="s">
        <v>1505</v>
      </c>
      <c r="S193" t="s">
        <v>1505</v>
      </c>
      <c r="T193" t="s">
        <v>47</v>
      </c>
      <c r="U193" t="s">
        <v>938</v>
      </c>
      <c r="V193" t="s">
        <v>49</v>
      </c>
      <c r="W193" t="s">
        <v>939</v>
      </c>
      <c r="X193" t="s">
        <v>388</v>
      </c>
      <c r="Y193" t="s">
        <v>1180</v>
      </c>
      <c r="Z193" t="s">
        <v>1180</v>
      </c>
      <c r="AA193" t="s">
        <v>1181</v>
      </c>
      <c r="AB193" s="3">
        <f t="shared" si="16"/>
        <v>4</v>
      </c>
      <c r="AC193">
        <v>108.32</v>
      </c>
      <c r="AD193" s="2">
        <v>27.08</v>
      </c>
      <c r="AE193" s="2">
        <v>116.17</v>
      </c>
      <c r="AF193" s="2">
        <v>0.66</v>
      </c>
      <c r="AG193" s="2">
        <v>225.15</v>
      </c>
      <c r="AH193">
        <v>0</v>
      </c>
      <c r="AI193">
        <v>56.287500000000001</v>
      </c>
      <c r="AJ193">
        <v>1.12575</v>
      </c>
      <c r="AK193" t="s">
        <v>54</v>
      </c>
      <c r="AL193">
        <v>8.6999999999999993</v>
      </c>
      <c r="AM193" s="4">
        <f t="shared" si="17"/>
        <v>56.287500000000001</v>
      </c>
      <c r="AN193" s="4">
        <f t="shared" si="18"/>
        <v>50.774999999999999</v>
      </c>
      <c r="AO193" s="4">
        <f t="shared" si="19"/>
        <v>56.411024999999995</v>
      </c>
      <c r="AP193" s="4">
        <f t="shared" si="20"/>
        <v>82.250422499999999</v>
      </c>
      <c r="AQ193" s="10">
        <f t="shared" si="21"/>
        <v>97.889591250000009</v>
      </c>
      <c r="AR193" s="10">
        <f t="shared" si="22"/>
        <v>108.76512483787501</v>
      </c>
      <c r="AS193" s="10">
        <f t="shared" si="23"/>
        <v>152.39451565800002</v>
      </c>
    </row>
    <row r="194" spans="1:45" x14ac:dyDescent="0.3">
      <c r="A194">
        <v>2025</v>
      </c>
      <c r="B194">
        <v>10</v>
      </c>
      <c r="C194" t="s">
        <v>55</v>
      </c>
      <c r="D194">
        <v>10</v>
      </c>
      <c r="E194" t="s">
        <v>36</v>
      </c>
      <c r="F194" t="s">
        <v>37</v>
      </c>
      <c r="G194" t="s">
        <v>38</v>
      </c>
      <c r="H194" t="s">
        <v>78</v>
      </c>
      <c r="I194" t="s">
        <v>375</v>
      </c>
      <c r="J194" t="s">
        <v>376</v>
      </c>
      <c r="K194" t="s">
        <v>59</v>
      </c>
      <c r="L194" t="s">
        <v>1549</v>
      </c>
      <c r="M194" t="s">
        <v>1550</v>
      </c>
      <c r="N194" t="s">
        <v>1551</v>
      </c>
      <c r="O194" t="s">
        <v>1197</v>
      </c>
      <c r="Q194" t="s">
        <v>62</v>
      </c>
      <c r="R194" t="s">
        <v>1552</v>
      </c>
      <c r="S194" t="s">
        <v>1552</v>
      </c>
      <c r="T194" t="s">
        <v>47</v>
      </c>
      <c r="U194" t="s">
        <v>938</v>
      </c>
      <c r="V194" t="s">
        <v>49</v>
      </c>
      <c r="W194" t="s">
        <v>939</v>
      </c>
      <c r="X194" t="s">
        <v>51</v>
      </c>
      <c r="Y194" t="s">
        <v>1180</v>
      </c>
      <c r="Z194" t="s">
        <v>1180</v>
      </c>
      <c r="AA194" t="s">
        <v>1181</v>
      </c>
      <c r="AB194" s="3">
        <f t="shared" si="16"/>
        <v>10</v>
      </c>
      <c r="AC194">
        <v>251.47</v>
      </c>
      <c r="AD194" s="2">
        <v>25.146999999999998</v>
      </c>
      <c r="AE194" s="2">
        <v>91.43</v>
      </c>
      <c r="AF194" s="2">
        <v>2.11</v>
      </c>
      <c r="AG194" s="2">
        <v>345</v>
      </c>
      <c r="AH194">
        <v>0</v>
      </c>
      <c r="AI194">
        <v>34.5</v>
      </c>
      <c r="AJ194">
        <v>1.7250000000000001</v>
      </c>
      <c r="AK194" t="s">
        <v>54</v>
      </c>
      <c r="AL194">
        <v>22.25</v>
      </c>
      <c r="AM194" s="4">
        <f t="shared" si="17"/>
        <v>34.5</v>
      </c>
      <c r="AN194" s="4">
        <f t="shared" si="18"/>
        <v>47.150624999999998</v>
      </c>
      <c r="AO194" s="4">
        <f t="shared" si="19"/>
        <v>52.384344374999998</v>
      </c>
      <c r="AP194" s="4">
        <f t="shared" si="20"/>
        <v>76.379297437499986</v>
      </c>
      <c r="AQ194" s="10">
        <f t="shared" si="21"/>
        <v>59.998950000000001</v>
      </c>
      <c r="AR194" s="10">
        <f t="shared" si="22"/>
        <v>66.664833345000005</v>
      </c>
      <c r="AS194" s="10">
        <f t="shared" si="23"/>
        <v>93.406365359999995</v>
      </c>
    </row>
    <row r="195" spans="1:45" x14ac:dyDescent="0.3">
      <c r="A195">
        <v>2025</v>
      </c>
      <c r="B195">
        <v>11</v>
      </c>
      <c r="C195" t="s">
        <v>55</v>
      </c>
      <c r="D195">
        <v>10</v>
      </c>
      <c r="E195" t="s">
        <v>36</v>
      </c>
      <c r="F195" t="s">
        <v>37</v>
      </c>
      <c r="G195" t="s">
        <v>38</v>
      </c>
      <c r="H195" t="s">
        <v>78</v>
      </c>
      <c r="I195" t="s">
        <v>375</v>
      </c>
      <c r="J195" t="s">
        <v>376</v>
      </c>
      <c r="K195" t="s">
        <v>51</v>
      </c>
      <c r="L195" t="s">
        <v>1622</v>
      </c>
      <c r="M195" t="s">
        <v>1623</v>
      </c>
      <c r="N195" t="s">
        <v>1485</v>
      </c>
      <c r="O195" t="s">
        <v>1197</v>
      </c>
      <c r="Q195" t="s">
        <v>62</v>
      </c>
      <c r="R195" t="s">
        <v>1624</v>
      </c>
      <c r="S195" t="s">
        <v>1624</v>
      </c>
      <c r="T195" t="s">
        <v>47</v>
      </c>
      <c r="U195" t="s">
        <v>938</v>
      </c>
      <c r="V195" t="s">
        <v>49</v>
      </c>
      <c r="W195" t="s">
        <v>939</v>
      </c>
      <c r="X195" t="s">
        <v>51</v>
      </c>
      <c r="Y195" t="s">
        <v>1180</v>
      </c>
      <c r="Z195" t="s">
        <v>1180</v>
      </c>
      <c r="AA195" t="s">
        <v>1181</v>
      </c>
      <c r="AB195" s="3">
        <f t="shared" ref="AB195:AB258" si="24">SUM(AC195/AD195)</f>
        <v>1</v>
      </c>
      <c r="AC195">
        <v>25.42</v>
      </c>
      <c r="AD195" s="2">
        <v>25.42</v>
      </c>
      <c r="AE195" s="2">
        <v>11.62</v>
      </c>
      <c r="AF195" s="2">
        <v>0.23</v>
      </c>
      <c r="AG195" s="2">
        <v>37.26</v>
      </c>
      <c r="AH195">
        <v>0</v>
      </c>
      <c r="AI195">
        <v>37.26</v>
      </c>
      <c r="AJ195">
        <v>0.18629999999999999</v>
      </c>
      <c r="AK195" t="s">
        <v>54</v>
      </c>
      <c r="AL195">
        <v>0.53</v>
      </c>
      <c r="AM195" s="4">
        <f t="shared" ref="AM195:AM258" si="25">SUM(AG195/AB195)</f>
        <v>37.26</v>
      </c>
      <c r="AN195" s="4">
        <f t="shared" ref="AN195:AN258" si="26">SUM(AD195*1.875)</f>
        <v>47.662500000000001</v>
      </c>
      <c r="AO195" s="4">
        <f t="shared" si="19"/>
        <v>52.953037500000001</v>
      </c>
      <c r="AP195" s="4">
        <f t="shared" si="20"/>
        <v>77.208483749999999</v>
      </c>
      <c r="AQ195" s="10">
        <f t="shared" si="21"/>
        <v>64.798866000000004</v>
      </c>
      <c r="AR195" s="10">
        <f t="shared" si="22"/>
        <v>71.998020012600008</v>
      </c>
      <c r="AS195" s="10">
        <f t="shared" si="23"/>
        <v>100.8788745888</v>
      </c>
    </row>
    <row r="196" spans="1:45" x14ac:dyDescent="0.3">
      <c r="A196">
        <v>2025</v>
      </c>
      <c r="B196">
        <v>11</v>
      </c>
      <c r="C196" t="s">
        <v>55</v>
      </c>
      <c r="D196">
        <v>10</v>
      </c>
      <c r="E196" t="s">
        <v>36</v>
      </c>
      <c r="F196" t="s">
        <v>37</v>
      </c>
      <c r="G196" t="s">
        <v>38</v>
      </c>
      <c r="H196" t="s">
        <v>78</v>
      </c>
      <c r="I196" t="s">
        <v>375</v>
      </c>
      <c r="J196" t="s">
        <v>376</v>
      </c>
      <c r="K196" t="s">
        <v>59</v>
      </c>
      <c r="L196" t="s">
        <v>1647</v>
      </c>
      <c r="M196" t="s">
        <v>1633</v>
      </c>
      <c r="N196" t="s">
        <v>1485</v>
      </c>
      <c r="O196" t="s">
        <v>1197</v>
      </c>
      <c r="Q196" t="s">
        <v>62</v>
      </c>
      <c r="R196" t="s">
        <v>1648</v>
      </c>
      <c r="S196" t="s">
        <v>1648</v>
      </c>
      <c r="T196" t="s">
        <v>47</v>
      </c>
      <c r="U196" t="s">
        <v>938</v>
      </c>
      <c r="V196" t="s">
        <v>49</v>
      </c>
      <c r="W196" t="s">
        <v>939</v>
      </c>
      <c r="X196" t="s">
        <v>51</v>
      </c>
      <c r="Y196" t="s">
        <v>1759</v>
      </c>
      <c r="Z196" t="s">
        <v>1759</v>
      </c>
      <c r="AA196" t="s">
        <v>1181</v>
      </c>
      <c r="AB196" s="3">
        <f t="shared" si="24"/>
        <v>15.000000000000002</v>
      </c>
      <c r="AC196">
        <v>370.41</v>
      </c>
      <c r="AD196" s="2">
        <v>24.693999999999999</v>
      </c>
      <c r="AE196" s="2">
        <v>51.87</v>
      </c>
      <c r="AF196" s="2">
        <v>2.56</v>
      </c>
      <c r="AG196" s="2">
        <v>424.84</v>
      </c>
      <c r="AH196">
        <v>0</v>
      </c>
      <c r="AI196">
        <v>28.322666666667001</v>
      </c>
      <c r="AJ196">
        <v>2.1242000000000001</v>
      </c>
      <c r="AK196" t="s">
        <v>54</v>
      </c>
      <c r="AL196">
        <v>1.95</v>
      </c>
      <c r="AM196" s="4">
        <f t="shared" si="25"/>
        <v>28.322666666666663</v>
      </c>
      <c r="AN196" s="4">
        <f t="shared" si="26"/>
        <v>46.301249999999996</v>
      </c>
      <c r="AO196" s="4">
        <f t="shared" ref="AO196:AO259" si="27">SUM(AN196)*1.111</f>
        <v>51.440688749999993</v>
      </c>
      <c r="AP196" s="4">
        <f t="shared" ref="AP196:AP259" si="28">SUM(AN196)*1.6199</f>
        <v>75.003394874999984</v>
      </c>
      <c r="AQ196" s="10">
        <f t="shared" ref="AQ196:AQ259" si="29">SUM(AM196)*1.7391</f>
        <v>49.255949599999994</v>
      </c>
      <c r="AR196" s="10">
        <f t="shared" ref="AR196:AR259" si="30">SUM(AQ196)*1.1111</f>
        <v>54.728285600559992</v>
      </c>
      <c r="AS196" s="10">
        <f t="shared" ref="AS196:AS259" si="31">SUM(AQ196)*1.5568</f>
        <v>76.681662337279988</v>
      </c>
    </row>
    <row r="197" spans="1:45" x14ac:dyDescent="0.3">
      <c r="A197">
        <v>2025</v>
      </c>
      <c r="B197">
        <v>8</v>
      </c>
      <c r="C197" t="s">
        <v>55</v>
      </c>
      <c r="D197">
        <v>10</v>
      </c>
      <c r="E197" t="s">
        <v>36</v>
      </c>
      <c r="F197" t="s">
        <v>37</v>
      </c>
      <c r="G197" t="s">
        <v>38</v>
      </c>
      <c r="H197" t="s">
        <v>78</v>
      </c>
      <c r="I197" t="s">
        <v>190</v>
      </c>
      <c r="J197" t="s">
        <v>58</v>
      </c>
      <c r="K197" t="s">
        <v>59</v>
      </c>
      <c r="L197" t="s">
        <v>1194</v>
      </c>
      <c r="M197" t="s">
        <v>1195</v>
      </c>
      <c r="N197" t="s">
        <v>1196</v>
      </c>
      <c r="O197" t="s">
        <v>1197</v>
      </c>
      <c r="Q197" t="s">
        <v>62</v>
      </c>
      <c r="R197" t="s">
        <v>1198</v>
      </c>
      <c r="S197" t="s">
        <v>1198</v>
      </c>
      <c r="T197" t="s">
        <v>47</v>
      </c>
      <c r="U197" t="s">
        <v>938</v>
      </c>
      <c r="V197" t="s">
        <v>49</v>
      </c>
      <c r="W197" t="s">
        <v>939</v>
      </c>
      <c r="X197" t="s">
        <v>388</v>
      </c>
      <c r="Y197" t="s">
        <v>1180</v>
      </c>
      <c r="Z197" t="s">
        <v>1180</v>
      </c>
      <c r="AA197" t="s">
        <v>1181</v>
      </c>
      <c r="AB197" s="3">
        <f t="shared" si="24"/>
        <v>10.000000000000002</v>
      </c>
      <c r="AC197">
        <v>258.22000000000003</v>
      </c>
      <c r="AD197" s="2">
        <v>25.821999999999999</v>
      </c>
      <c r="AE197" s="2">
        <v>86.7</v>
      </c>
      <c r="AF197" s="2">
        <v>2.4</v>
      </c>
      <c r="AG197" s="2">
        <v>346.96</v>
      </c>
      <c r="AH197">
        <v>0</v>
      </c>
      <c r="AI197">
        <v>34.695999999999998</v>
      </c>
      <c r="AJ197">
        <v>1.7347999999999999</v>
      </c>
      <c r="AK197" t="s">
        <v>54</v>
      </c>
      <c r="AL197">
        <v>2.23</v>
      </c>
      <c r="AM197" s="4">
        <f t="shared" si="25"/>
        <v>34.695999999999991</v>
      </c>
      <c r="AN197" s="4">
        <f t="shared" si="26"/>
        <v>48.416249999999998</v>
      </c>
      <c r="AO197" s="4">
        <f t="shared" si="27"/>
        <v>53.790453749999998</v>
      </c>
      <c r="AP197" s="4">
        <f t="shared" si="28"/>
        <v>78.42948337499999</v>
      </c>
      <c r="AQ197" s="10">
        <f t="shared" si="29"/>
        <v>60.339813599999985</v>
      </c>
      <c r="AR197" s="10">
        <f t="shared" si="30"/>
        <v>67.04356689095998</v>
      </c>
      <c r="AS197" s="10">
        <f t="shared" si="31"/>
        <v>93.937021812479969</v>
      </c>
    </row>
    <row r="198" spans="1:45" x14ac:dyDescent="0.3">
      <c r="A198">
        <v>2025</v>
      </c>
      <c r="B198">
        <v>8</v>
      </c>
      <c r="C198" t="s">
        <v>55</v>
      </c>
      <c r="D198">
        <v>10</v>
      </c>
      <c r="E198" t="s">
        <v>36</v>
      </c>
      <c r="F198" t="s">
        <v>37</v>
      </c>
      <c r="G198" t="s">
        <v>38</v>
      </c>
      <c r="H198" t="s">
        <v>101</v>
      </c>
      <c r="I198" t="s">
        <v>190</v>
      </c>
      <c r="J198" t="s">
        <v>58</v>
      </c>
      <c r="K198" t="s">
        <v>59</v>
      </c>
      <c r="L198" t="s">
        <v>1194</v>
      </c>
      <c r="M198" t="s">
        <v>1195</v>
      </c>
      <c r="N198" t="s">
        <v>1196</v>
      </c>
      <c r="O198" t="s">
        <v>1197</v>
      </c>
      <c r="Q198" t="s">
        <v>62</v>
      </c>
      <c r="R198" t="s">
        <v>1198</v>
      </c>
      <c r="S198" t="s">
        <v>1198</v>
      </c>
      <c r="T198" t="s">
        <v>47</v>
      </c>
      <c r="U198" t="s">
        <v>157</v>
      </c>
      <c r="V198" t="s">
        <v>49</v>
      </c>
      <c r="W198" t="s">
        <v>158</v>
      </c>
      <c r="X198" t="s">
        <v>388</v>
      </c>
      <c r="Y198" t="s">
        <v>942</v>
      </c>
      <c r="Z198" t="s">
        <v>942</v>
      </c>
      <c r="AA198" t="s">
        <v>1470</v>
      </c>
      <c r="AB198" s="3">
        <f t="shared" si="24"/>
        <v>1</v>
      </c>
      <c r="AC198">
        <v>32.619999999999997</v>
      </c>
      <c r="AD198" s="2">
        <v>32.619999999999997</v>
      </c>
      <c r="AE198" s="2">
        <v>2.34</v>
      </c>
      <c r="AF198" s="2">
        <v>0.21</v>
      </c>
      <c r="AG198" s="2">
        <v>35.17</v>
      </c>
      <c r="AH198">
        <v>0</v>
      </c>
      <c r="AI198">
        <v>35.17</v>
      </c>
      <c r="AJ198">
        <v>0.17585000000000001</v>
      </c>
      <c r="AK198" t="s">
        <v>54</v>
      </c>
      <c r="AL198">
        <v>0.28000000000000003</v>
      </c>
      <c r="AM198" s="4">
        <f t="shared" si="25"/>
        <v>35.17</v>
      </c>
      <c r="AN198" s="4">
        <f t="shared" si="26"/>
        <v>61.162499999999994</v>
      </c>
      <c r="AO198" s="4">
        <f t="shared" si="27"/>
        <v>67.951537499999986</v>
      </c>
      <c r="AP198" s="4">
        <f t="shared" si="28"/>
        <v>99.077133749999987</v>
      </c>
      <c r="AQ198" s="10">
        <f t="shared" si="29"/>
        <v>61.164147000000007</v>
      </c>
      <c r="AR198" s="10">
        <f t="shared" si="30"/>
        <v>67.959483731700004</v>
      </c>
      <c r="AS198" s="10">
        <f t="shared" si="31"/>
        <v>95.220344049600016</v>
      </c>
    </row>
    <row r="199" spans="1:45" x14ac:dyDescent="0.3">
      <c r="A199">
        <v>2025</v>
      </c>
      <c r="B199">
        <v>8</v>
      </c>
      <c r="C199" t="s">
        <v>55</v>
      </c>
      <c r="D199">
        <v>10</v>
      </c>
      <c r="E199" t="s">
        <v>36</v>
      </c>
      <c r="F199" t="s">
        <v>37</v>
      </c>
      <c r="G199" t="s">
        <v>38</v>
      </c>
      <c r="H199" t="s">
        <v>101</v>
      </c>
      <c r="I199" t="s">
        <v>190</v>
      </c>
      <c r="J199" t="s">
        <v>58</v>
      </c>
      <c r="K199" t="s">
        <v>59</v>
      </c>
      <c r="L199" t="s">
        <v>1194</v>
      </c>
      <c r="M199" t="s">
        <v>1195</v>
      </c>
      <c r="N199" t="s">
        <v>1196</v>
      </c>
      <c r="O199" t="s">
        <v>1197</v>
      </c>
      <c r="Q199" t="s">
        <v>62</v>
      </c>
      <c r="R199" t="s">
        <v>1198</v>
      </c>
      <c r="S199" t="s">
        <v>1198</v>
      </c>
      <c r="T199" t="s">
        <v>47</v>
      </c>
      <c r="U199" t="s">
        <v>157</v>
      </c>
      <c r="V199" t="s">
        <v>49</v>
      </c>
      <c r="W199" t="s">
        <v>158</v>
      </c>
      <c r="X199" t="s">
        <v>388</v>
      </c>
      <c r="Y199" t="s">
        <v>1116</v>
      </c>
      <c r="Z199" t="s">
        <v>1116</v>
      </c>
      <c r="AA199" t="s">
        <v>1377</v>
      </c>
      <c r="AB199" s="3">
        <f t="shared" si="24"/>
        <v>2</v>
      </c>
      <c r="AC199">
        <v>122.4</v>
      </c>
      <c r="AD199" s="2">
        <v>61.2</v>
      </c>
      <c r="AE199" s="2">
        <v>8.77</v>
      </c>
      <c r="AF199" s="2">
        <v>0.79</v>
      </c>
      <c r="AG199" s="2">
        <v>131.97</v>
      </c>
      <c r="AH199">
        <v>0</v>
      </c>
      <c r="AI199">
        <v>65.984999999999999</v>
      </c>
      <c r="AJ199">
        <v>0.65985000000000005</v>
      </c>
      <c r="AK199" t="s">
        <v>54</v>
      </c>
      <c r="AL199">
        <v>1.3</v>
      </c>
      <c r="AM199" s="4">
        <f t="shared" si="25"/>
        <v>65.984999999999999</v>
      </c>
      <c r="AN199" s="4">
        <f t="shared" si="26"/>
        <v>114.75</v>
      </c>
      <c r="AO199" s="4">
        <f t="shared" si="27"/>
        <v>127.48725</v>
      </c>
      <c r="AP199" s="4">
        <f t="shared" si="28"/>
        <v>185.88352499999999</v>
      </c>
      <c r="AQ199" s="10">
        <f t="shared" si="29"/>
        <v>114.7545135</v>
      </c>
      <c r="AR199" s="10">
        <f t="shared" si="30"/>
        <v>127.50373994985</v>
      </c>
      <c r="AS199" s="10">
        <f t="shared" si="31"/>
        <v>178.6498266168</v>
      </c>
    </row>
    <row r="200" spans="1:45" x14ac:dyDescent="0.3">
      <c r="A200">
        <v>2025</v>
      </c>
      <c r="B200">
        <v>4</v>
      </c>
      <c r="C200" t="s">
        <v>55</v>
      </c>
      <c r="D200">
        <v>10</v>
      </c>
      <c r="E200" t="s">
        <v>36</v>
      </c>
      <c r="F200" t="s">
        <v>37</v>
      </c>
      <c r="G200" t="s">
        <v>38</v>
      </c>
      <c r="H200" t="s">
        <v>101</v>
      </c>
      <c r="I200" t="s">
        <v>375</v>
      </c>
      <c r="J200" t="s">
        <v>376</v>
      </c>
      <c r="K200" t="s">
        <v>59</v>
      </c>
      <c r="M200">
        <v>2503061</v>
      </c>
      <c r="N200" t="s">
        <v>377</v>
      </c>
      <c r="O200" t="s">
        <v>36</v>
      </c>
      <c r="Q200" t="s">
        <v>62</v>
      </c>
      <c r="R200" t="s">
        <v>378</v>
      </c>
      <c r="S200" t="s">
        <v>378</v>
      </c>
      <c r="T200" t="s">
        <v>47</v>
      </c>
      <c r="U200" t="s">
        <v>157</v>
      </c>
      <c r="V200" t="s">
        <v>49</v>
      </c>
      <c r="W200" t="s">
        <v>158</v>
      </c>
      <c r="X200" t="s">
        <v>51</v>
      </c>
      <c r="Y200" t="s">
        <v>1116</v>
      </c>
      <c r="Z200" t="s">
        <v>1116</v>
      </c>
      <c r="AA200" t="s">
        <v>1377</v>
      </c>
      <c r="AB200" s="3">
        <f t="shared" si="24"/>
        <v>5.0000000000000009</v>
      </c>
      <c r="AC200">
        <v>306.10000000000002</v>
      </c>
      <c r="AD200" s="2">
        <v>61.22</v>
      </c>
      <c r="AE200" s="2">
        <v>21.93</v>
      </c>
      <c r="AF200" s="2">
        <v>1.98</v>
      </c>
      <c r="AG200" s="2">
        <v>329.92</v>
      </c>
      <c r="AH200">
        <v>0</v>
      </c>
      <c r="AI200">
        <v>65.983999999999995</v>
      </c>
      <c r="AJ200">
        <v>1.6496</v>
      </c>
      <c r="AK200" t="s">
        <v>54</v>
      </c>
      <c r="AL200">
        <v>2.58</v>
      </c>
      <c r="AM200" s="4">
        <f t="shared" si="25"/>
        <v>65.983999999999995</v>
      </c>
      <c r="AN200" s="4">
        <f t="shared" si="26"/>
        <v>114.78749999999999</v>
      </c>
      <c r="AO200" s="4">
        <f t="shared" si="27"/>
        <v>127.52891249999999</v>
      </c>
      <c r="AP200" s="4">
        <f t="shared" si="28"/>
        <v>185.94427124999999</v>
      </c>
      <c r="AQ200" s="10">
        <f t="shared" si="29"/>
        <v>114.75277439999999</v>
      </c>
      <c r="AR200" s="10">
        <f t="shared" si="30"/>
        <v>127.50180763584</v>
      </c>
      <c r="AS200" s="10">
        <f t="shared" si="31"/>
        <v>178.64711918591999</v>
      </c>
    </row>
    <row r="201" spans="1:45" x14ac:dyDescent="0.3">
      <c r="A201">
        <v>2025</v>
      </c>
      <c r="B201">
        <v>4</v>
      </c>
      <c r="C201" t="s">
        <v>55</v>
      </c>
      <c r="D201">
        <v>10</v>
      </c>
      <c r="E201" t="s">
        <v>36</v>
      </c>
      <c r="F201" t="s">
        <v>37</v>
      </c>
      <c r="G201" t="s">
        <v>38</v>
      </c>
      <c r="H201" t="s">
        <v>101</v>
      </c>
      <c r="I201" t="s">
        <v>375</v>
      </c>
      <c r="J201" t="s">
        <v>376</v>
      </c>
      <c r="K201" t="s">
        <v>59</v>
      </c>
      <c r="M201">
        <v>2503061</v>
      </c>
      <c r="N201" t="s">
        <v>377</v>
      </c>
      <c r="O201" t="s">
        <v>36</v>
      </c>
      <c r="Q201" t="s">
        <v>62</v>
      </c>
      <c r="R201" t="s">
        <v>378</v>
      </c>
      <c r="S201" t="s">
        <v>378</v>
      </c>
      <c r="T201" t="s">
        <v>47</v>
      </c>
      <c r="U201" t="s">
        <v>157</v>
      </c>
      <c r="V201" t="s">
        <v>49</v>
      </c>
      <c r="W201" t="s">
        <v>158</v>
      </c>
      <c r="X201" t="s">
        <v>51</v>
      </c>
      <c r="Y201" t="s">
        <v>346</v>
      </c>
      <c r="Z201" t="s">
        <v>346</v>
      </c>
      <c r="AA201" t="s">
        <v>536</v>
      </c>
      <c r="AB201" s="3">
        <f t="shared" si="24"/>
        <v>2</v>
      </c>
      <c r="AC201">
        <v>179.51</v>
      </c>
      <c r="AD201" s="2">
        <v>89.754999999999995</v>
      </c>
      <c r="AE201" s="2">
        <v>47.15</v>
      </c>
      <c r="AF201" s="2">
        <v>1.25</v>
      </c>
      <c r="AG201" s="2">
        <v>227.9</v>
      </c>
      <c r="AH201">
        <v>0</v>
      </c>
      <c r="AI201">
        <v>113.95</v>
      </c>
      <c r="AJ201">
        <v>1.1395</v>
      </c>
      <c r="AK201" t="s">
        <v>54</v>
      </c>
      <c r="AL201">
        <v>2.25</v>
      </c>
      <c r="AM201" s="4">
        <f t="shared" si="25"/>
        <v>113.95</v>
      </c>
      <c r="AN201" s="4">
        <f t="shared" si="26"/>
        <v>168.29062499999998</v>
      </c>
      <c r="AO201" s="4">
        <f t="shared" si="27"/>
        <v>186.97088437499997</v>
      </c>
      <c r="AP201" s="4">
        <f t="shared" si="28"/>
        <v>272.61398343749994</v>
      </c>
      <c r="AQ201" s="10">
        <f t="shared" si="29"/>
        <v>198.17044500000003</v>
      </c>
      <c r="AR201" s="10">
        <f t="shared" si="30"/>
        <v>220.18718143950002</v>
      </c>
      <c r="AS201" s="10">
        <f t="shared" si="31"/>
        <v>308.51174877600005</v>
      </c>
    </row>
    <row r="202" spans="1:45" x14ac:dyDescent="0.3">
      <c r="A202">
        <v>2025</v>
      </c>
      <c r="B202">
        <v>4</v>
      </c>
      <c r="C202" t="s">
        <v>55</v>
      </c>
      <c r="D202">
        <v>10</v>
      </c>
      <c r="E202" t="s">
        <v>36</v>
      </c>
      <c r="F202" t="s">
        <v>37</v>
      </c>
      <c r="G202" t="s">
        <v>38</v>
      </c>
      <c r="H202" t="s">
        <v>101</v>
      </c>
      <c r="I202" t="s">
        <v>190</v>
      </c>
      <c r="J202" t="s">
        <v>58</v>
      </c>
      <c r="K202" t="s">
        <v>59</v>
      </c>
      <c r="M202" t="s">
        <v>383</v>
      </c>
      <c r="N202" t="s">
        <v>384</v>
      </c>
      <c r="O202" t="s">
        <v>36</v>
      </c>
      <c r="Q202" t="s">
        <v>62</v>
      </c>
      <c r="R202" t="s">
        <v>385</v>
      </c>
      <c r="S202" t="s">
        <v>385</v>
      </c>
      <c r="T202" t="s">
        <v>47</v>
      </c>
      <c r="U202" t="s">
        <v>546</v>
      </c>
      <c r="V202" t="s">
        <v>49</v>
      </c>
      <c r="W202" t="s">
        <v>547</v>
      </c>
      <c r="X202" t="s">
        <v>388</v>
      </c>
      <c r="Y202" t="s">
        <v>544</v>
      </c>
      <c r="Z202" t="s">
        <v>544</v>
      </c>
      <c r="AA202" t="s">
        <v>536</v>
      </c>
      <c r="AB202" s="3">
        <f t="shared" si="24"/>
        <v>5</v>
      </c>
      <c r="AC202">
        <v>443.22</v>
      </c>
      <c r="AD202" s="2">
        <v>88.644000000000005</v>
      </c>
      <c r="AE202" s="2">
        <v>75.44</v>
      </c>
      <c r="AF202" s="2">
        <v>3.11</v>
      </c>
      <c r="AG202" s="2">
        <v>521.77</v>
      </c>
      <c r="AH202">
        <v>0</v>
      </c>
      <c r="AI202">
        <v>104.354</v>
      </c>
      <c r="AJ202">
        <v>2.6088499999999999</v>
      </c>
      <c r="AK202" t="s">
        <v>54</v>
      </c>
      <c r="AL202">
        <v>3.6</v>
      </c>
      <c r="AM202" s="4">
        <f t="shared" si="25"/>
        <v>104.354</v>
      </c>
      <c r="AN202" s="4">
        <f t="shared" si="26"/>
        <v>166.20750000000001</v>
      </c>
      <c r="AO202" s="4">
        <f t="shared" si="27"/>
        <v>184.6565325</v>
      </c>
      <c r="AP202" s="4">
        <f t="shared" si="28"/>
        <v>269.23952924999998</v>
      </c>
      <c r="AQ202" s="10">
        <f t="shared" si="29"/>
        <v>181.48204140000001</v>
      </c>
      <c r="AR202" s="10">
        <f t="shared" si="30"/>
        <v>201.64469619954002</v>
      </c>
      <c r="AS202" s="10">
        <f t="shared" si="31"/>
        <v>282.53124205152</v>
      </c>
    </row>
    <row r="203" spans="1:45" x14ac:dyDescent="0.3">
      <c r="A203">
        <v>2025</v>
      </c>
      <c r="B203">
        <v>4</v>
      </c>
      <c r="C203" t="s">
        <v>55</v>
      </c>
      <c r="D203">
        <v>10</v>
      </c>
      <c r="E203" t="s">
        <v>36</v>
      </c>
      <c r="F203" t="s">
        <v>37</v>
      </c>
      <c r="G203" t="s">
        <v>38</v>
      </c>
      <c r="H203" t="s">
        <v>101</v>
      </c>
      <c r="I203" t="s">
        <v>375</v>
      </c>
      <c r="J203" t="s">
        <v>376</v>
      </c>
      <c r="K203" t="s">
        <v>59</v>
      </c>
      <c r="M203">
        <v>2503061</v>
      </c>
      <c r="N203" t="s">
        <v>377</v>
      </c>
      <c r="O203" t="s">
        <v>36</v>
      </c>
      <c r="Q203" t="s">
        <v>62</v>
      </c>
      <c r="R203" t="s">
        <v>378</v>
      </c>
      <c r="S203" t="s">
        <v>378</v>
      </c>
      <c r="T203" t="s">
        <v>47</v>
      </c>
      <c r="U203" t="s">
        <v>157</v>
      </c>
      <c r="V203" t="s">
        <v>49</v>
      </c>
      <c r="W203" t="s">
        <v>158</v>
      </c>
      <c r="X203" t="s">
        <v>51</v>
      </c>
      <c r="Y203" t="s">
        <v>548</v>
      </c>
      <c r="Z203" t="s">
        <v>548</v>
      </c>
      <c r="AA203" t="s">
        <v>536</v>
      </c>
      <c r="AB203" s="3">
        <f t="shared" si="24"/>
        <v>4.9999999999999991</v>
      </c>
      <c r="AC203">
        <v>513.04</v>
      </c>
      <c r="AD203" s="2">
        <v>102.608</v>
      </c>
      <c r="AE203" s="2">
        <v>76.62</v>
      </c>
      <c r="AF203" s="2">
        <v>3.35</v>
      </c>
      <c r="AG203" s="2">
        <v>593.01</v>
      </c>
      <c r="AH203">
        <v>0</v>
      </c>
      <c r="AI203">
        <v>118.602</v>
      </c>
      <c r="AJ203">
        <v>2.9650500000000002</v>
      </c>
      <c r="AK203" t="s">
        <v>54</v>
      </c>
      <c r="AL203">
        <v>3.9</v>
      </c>
      <c r="AM203" s="4">
        <f t="shared" si="25"/>
        <v>118.60200000000002</v>
      </c>
      <c r="AN203" s="4">
        <f t="shared" si="26"/>
        <v>192.39000000000001</v>
      </c>
      <c r="AO203" s="4">
        <f t="shared" si="27"/>
        <v>213.74529000000001</v>
      </c>
      <c r="AP203" s="4">
        <f t="shared" si="28"/>
        <v>311.65256099999999</v>
      </c>
      <c r="AQ203" s="10">
        <f t="shared" si="29"/>
        <v>206.26073820000005</v>
      </c>
      <c r="AR203" s="10">
        <f t="shared" si="30"/>
        <v>229.17630621402006</v>
      </c>
      <c r="AS203" s="10">
        <f t="shared" si="31"/>
        <v>321.10671722976008</v>
      </c>
    </row>
    <row r="204" spans="1:45" x14ac:dyDescent="0.3">
      <c r="A204">
        <v>2025</v>
      </c>
      <c r="B204">
        <v>4</v>
      </c>
      <c r="C204" t="s">
        <v>55</v>
      </c>
      <c r="D204">
        <v>10</v>
      </c>
      <c r="E204" t="s">
        <v>36</v>
      </c>
      <c r="F204" t="s">
        <v>37</v>
      </c>
      <c r="G204" t="s">
        <v>38</v>
      </c>
      <c r="H204" t="s">
        <v>101</v>
      </c>
      <c r="I204" t="s">
        <v>375</v>
      </c>
      <c r="J204" t="s">
        <v>376</v>
      </c>
      <c r="K204" t="s">
        <v>59</v>
      </c>
      <c r="M204">
        <v>2503061</v>
      </c>
      <c r="N204" t="s">
        <v>377</v>
      </c>
      <c r="O204" t="s">
        <v>36</v>
      </c>
      <c r="Q204" t="s">
        <v>62</v>
      </c>
      <c r="R204" t="s">
        <v>378</v>
      </c>
      <c r="S204" t="s">
        <v>378</v>
      </c>
      <c r="T204" t="s">
        <v>47</v>
      </c>
      <c r="U204" t="s">
        <v>157</v>
      </c>
      <c r="V204" t="s">
        <v>49</v>
      </c>
      <c r="W204" t="s">
        <v>158</v>
      </c>
      <c r="X204" t="s">
        <v>51</v>
      </c>
      <c r="Y204" t="s">
        <v>346</v>
      </c>
      <c r="Z204" t="s">
        <v>346</v>
      </c>
      <c r="AA204" t="s">
        <v>540</v>
      </c>
      <c r="AB204" s="3">
        <f t="shared" si="24"/>
        <v>3.0000000000000004</v>
      </c>
      <c r="AC204">
        <v>354.72</v>
      </c>
      <c r="AD204" s="2">
        <v>118.24</v>
      </c>
      <c r="AE204" s="2">
        <v>70.83</v>
      </c>
      <c r="AF204" s="2">
        <v>2.48</v>
      </c>
      <c r="AG204" s="2">
        <v>428.03</v>
      </c>
      <c r="AH204">
        <v>0</v>
      </c>
      <c r="AI204">
        <v>142.67666666667</v>
      </c>
      <c r="AJ204">
        <v>2.1401500000000002</v>
      </c>
      <c r="AK204" t="s">
        <v>54</v>
      </c>
      <c r="AL204">
        <v>3.38</v>
      </c>
      <c r="AM204" s="4">
        <f t="shared" si="25"/>
        <v>142.67666666666665</v>
      </c>
      <c r="AN204" s="4">
        <f t="shared" si="26"/>
        <v>221.7</v>
      </c>
      <c r="AO204" s="4">
        <f t="shared" si="27"/>
        <v>246.30869999999999</v>
      </c>
      <c r="AP204" s="4">
        <f t="shared" si="28"/>
        <v>359.13182999999998</v>
      </c>
      <c r="AQ204" s="10">
        <f t="shared" si="29"/>
        <v>248.12899099999998</v>
      </c>
      <c r="AR204" s="10">
        <f t="shared" si="30"/>
        <v>275.69612190009997</v>
      </c>
      <c r="AS204" s="10">
        <f t="shared" si="31"/>
        <v>386.28721318879997</v>
      </c>
    </row>
    <row r="205" spans="1:45" x14ac:dyDescent="0.3">
      <c r="A205">
        <v>2025</v>
      </c>
      <c r="B205">
        <v>4</v>
      </c>
      <c r="C205" t="s">
        <v>55</v>
      </c>
      <c r="D205">
        <v>10</v>
      </c>
      <c r="E205" t="s">
        <v>36</v>
      </c>
      <c r="F205" t="s">
        <v>37</v>
      </c>
      <c r="G205" t="s">
        <v>38</v>
      </c>
      <c r="H205" t="s">
        <v>101</v>
      </c>
      <c r="I205" t="s">
        <v>375</v>
      </c>
      <c r="J205" t="s">
        <v>376</v>
      </c>
      <c r="K205" t="s">
        <v>59</v>
      </c>
      <c r="M205">
        <v>2503061</v>
      </c>
      <c r="N205" t="s">
        <v>377</v>
      </c>
      <c r="O205" t="s">
        <v>36</v>
      </c>
      <c r="Q205" t="s">
        <v>62</v>
      </c>
      <c r="R205" t="s">
        <v>378</v>
      </c>
      <c r="S205" t="s">
        <v>378</v>
      </c>
      <c r="T205" t="s">
        <v>47</v>
      </c>
      <c r="U205" t="s">
        <v>157</v>
      </c>
      <c r="V205" t="s">
        <v>49</v>
      </c>
      <c r="W205" t="s">
        <v>158</v>
      </c>
      <c r="X205" t="s">
        <v>51</v>
      </c>
      <c r="Y205" t="s">
        <v>544</v>
      </c>
      <c r="Z205" t="s">
        <v>544</v>
      </c>
      <c r="AA205" t="s">
        <v>540</v>
      </c>
      <c r="AB205" s="3">
        <f t="shared" si="24"/>
        <v>2</v>
      </c>
      <c r="AC205">
        <v>234.25</v>
      </c>
      <c r="AD205" s="2">
        <v>117.125</v>
      </c>
      <c r="AE205" s="2">
        <v>30.17</v>
      </c>
      <c r="AF205" s="2">
        <v>1.65</v>
      </c>
      <c r="AG205" s="2">
        <v>266.07</v>
      </c>
      <c r="AH205">
        <v>0</v>
      </c>
      <c r="AI205">
        <v>133.035</v>
      </c>
      <c r="AJ205">
        <v>1.3303499999999999</v>
      </c>
      <c r="AK205" t="s">
        <v>54</v>
      </c>
      <c r="AL205">
        <v>1.44</v>
      </c>
      <c r="AM205" s="4">
        <f t="shared" si="25"/>
        <v>133.035</v>
      </c>
      <c r="AN205" s="4">
        <f t="shared" si="26"/>
        <v>219.609375</v>
      </c>
      <c r="AO205" s="4">
        <f t="shared" si="27"/>
        <v>243.98601562499999</v>
      </c>
      <c r="AP205" s="4">
        <f t="shared" si="28"/>
        <v>355.74522656249997</v>
      </c>
      <c r="AQ205" s="10">
        <f t="shared" si="29"/>
        <v>231.36116850000002</v>
      </c>
      <c r="AR205" s="10">
        <f t="shared" si="30"/>
        <v>257.06539432035004</v>
      </c>
      <c r="AS205" s="10">
        <f t="shared" si="31"/>
        <v>360.18306712080005</v>
      </c>
    </row>
    <row r="206" spans="1:45" x14ac:dyDescent="0.3">
      <c r="A206">
        <v>2025</v>
      </c>
      <c r="B206">
        <v>4</v>
      </c>
      <c r="C206" t="s">
        <v>55</v>
      </c>
      <c r="D206">
        <v>10</v>
      </c>
      <c r="E206" t="s">
        <v>36</v>
      </c>
      <c r="F206" t="s">
        <v>37</v>
      </c>
      <c r="G206" t="s">
        <v>38</v>
      </c>
      <c r="H206" t="s">
        <v>101</v>
      </c>
      <c r="I206" t="s">
        <v>375</v>
      </c>
      <c r="J206" t="s">
        <v>376</v>
      </c>
      <c r="K206" t="s">
        <v>59</v>
      </c>
      <c r="M206">
        <v>2503061</v>
      </c>
      <c r="N206" t="s">
        <v>377</v>
      </c>
      <c r="O206" t="s">
        <v>36</v>
      </c>
      <c r="Q206" t="s">
        <v>62</v>
      </c>
      <c r="R206" t="s">
        <v>378</v>
      </c>
      <c r="S206" t="s">
        <v>378</v>
      </c>
      <c r="T206" t="s">
        <v>47</v>
      </c>
      <c r="U206" t="s">
        <v>157</v>
      </c>
      <c r="V206" t="s">
        <v>49</v>
      </c>
      <c r="W206" t="s">
        <v>158</v>
      </c>
      <c r="X206" t="s">
        <v>51</v>
      </c>
      <c r="Y206" t="s">
        <v>544</v>
      </c>
      <c r="Z206" t="s">
        <v>544</v>
      </c>
      <c r="AA206" t="s">
        <v>540</v>
      </c>
      <c r="AB206" s="3">
        <f t="shared" si="24"/>
        <v>3.0000000000000857</v>
      </c>
      <c r="AC206">
        <v>351.37</v>
      </c>
      <c r="AD206" s="2">
        <v>117.12333333333</v>
      </c>
      <c r="AE206" s="2">
        <v>45.26</v>
      </c>
      <c r="AF206" s="2">
        <v>2.48</v>
      </c>
      <c r="AG206" s="2">
        <v>399.11</v>
      </c>
      <c r="AH206">
        <v>0</v>
      </c>
      <c r="AI206">
        <v>133.03666666666999</v>
      </c>
      <c r="AJ206">
        <v>1.9955499999999999</v>
      </c>
      <c r="AK206" t="s">
        <v>54</v>
      </c>
      <c r="AL206">
        <v>2.16</v>
      </c>
      <c r="AM206" s="4">
        <f t="shared" si="25"/>
        <v>133.03666666666288</v>
      </c>
      <c r="AN206" s="4">
        <f t="shared" si="26"/>
        <v>219.60624999999374</v>
      </c>
      <c r="AO206" s="4">
        <f t="shared" si="27"/>
        <v>243.98254374999303</v>
      </c>
      <c r="AP206" s="4">
        <f t="shared" si="28"/>
        <v>355.74016437498983</v>
      </c>
      <c r="AQ206" s="10">
        <f t="shared" si="29"/>
        <v>231.36406699999344</v>
      </c>
      <c r="AR206" s="10">
        <f t="shared" si="30"/>
        <v>257.06861484369273</v>
      </c>
      <c r="AS206" s="10">
        <f t="shared" si="31"/>
        <v>360.18757950558978</v>
      </c>
    </row>
    <row r="207" spans="1:45" x14ac:dyDescent="0.3">
      <c r="A207">
        <v>2025</v>
      </c>
      <c r="B207">
        <v>7</v>
      </c>
      <c r="C207" t="s">
        <v>55</v>
      </c>
      <c r="D207">
        <v>10</v>
      </c>
      <c r="E207" t="s">
        <v>36</v>
      </c>
      <c r="F207" t="s">
        <v>37</v>
      </c>
      <c r="G207" t="s">
        <v>38</v>
      </c>
      <c r="H207" t="s">
        <v>101</v>
      </c>
      <c r="I207" t="s">
        <v>190</v>
      </c>
      <c r="J207" t="s">
        <v>58</v>
      </c>
      <c r="K207" t="s">
        <v>41</v>
      </c>
      <c r="L207" t="s">
        <v>953</v>
      </c>
      <c r="M207" t="s">
        <v>954</v>
      </c>
      <c r="N207" t="s">
        <v>731</v>
      </c>
      <c r="O207" t="s">
        <v>36</v>
      </c>
      <c r="Q207" t="s">
        <v>62</v>
      </c>
      <c r="R207" t="s">
        <v>955</v>
      </c>
      <c r="S207" t="s">
        <v>956</v>
      </c>
      <c r="T207" t="s">
        <v>47</v>
      </c>
      <c r="U207" t="s">
        <v>157</v>
      </c>
      <c r="V207" t="s">
        <v>49</v>
      </c>
      <c r="W207" t="s">
        <v>158</v>
      </c>
      <c r="X207" t="s">
        <v>51</v>
      </c>
      <c r="Y207" t="s">
        <v>346</v>
      </c>
      <c r="Z207" t="s">
        <v>346</v>
      </c>
      <c r="AA207" t="s">
        <v>541</v>
      </c>
      <c r="AB207" s="3">
        <f t="shared" si="24"/>
        <v>1</v>
      </c>
      <c r="AC207">
        <v>57.65</v>
      </c>
      <c r="AD207" s="2">
        <v>57.65</v>
      </c>
      <c r="AE207" s="2">
        <v>23.68</v>
      </c>
      <c r="AF207" s="2">
        <v>0.39</v>
      </c>
      <c r="AG207" s="2">
        <v>81.72</v>
      </c>
      <c r="AH207">
        <v>0</v>
      </c>
      <c r="AI207">
        <v>81.72</v>
      </c>
      <c r="AJ207">
        <v>0.40860000000000002</v>
      </c>
      <c r="AK207" t="s">
        <v>54</v>
      </c>
      <c r="AL207">
        <v>1.1299999999999999</v>
      </c>
      <c r="AM207" s="4">
        <f t="shared" si="25"/>
        <v>81.72</v>
      </c>
      <c r="AN207" s="4">
        <f t="shared" si="26"/>
        <v>108.09375</v>
      </c>
      <c r="AO207" s="4">
        <f t="shared" si="27"/>
        <v>120.09215625</v>
      </c>
      <c r="AP207" s="4">
        <f t="shared" si="28"/>
        <v>175.10106562499999</v>
      </c>
      <c r="AQ207" s="10">
        <f t="shared" si="29"/>
        <v>142.11925200000002</v>
      </c>
      <c r="AR207" s="10">
        <f t="shared" si="30"/>
        <v>157.90870089720002</v>
      </c>
      <c r="AS207" s="10">
        <f t="shared" si="31"/>
        <v>221.25125151360001</v>
      </c>
    </row>
    <row r="208" spans="1:45" x14ac:dyDescent="0.3">
      <c r="A208">
        <v>2025</v>
      </c>
      <c r="B208">
        <v>8</v>
      </c>
      <c r="C208" t="s">
        <v>55</v>
      </c>
      <c r="D208">
        <v>10</v>
      </c>
      <c r="E208" t="s">
        <v>36</v>
      </c>
      <c r="F208" t="s">
        <v>37</v>
      </c>
      <c r="G208" t="s">
        <v>38</v>
      </c>
      <c r="H208" t="s">
        <v>101</v>
      </c>
      <c r="I208" t="s">
        <v>190</v>
      </c>
      <c r="J208" t="s">
        <v>58</v>
      </c>
      <c r="K208" t="s">
        <v>59</v>
      </c>
      <c r="L208" t="s">
        <v>1194</v>
      </c>
      <c r="M208" t="s">
        <v>1195</v>
      </c>
      <c r="N208" t="s">
        <v>1196</v>
      </c>
      <c r="O208" t="s">
        <v>1197</v>
      </c>
      <c r="Q208" t="s">
        <v>62</v>
      </c>
      <c r="R208" t="s">
        <v>1198</v>
      </c>
      <c r="S208" t="s">
        <v>1198</v>
      </c>
      <c r="T208" t="s">
        <v>47</v>
      </c>
      <c r="U208" t="s">
        <v>157</v>
      </c>
      <c r="V208" t="s">
        <v>49</v>
      </c>
      <c r="W208" t="s">
        <v>158</v>
      </c>
      <c r="X208" t="s">
        <v>388</v>
      </c>
      <c r="Y208" t="s">
        <v>1107</v>
      </c>
      <c r="Z208" t="s">
        <v>1108</v>
      </c>
      <c r="AA208" t="s">
        <v>1110</v>
      </c>
      <c r="AB208" s="3">
        <f t="shared" si="24"/>
        <v>4.9999999999999991</v>
      </c>
      <c r="AC208">
        <v>268.83999999999997</v>
      </c>
      <c r="AD208" s="2">
        <v>53.768000000000001</v>
      </c>
      <c r="AE208" s="2">
        <v>145.21</v>
      </c>
      <c r="AF208" s="2">
        <v>1.76</v>
      </c>
      <c r="AG208" s="2">
        <v>415.8</v>
      </c>
      <c r="AH208">
        <v>0</v>
      </c>
      <c r="AI208">
        <v>83.16</v>
      </c>
      <c r="AJ208">
        <v>2.0790000000000002</v>
      </c>
      <c r="AK208" t="s">
        <v>54</v>
      </c>
      <c r="AL208">
        <v>10.87</v>
      </c>
      <c r="AM208" s="4">
        <f t="shared" si="25"/>
        <v>83.160000000000011</v>
      </c>
      <c r="AN208" s="4">
        <f t="shared" si="26"/>
        <v>100.815</v>
      </c>
      <c r="AO208" s="4">
        <f t="shared" si="27"/>
        <v>112.005465</v>
      </c>
      <c r="AP208" s="4">
        <f t="shared" si="28"/>
        <v>163.31021849999999</v>
      </c>
      <c r="AQ208" s="10">
        <f t="shared" si="29"/>
        <v>144.62355600000004</v>
      </c>
      <c r="AR208" s="10">
        <f t="shared" si="30"/>
        <v>160.69123307160004</v>
      </c>
      <c r="AS208" s="10">
        <f t="shared" si="31"/>
        <v>225.14995198080004</v>
      </c>
    </row>
    <row r="209" spans="1:45" x14ac:dyDescent="0.3">
      <c r="A209">
        <v>2025</v>
      </c>
      <c r="B209">
        <v>4</v>
      </c>
      <c r="C209" t="s">
        <v>55</v>
      </c>
      <c r="D209">
        <v>10</v>
      </c>
      <c r="E209" t="s">
        <v>36</v>
      </c>
      <c r="F209" t="s">
        <v>37</v>
      </c>
      <c r="G209" t="s">
        <v>38</v>
      </c>
      <c r="H209" t="s">
        <v>101</v>
      </c>
      <c r="I209" t="s">
        <v>190</v>
      </c>
      <c r="J209" t="s">
        <v>58</v>
      </c>
      <c r="K209" t="s">
        <v>59</v>
      </c>
      <c r="M209" t="s">
        <v>383</v>
      </c>
      <c r="N209" t="s">
        <v>384</v>
      </c>
      <c r="O209" t="s">
        <v>36</v>
      </c>
      <c r="Q209" t="s">
        <v>62</v>
      </c>
      <c r="R209" t="s">
        <v>385</v>
      </c>
      <c r="S209" t="s">
        <v>385</v>
      </c>
      <c r="T209" t="s">
        <v>47</v>
      </c>
      <c r="U209" t="s">
        <v>546</v>
      </c>
      <c r="V209" t="s">
        <v>49</v>
      </c>
      <c r="W209" t="s">
        <v>547</v>
      </c>
      <c r="X209" t="s">
        <v>388</v>
      </c>
      <c r="Y209" t="s">
        <v>1380</v>
      </c>
      <c r="Z209" t="s">
        <v>1380</v>
      </c>
      <c r="AA209" t="s">
        <v>1381</v>
      </c>
      <c r="AB209" s="3">
        <f t="shared" si="24"/>
        <v>1</v>
      </c>
      <c r="AC209">
        <v>36.770000000000003</v>
      </c>
      <c r="AD209" s="2">
        <v>36.770000000000003</v>
      </c>
      <c r="AE209" s="2">
        <v>2.64</v>
      </c>
      <c r="AF209" s="2">
        <v>0.24</v>
      </c>
      <c r="AG209" s="2">
        <v>39.65</v>
      </c>
      <c r="AH209">
        <v>0</v>
      </c>
      <c r="AI209">
        <v>39.65</v>
      </c>
      <c r="AJ209">
        <v>0.19825000000000001</v>
      </c>
      <c r="AK209" t="s">
        <v>54</v>
      </c>
      <c r="AL209">
        <v>0.31</v>
      </c>
      <c r="AM209" s="4">
        <f t="shared" si="25"/>
        <v>39.65</v>
      </c>
      <c r="AN209" s="4">
        <f t="shared" si="26"/>
        <v>68.943750000000009</v>
      </c>
      <c r="AO209" s="4">
        <f t="shared" si="27"/>
        <v>76.596506250000004</v>
      </c>
      <c r="AP209" s="4">
        <f t="shared" si="28"/>
        <v>111.68198062500001</v>
      </c>
      <c r="AQ209" s="10">
        <f t="shared" si="29"/>
        <v>68.955314999999999</v>
      </c>
      <c r="AR209" s="10">
        <f t="shared" si="30"/>
        <v>76.616250496500001</v>
      </c>
      <c r="AS209" s="10">
        <f t="shared" si="31"/>
        <v>107.349634392</v>
      </c>
    </row>
    <row r="210" spans="1:45" x14ac:dyDescent="0.3">
      <c r="A210">
        <v>2025</v>
      </c>
      <c r="B210">
        <v>4</v>
      </c>
      <c r="C210" t="s">
        <v>55</v>
      </c>
      <c r="D210">
        <v>10</v>
      </c>
      <c r="E210" t="s">
        <v>36</v>
      </c>
      <c r="F210" t="s">
        <v>37</v>
      </c>
      <c r="G210" t="s">
        <v>38</v>
      </c>
      <c r="H210" t="s">
        <v>542</v>
      </c>
      <c r="I210" t="s">
        <v>375</v>
      </c>
      <c r="J210" t="s">
        <v>376</v>
      </c>
      <c r="K210" t="s">
        <v>59</v>
      </c>
      <c r="M210">
        <v>2503061</v>
      </c>
      <c r="N210" t="s">
        <v>377</v>
      </c>
      <c r="O210" t="s">
        <v>36</v>
      </c>
      <c r="Q210" t="s">
        <v>62</v>
      </c>
      <c r="R210" t="s">
        <v>378</v>
      </c>
      <c r="S210" t="s">
        <v>378</v>
      </c>
      <c r="T210" t="s">
        <v>47</v>
      </c>
      <c r="U210" t="s">
        <v>157</v>
      </c>
      <c r="V210" t="s">
        <v>49</v>
      </c>
      <c r="W210" t="s">
        <v>158</v>
      </c>
      <c r="X210" t="s">
        <v>51</v>
      </c>
      <c r="Y210" t="s">
        <v>548</v>
      </c>
      <c r="Z210" t="s">
        <v>548</v>
      </c>
      <c r="AA210" t="s">
        <v>549</v>
      </c>
      <c r="AB210" s="3">
        <f t="shared" si="24"/>
        <v>2.9999999999999019</v>
      </c>
      <c r="AC210">
        <v>305.42</v>
      </c>
      <c r="AD210" s="2">
        <v>101.80666666667</v>
      </c>
      <c r="AE210" s="2">
        <v>45.97</v>
      </c>
      <c r="AF210" s="2">
        <v>1.99</v>
      </c>
      <c r="AG210" s="2">
        <v>353.39</v>
      </c>
      <c r="AH210">
        <v>0</v>
      </c>
      <c r="AI210">
        <v>117.79666666667001</v>
      </c>
      <c r="AJ210">
        <v>1.76695</v>
      </c>
      <c r="AK210" t="s">
        <v>54</v>
      </c>
      <c r="AL210">
        <v>2.34</v>
      </c>
      <c r="AM210" s="4">
        <f t="shared" si="25"/>
        <v>117.79666666667052</v>
      </c>
      <c r="AN210" s="4">
        <f t="shared" si="26"/>
        <v>190.88750000000624</v>
      </c>
      <c r="AO210" s="4">
        <f t="shared" si="27"/>
        <v>212.07601250000693</v>
      </c>
      <c r="AP210" s="4">
        <f t="shared" si="28"/>
        <v>309.21866125001009</v>
      </c>
      <c r="AQ210" s="10">
        <f t="shared" si="29"/>
        <v>204.86018300000671</v>
      </c>
      <c r="AR210" s="10">
        <f t="shared" si="30"/>
        <v>227.62014933130746</v>
      </c>
      <c r="AS210" s="10">
        <f t="shared" si="31"/>
        <v>318.92633289441045</v>
      </c>
    </row>
    <row r="211" spans="1:45" x14ac:dyDescent="0.3">
      <c r="A211">
        <v>2025</v>
      </c>
      <c r="B211">
        <v>8</v>
      </c>
      <c r="C211" t="s">
        <v>55</v>
      </c>
      <c r="D211">
        <v>10</v>
      </c>
      <c r="E211" t="s">
        <v>36</v>
      </c>
      <c r="F211" t="s">
        <v>37</v>
      </c>
      <c r="G211" t="s">
        <v>38</v>
      </c>
      <c r="H211" t="s">
        <v>542</v>
      </c>
      <c r="I211" t="s">
        <v>190</v>
      </c>
      <c r="J211" t="s">
        <v>58</v>
      </c>
      <c r="K211" t="s">
        <v>59</v>
      </c>
      <c r="L211" t="s">
        <v>1194</v>
      </c>
      <c r="M211" t="s">
        <v>1195</v>
      </c>
      <c r="N211" t="s">
        <v>1196</v>
      </c>
      <c r="O211" t="s">
        <v>1197</v>
      </c>
      <c r="Q211" t="s">
        <v>62</v>
      </c>
      <c r="R211" t="s">
        <v>1198</v>
      </c>
      <c r="S211" t="s">
        <v>1198</v>
      </c>
      <c r="T211" t="s">
        <v>47</v>
      </c>
      <c r="U211" t="s">
        <v>157</v>
      </c>
      <c r="V211" t="s">
        <v>49</v>
      </c>
      <c r="W211" t="s">
        <v>158</v>
      </c>
      <c r="X211" t="s">
        <v>388</v>
      </c>
      <c r="Y211" t="s">
        <v>342</v>
      </c>
      <c r="Z211" t="s">
        <v>342</v>
      </c>
      <c r="AA211" t="s">
        <v>543</v>
      </c>
      <c r="AB211" s="3">
        <f t="shared" si="24"/>
        <v>3.0000000000000004</v>
      </c>
      <c r="AC211">
        <v>1492.17</v>
      </c>
      <c r="AD211" s="2">
        <v>497.39</v>
      </c>
      <c r="AE211" s="2">
        <v>70.83</v>
      </c>
      <c r="AF211" s="2">
        <v>10.65</v>
      </c>
      <c r="AG211" s="2">
        <v>1573.65</v>
      </c>
      <c r="AH211">
        <v>0</v>
      </c>
      <c r="AI211">
        <v>524.54999999999995</v>
      </c>
      <c r="AJ211">
        <v>7.8682499999999997</v>
      </c>
      <c r="AK211" t="s">
        <v>54</v>
      </c>
      <c r="AL211">
        <v>3.38</v>
      </c>
      <c r="AM211" s="4">
        <f t="shared" si="25"/>
        <v>524.54999999999995</v>
      </c>
      <c r="AN211" s="4">
        <f t="shared" si="26"/>
        <v>932.60624999999993</v>
      </c>
      <c r="AO211" s="4">
        <f t="shared" si="27"/>
        <v>1036.1255437499999</v>
      </c>
      <c r="AP211" s="4">
        <f t="shared" si="28"/>
        <v>1510.7288643749998</v>
      </c>
      <c r="AQ211" s="10">
        <f t="shared" si="29"/>
        <v>912.24490500000002</v>
      </c>
      <c r="AR211" s="10">
        <f t="shared" si="30"/>
        <v>1013.5953139455</v>
      </c>
      <c r="AS211" s="10">
        <f t="shared" si="31"/>
        <v>1420.1828681039999</v>
      </c>
    </row>
    <row r="212" spans="1:45" x14ac:dyDescent="0.3">
      <c r="A212">
        <v>2025</v>
      </c>
      <c r="B212">
        <v>8</v>
      </c>
      <c r="C212" t="s">
        <v>55</v>
      </c>
      <c r="D212">
        <v>10</v>
      </c>
      <c r="E212" t="s">
        <v>36</v>
      </c>
      <c r="F212" t="s">
        <v>37</v>
      </c>
      <c r="G212" t="s">
        <v>38</v>
      </c>
      <c r="H212" t="s">
        <v>542</v>
      </c>
      <c r="I212" t="s">
        <v>190</v>
      </c>
      <c r="J212" t="s">
        <v>58</v>
      </c>
      <c r="K212" t="s">
        <v>59</v>
      </c>
      <c r="L212" t="s">
        <v>1194</v>
      </c>
      <c r="M212" t="s">
        <v>1195</v>
      </c>
      <c r="N212" t="s">
        <v>1196</v>
      </c>
      <c r="O212" t="s">
        <v>1197</v>
      </c>
      <c r="Q212" t="s">
        <v>62</v>
      </c>
      <c r="R212" t="s">
        <v>1198</v>
      </c>
      <c r="S212" t="s">
        <v>1198</v>
      </c>
      <c r="T212" t="s">
        <v>47</v>
      </c>
      <c r="U212" t="s">
        <v>157</v>
      </c>
      <c r="V212" t="s">
        <v>49</v>
      </c>
      <c r="W212" t="s">
        <v>158</v>
      </c>
      <c r="X212" t="s">
        <v>388</v>
      </c>
      <c r="Y212" t="s">
        <v>1111</v>
      </c>
      <c r="Z212" t="s">
        <v>1111</v>
      </c>
      <c r="AA212" t="s">
        <v>543</v>
      </c>
      <c r="AB212" s="3">
        <f t="shared" si="24"/>
        <v>1</v>
      </c>
      <c r="AC212">
        <v>422.71</v>
      </c>
      <c r="AD212" s="2">
        <v>422.71</v>
      </c>
      <c r="AE212" s="2">
        <v>30.29</v>
      </c>
      <c r="AF212" s="2">
        <v>2.74</v>
      </c>
      <c r="AG212" s="2">
        <v>455.74</v>
      </c>
      <c r="AH212">
        <v>0</v>
      </c>
      <c r="AI212">
        <v>455.74</v>
      </c>
      <c r="AJ212">
        <v>2.2787000000000002</v>
      </c>
      <c r="AK212" t="s">
        <v>54</v>
      </c>
      <c r="AL212">
        <v>3.56</v>
      </c>
      <c r="AM212" s="4">
        <f t="shared" si="25"/>
        <v>455.74</v>
      </c>
      <c r="AN212" s="4">
        <f t="shared" si="26"/>
        <v>792.58124999999995</v>
      </c>
      <c r="AO212" s="4">
        <f t="shared" si="27"/>
        <v>880.55776874999992</v>
      </c>
      <c r="AP212" s="4">
        <f t="shared" si="28"/>
        <v>1283.9023668749999</v>
      </c>
      <c r="AQ212" s="10">
        <f t="shared" si="29"/>
        <v>792.57743400000004</v>
      </c>
      <c r="AR212" s="10">
        <f t="shared" si="30"/>
        <v>880.63278691740004</v>
      </c>
      <c r="AS212" s="10">
        <f t="shared" si="31"/>
        <v>1233.8845492512</v>
      </c>
    </row>
    <row r="213" spans="1:45" x14ac:dyDescent="0.3">
      <c r="A213">
        <v>2025</v>
      </c>
      <c r="B213">
        <v>11</v>
      </c>
      <c r="C213" t="s">
        <v>55</v>
      </c>
      <c r="D213">
        <v>10</v>
      </c>
      <c r="E213" t="s">
        <v>36</v>
      </c>
      <c r="F213" t="s">
        <v>37</v>
      </c>
      <c r="G213" t="s">
        <v>38</v>
      </c>
      <c r="H213" t="s">
        <v>78</v>
      </c>
      <c r="I213" t="s">
        <v>375</v>
      </c>
      <c r="J213" t="s">
        <v>376</v>
      </c>
      <c r="K213" t="s">
        <v>51</v>
      </c>
      <c r="L213" t="s">
        <v>1622</v>
      </c>
      <c r="M213" t="s">
        <v>1623</v>
      </c>
      <c r="N213" t="s">
        <v>1485</v>
      </c>
      <c r="O213" t="s">
        <v>1197</v>
      </c>
      <c r="Q213" t="s">
        <v>62</v>
      </c>
      <c r="R213" t="s">
        <v>1624</v>
      </c>
      <c r="S213" t="s">
        <v>1624</v>
      </c>
      <c r="T213" t="s">
        <v>47</v>
      </c>
      <c r="U213" t="s">
        <v>669</v>
      </c>
      <c r="V213" t="s">
        <v>49</v>
      </c>
      <c r="W213" t="s">
        <v>670</v>
      </c>
      <c r="X213" t="s">
        <v>51</v>
      </c>
      <c r="Y213" t="s">
        <v>1111</v>
      </c>
      <c r="Z213" t="s">
        <v>1111</v>
      </c>
      <c r="AA213" t="s">
        <v>543</v>
      </c>
      <c r="AB213" s="3">
        <f t="shared" si="24"/>
        <v>1</v>
      </c>
      <c r="AC213">
        <v>422.71</v>
      </c>
      <c r="AD213" s="2">
        <v>422.71</v>
      </c>
      <c r="AE213" s="2">
        <v>30.29</v>
      </c>
      <c r="AF213" s="2">
        <v>2.74</v>
      </c>
      <c r="AG213" s="2">
        <v>455.74</v>
      </c>
      <c r="AH213">
        <v>0</v>
      </c>
      <c r="AI213">
        <v>455.74</v>
      </c>
      <c r="AJ213">
        <v>2.2787000000000002</v>
      </c>
      <c r="AK213" t="s">
        <v>54</v>
      </c>
      <c r="AL213">
        <v>3.56</v>
      </c>
      <c r="AM213" s="4">
        <f t="shared" si="25"/>
        <v>455.74</v>
      </c>
      <c r="AN213" s="4">
        <f t="shared" si="26"/>
        <v>792.58124999999995</v>
      </c>
      <c r="AO213" s="4">
        <f t="shared" si="27"/>
        <v>880.55776874999992</v>
      </c>
      <c r="AP213" s="4">
        <f t="shared" si="28"/>
        <v>1283.9023668749999</v>
      </c>
      <c r="AQ213" s="10">
        <f t="shared" si="29"/>
        <v>792.57743400000004</v>
      </c>
      <c r="AR213" s="10">
        <f t="shared" si="30"/>
        <v>880.63278691740004</v>
      </c>
      <c r="AS213" s="10">
        <f t="shared" si="31"/>
        <v>1233.8845492512</v>
      </c>
    </row>
    <row r="214" spans="1:45" x14ac:dyDescent="0.3">
      <c r="A214">
        <v>2025</v>
      </c>
      <c r="B214">
        <v>7</v>
      </c>
      <c r="C214" t="s">
        <v>55</v>
      </c>
      <c r="D214">
        <v>10</v>
      </c>
      <c r="E214" t="s">
        <v>36</v>
      </c>
      <c r="F214" t="s">
        <v>37</v>
      </c>
      <c r="G214" t="s">
        <v>38</v>
      </c>
      <c r="H214" t="s">
        <v>78</v>
      </c>
      <c r="I214" t="s">
        <v>190</v>
      </c>
      <c r="J214" t="s">
        <v>58</v>
      </c>
      <c r="K214" t="s">
        <v>41</v>
      </c>
      <c r="L214" t="s">
        <v>953</v>
      </c>
      <c r="M214" t="s">
        <v>954</v>
      </c>
      <c r="N214" t="s">
        <v>731</v>
      </c>
      <c r="O214" t="s">
        <v>36</v>
      </c>
      <c r="Q214" t="s">
        <v>62</v>
      </c>
      <c r="R214" t="s">
        <v>955</v>
      </c>
      <c r="S214" t="s">
        <v>956</v>
      </c>
      <c r="T214" t="s">
        <v>47</v>
      </c>
      <c r="U214" t="s">
        <v>157</v>
      </c>
      <c r="V214" t="s">
        <v>49</v>
      </c>
      <c r="W214" t="s">
        <v>158</v>
      </c>
      <c r="X214" t="s">
        <v>51</v>
      </c>
      <c r="Y214" t="s">
        <v>1761</v>
      </c>
      <c r="Z214" t="s">
        <v>1761</v>
      </c>
      <c r="AA214" t="s">
        <v>1768</v>
      </c>
      <c r="AB214" s="3">
        <f t="shared" si="24"/>
        <v>1</v>
      </c>
      <c r="AC214">
        <v>96.76</v>
      </c>
      <c r="AD214" s="2">
        <v>96.76</v>
      </c>
      <c r="AE214" s="2">
        <v>13.55</v>
      </c>
      <c r="AF214" s="2">
        <v>0.67</v>
      </c>
      <c r="AG214" s="2">
        <v>110.98</v>
      </c>
      <c r="AH214">
        <v>0</v>
      </c>
      <c r="AI214">
        <v>110.98</v>
      </c>
      <c r="AJ214">
        <v>0.55489999999999995</v>
      </c>
      <c r="AK214" t="s">
        <v>54</v>
      </c>
      <c r="AL214">
        <v>0.74</v>
      </c>
      <c r="AM214" s="4">
        <f t="shared" si="25"/>
        <v>110.98</v>
      </c>
      <c r="AN214" s="4">
        <f t="shared" si="26"/>
        <v>181.42500000000001</v>
      </c>
      <c r="AO214" s="4">
        <f t="shared" si="27"/>
        <v>201.563175</v>
      </c>
      <c r="AP214" s="4">
        <f t="shared" si="28"/>
        <v>293.89035749999999</v>
      </c>
      <c r="AQ214" s="10">
        <f t="shared" si="29"/>
        <v>193.00531800000002</v>
      </c>
      <c r="AR214" s="10">
        <f t="shared" si="30"/>
        <v>214.44820882980002</v>
      </c>
      <c r="AS214" s="10">
        <f t="shared" si="31"/>
        <v>300.4706790624</v>
      </c>
    </row>
    <row r="215" spans="1:45" x14ac:dyDescent="0.3">
      <c r="A215">
        <v>2025</v>
      </c>
      <c r="B215">
        <v>11</v>
      </c>
      <c r="C215" t="s">
        <v>55</v>
      </c>
      <c r="D215">
        <v>10</v>
      </c>
      <c r="E215" t="s">
        <v>36</v>
      </c>
      <c r="F215" t="s">
        <v>37</v>
      </c>
      <c r="G215" t="s">
        <v>38</v>
      </c>
      <c r="H215" t="s">
        <v>78</v>
      </c>
      <c r="I215" t="s">
        <v>375</v>
      </c>
      <c r="J215" t="s">
        <v>376</v>
      </c>
      <c r="K215" t="s">
        <v>51</v>
      </c>
      <c r="L215" t="s">
        <v>1622</v>
      </c>
      <c r="M215" t="s">
        <v>1623</v>
      </c>
      <c r="N215" t="s">
        <v>1485</v>
      </c>
      <c r="O215" t="s">
        <v>1197</v>
      </c>
      <c r="Q215" t="s">
        <v>62</v>
      </c>
      <c r="R215" t="s">
        <v>1624</v>
      </c>
      <c r="S215" t="s">
        <v>1624</v>
      </c>
      <c r="T215" t="s">
        <v>47</v>
      </c>
      <c r="U215" t="s">
        <v>157</v>
      </c>
      <c r="V215" t="s">
        <v>49</v>
      </c>
      <c r="W215" t="s">
        <v>158</v>
      </c>
      <c r="X215" t="s">
        <v>51</v>
      </c>
      <c r="Y215" t="s">
        <v>1119</v>
      </c>
      <c r="Z215" t="s">
        <v>1119</v>
      </c>
      <c r="AA215" t="s">
        <v>1120</v>
      </c>
      <c r="AB215" s="3">
        <f t="shared" si="24"/>
        <v>2</v>
      </c>
      <c r="AC215">
        <v>92.41</v>
      </c>
      <c r="AD215" s="2">
        <v>46.204999999999998</v>
      </c>
      <c r="AE215" s="2">
        <v>58.8</v>
      </c>
      <c r="AF215" s="2">
        <v>0.61</v>
      </c>
      <c r="AG215" s="2">
        <v>151.9</v>
      </c>
      <c r="AH215">
        <v>0</v>
      </c>
      <c r="AI215">
        <v>75.95</v>
      </c>
      <c r="AJ215">
        <v>0.75949999999999995</v>
      </c>
      <c r="AK215" t="s">
        <v>54</v>
      </c>
      <c r="AL215">
        <v>4.3499999999999996</v>
      </c>
      <c r="AM215" s="4">
        <f t="shared" si="25"/>
        <v>75.95</v>
      </c>
      <c r="AN215" s="4">
        <f t="shared" si="26"/>
        <v>86.634374999999991</v>
      </c>
      <c r="AO215" s="4">
        <f t="shared" si="27"/>
        <v>96.250790624999993</v>
      </c>
      <c r="AP215" s="4">
        <f t="shared" si="28"/>
        <v>140.33902406249999</v>
      </c>
      <c r="AQ215" s="10">
        <f t="shared" si="29"/>
        <v>132.08464500000002</v>
      </c>
      <c r="AR215" s="10">
        <f t="shared" si="30"/>
        <v>146.75924905950004</v>
      </c>
      <c r="AS215" s="10">
        <f t="shared" si="31"/>
        <v>205.62937533600004</v>
      </c>
    </row>
    <row r="216" spans="1:45" x14ac:dyDescent="0.3">
      <c r="A216">
        <v>2025</v>
      </c>
      <c r="B216">
        <v>7</v>
      </c>
      <c r="C216" t="s">
        <v>55</v>
      </c>
      <c r="D216">
        <v>10</v>
      </c>
      <c r="E216" t="s">
        <v>36</v>
      </c>
      <c r="F216" t="s">
        <v>37</v>
      </c>
      <c r="G216" t="s">
        <v>38</v>
      </c>
      <c r="H216" t="s">
        <v>39</v>
      </c>
      <c r="I216" t="s">
        <v>190</v>
      </c>
      <c r="J216" t="s">
        <v>58</v>
      </c>
      <c r="K216" t="s">
        <v>41</v>
      </c>
      <c r="L216" t="s">
        <v>953</v>
      </c>
      <c r="M216" t="s">
        <v>954</v>
      </c>
      <c r="N216" t="s">
        <v>731</v>
      </c>
      <c r="O216" t="s">
        <v>36</v>
      </c>
      <c r="Q216" t="s">
        <v>62</v>
      </c>
      <c r="R216" t="s">
        <v>955</v>
      </c>
      <c r="S216" t="s">
        <v>956</v>
      </c>
      <c r="T216" t="s">
        <v>47</v>
      </c>
      <c r="U216" t="s">
        <v>157</v>
      </c>
      <c r="V216" t="s">
        <v>49</v>
      </c>
      <c r="W216" t="s">
        <v>158</v>
      </c>
      <c r="X216" t="s">
        <v>51</v>
      </c>
      <c r="Y216" t="s">
        <v>1532</v>
      </c>
      <c r="Z216" t="s">
        <v>1532</v>
      </c>
      <c r="AA216" t="s">
        <v>1120</v>
      </c>
      <c r="AB216" s="3">
        <f t="shared" si="24"/>
        <v>2</v>
      </c>
      <c r="AC216">
        <v>89.34</v>
      </c>
      <c r="AD216" s="2">
        <v>44.67</v>
      </c>
      <c r="AE216" s="2">
        <v>12.51</v>
      </c>
      <c r="AF216" s="2">
        <v>0.62</v>
      </c>
      <c r="AG216" s="2">
        <v>102.47</v>
      </c>
      <c r="AH216">
        <v>0</v>
      </c>
      <c r="AI216">
        <v>51.234999999999999</v>
      </c>
      <c r="AJ216">
        <v>0.51234999999999997</v>
      </c>
      <c r="AK216" t="s">
        <v>54</v>
      </c>
      <c r="AL216">
        <v>0.47</v>
      </c>
      <c r="AM216" s="4">
        <f t="shared" si="25"/>
        <v>51.234999999999999</v>
      </c>
      <c r="AN216" s="4">
        <f t="shared" si="26"/>
        <v>83.756250000000009</v>
      </c>
      <c r="AO216" s="4">
        <f t="shared" si="27"/>
        <v>93.053193750000005</v>
      </c>
      <c r="AP216" s="4">
        <f t="shared" si="28"/>
        <v>135.67674937500001</v>
      </c>
      <c r="AQ216" s="10">
        <f t="shared" si="29"/>
        <v>89.102788500000003</v>
      </c>
      <c r="AR216" s="10">
        <f t="shared" si="30"/>
        <v>99.002108302349995</v>
      </c>
      <c r="AS216" s="10">
        <f t="shared" si="31"/>
        <v>138.71522113680001</v>
      </c>
    </row>
    <row r="217" spans="1:45" x14ac:dyDescent="0.3">
      <c r="A217">
        <v>2025</v>
      </c>
      <c r="B217">
        <v>11</v>
      </c>
      <c r="C217" t="s">
        <v>55</v>
      </c>
      <c r="D217">
        <v>10</v>
      </c>
      <c r="E217" t="s">
        <v>36</v>
      </c>
      <c r="F217" t="s">
        <v>37</v>
      </c>
      <c r="G217" t="s">
        <v>38</v>
      </c>
      <c r="H217" t="s">
        <v>83</v>
      </c>
      <c r="I217" t="s">
        <v>190</v>
      </c>
      <c r="J217" t="s">
        <v>58</v>
      </c>
      <c r="K217" t="s">
        <v>59</v>
      </c>
      <c r="L217" t="s">
        <v>1629</v>
      </c>
      <c r="M217" t="s">
        <v>1630</v>
      </c>
      <c r="N217" t="s">
        <v>1485</v>
      </c>
      <c r="O217" t="s">
        <v>1197</v>
      </c>
      <c r="Q217" t="s">
        <v>62</v>
      </c>
      <c r="R217" t="s">
        <v>1631</v>
      </c>
      <c r="S217" t="s">
        <v>1631</v>
      </c>
      <c r="T217" t="s">
        <v>47</v>
      </c>
      <c r="U217" t="s">
        <v>157</v>
      </c>
      <c r="V217" t="s">
        <v>49</v>
      </c>
      <c r="W217" t="s">
        <v>158</v>
      </c>
      <c r="X217" t="s">
        <v>1578</v>
      </c>
      <c r="Y217" t="s">
        <v>1107</v>
      </c>
      <c r="Z217" t="s">
        <v>1108</v>
      </c>
      <c r="AA217" t="s">
        <v>1109</v>
      </c>
      <c r="AB217" s="3">
        <f t="shared" si="24"/>
        <v>4</v>
      </c>
      <c r="AC217">
        <v>1230.3</v>
      </c>
      <c r="AD217" s="2">
        <v>307.57499999999999</v>
      </c>
      <c r="AE217" s="2">
        <v>116.17</v>
      </c>
      <c r="AF217" s="2">
        <v>8.51</v>
      </c>
      <c r="AG217" s="2">
        <v>1354.71</v>
      </c>
      <c r="AH217">
        <v>0</v>
      </c>
      <c r="AI217">
        <v>338.67750000000001</v>
      </c>
      <c r="AJ217">
        <v>6.7735500000000002</v>
      </c>
      <c r="AK217" t="s">
        <v>54</v>
      </c>
      <c r="AL217">
        <v>8.6999999999999993</v>
      </c>
      <c r="AM217" s="4">
        <f t="shared" si="25"/>
        <v>338.67750000000001</v>
      </c>
      <c r="AN217" s="4">
        <f t="shared" si="26"/>
        <v>576.703125</v>
      </c>
      <c r="AO217" s="4">
        <f t="shared" si="27"/>
        <v>640.71717187499996</v>
      </c>
      <c r="AP217" s="4">
        <f t="shared" si="28"/>
        <v>934.20139218749989</v>
      </c>
      <c r="AQ217" s="10">
        <f t="shared" si="29"/>
        <v>588.99404025000001</v>
      </c>
      <c r="AR217" s="10">
        <f t="shared" si="30"/>
        <v>654.43127812177499</v>
      </c>
      <c r="AS217" s="10">
        <f t="shared" si="31"/>
        <v>916.94592186119996</v>
      </c>
    </row>
    <row r="218" spans="1:45" x14ac:dyDescent="0.3">
      <c r="A218">
        <v>2025</v>
      </c>
      <c r="B218">
        <v>12</v>
      </c>
      <c r="C218" t="s">
        <v>55</v>
      </c>
      <c r="D218">
        <v>10</v>
      </c>
      <c r="E218" t="s">
        <v>36</v>
      </c>
      <c r="F218" t="s">
        <v>37</v>
      </c>
      <c r="G218" t="s">
        <v>38</v>
      </c>
      <c r="H218" t="s">
        <v>83</v>
      </c>
      <c r="I218" t="s">
        <v>57</v>
      </c>
      <c r="J218" t="s">
        <v>58</v>
      </c>
      <c r="K218" t="s">
        <v>59</v>
      </c>
      <c r="L218" t="s">
        <v>1769</v>
      </c>
      <c r="M218" t="s">
        <v>1770</v>
      </c>
      <c r="N218" t="s">
        <v>1771</v>
      </c>
      <c r="O218" t="s">
        <v>1197</v>
      </c>
      <c r="Q218" t="s">
        <v>62</v>
      </c>
      <c r="R218" t="s">
        <v>1772</v>
      </c>
      <c r="S218" t="s">
        <v>1772</v>
      </c>
      <c r="T218" t="s">
        <v>47</v>
      </c>
      <c r="U218" t="s">
        <v>157</v>
      </c>
      <c r="V218" t="s">
        <v>49</v>
      </c>
      <c r="W218" t="s">
        <v>158</v>
      </c>
      <c r="X218" t="s">
        <v>51</v>
      </c>
      <c r="Y218" t="s">
        <v>1107</v>
      </c>
      <c r="Z218" t="s">
        <v>1108</v>
      </c>
      <c r="AA218" t="s">
        <v>1721</v>
      </c>
      <c r="AB218" s="3">
        <f t="shared" si="24"/>
        <v>4</v>
      </c>
      <c r="AC218">
        <v>469.37</v>
      </c>
      <c r="AD218" s="2">
        <v>117.3425</v>
      </c>
      <c r="AE218" s="2">
        <v>122.21</v>
      </c>
      <c r="AF218" s="2">
        <v>3.62</v>
      </c>
      <c r="AG218" s="2">
        <v>595.20000000000005</v>
      </c>
      <c r="AH218">
        <v>0</v>
      </c>
      <c r="AI218">
        <v>148.80000000000001</v>
      </c>
      <c r="AJ218">
        <v>2.976</v>
      </c>
      <c r="AK218" t="s">
        <v>54</v>
      </c>
      <c r="AL218">
        <v>5.91</v>
      </c>
      <c r="AM218" s="4">
        <f t="shared" si="25"/>
        <v>148.80000000000001</v>
      </c>
      <c r="AN218" s="4">
        <f t="shared" si="26"/>
        <v>220.01718750000001</v>
      </c>
      <c r="AO218" s="4">
        <f t="shared" si="27"/>
        <v>244.4390953125</v>
      </c>
      <c r="AP218" s="4">
        <f t="shared" si="28"/>
        <v>356.40584203124996</v>
      </c>
      <c r="AQ218" s="10">
        <f t="shared" si="29"/>
        <v>258.77808000000005</v>
      </c>
      <c r="AR218" s="10">
        <f t="shared" si="30"/>
        <v>287.52832468800005</v>
      </c>
      <c r="AS218" s="10">
        <f t="shared" si="31"/>
        <v>402.86571494400005</v>
      </c>
    </row>
    <row r="219" spans="1:45" x14ac:dyDescent="0.3">
      <c r="A219">
        <v>2025</v>
      </c>
      <c r="B219">
        <v>7</v>
      </c>
      <c r="C219" t="s">
        <v>55</v>
      </c>
      <c r="D219">
        <v>10</v>
      </c>
      <c r="E219" t="s">
        <v>36</v>
      </c>
      <c r="F219" t="s">
        <v>37</v>
      </c>
      <c r="G219" t="s">
        <v>38</v>
      </c>
      <c r="H219" t="s">
        <v>78</v>
      </c>
      <c r="I219" t="s">
        <v>190</v>
      </c>
      <c r="J219" t="s">
        <v>58</v>
      </c>
      <c r="K219" t="s">
        <v>41</v>
      </c>
      <c r="L219" t="s">
        <v>953</v>
      </c>
      <c r="M219" t="s">
        <v>954</v>
      </c>
      <c r="N219" t="s">
        <v>731</v>
      </c>
      <c r="O219" t="s">
        <v>36</v>
      </c>
      <c r="Q219" t="s">
        <v>62</v>
      </c>
      <c r="R219" t="s">
        <v>955</v>
      </c>
      <c r="S219" t="s">
        <v>956</v>
      </c>
      <c r="T219" t="s">
        <v>47</v>
      </c>
      <c r="U219" t="s">
        <v>669</v>
      </c>
      <c r="V219" t="s">
        <v>49</v>
      </c>
      <c r="W219" t="s">
        <v>670</v>
      </c>
      <c r="X219" t="s">
        <v>51</v>
      </c>
      <c r="Y219" t="s">
        <v>1107</v>
      </c>
      <c r="Z219" t="s">
        <v>1108</v>
      </c>
      <c r="AA219" t="s">
        <v>1721</v>
      </c>
      <c r="AB219" s="3">
        <f t="shared" si="24"/>
        <v>6.0000000000001696</v>
      </c>
      <c r="AC219">
        <v>707.21</v>
      </c>
      <c r="AD219" s="2">
        <v>117.86833333333</v>
      </c>
      <c r="AE219" s="2">
        <v>209.95</v>
      </c>
      <c r="AF219" s="2">
        <v>5.31</v>
      </c>
      <c r="AG219" s="2">
        <v>922.47</v>
      </c>
      <c r="AH219">
        <v>0</v>
      </c>
      <c r="AI219">
        <v>153.745</v>
      </c>
      <c r="AJ219">
        <v>4.6123500000000002</v>
      </c>
      <c r="AK219" t="s">
        <v>54</v>
      </c>
      <c r="AL219">
        <v>5.26</v>
      </c>
      <c r="AM219" s="4">
        <f t="shared" si="25"/>
        <v>153.74499999999566</v>
      </c>
      <c r="AN219" s="4">
        <f t="shared" si="26"/>
        <v>221.00312499999376</v>
      </c>
      <c r="AO219" s="4">
        <f t="shared" si="27"/>
        <v>245.53447187499307</v>
      </c>
      <c r="AP219" s="4">
        <f t="shared" si="28"/>
        <v>358.00296218748986</v>
      </c>
      <c r="AQ219" s="10">
        <f t="shared" si="29"/>
        <v>267.37792949999243</v>
      </c>
      <c r="AR219" s="10">
        <f t="shared" si="30"/>
        <v>297.08361746744157</v>
      </c>
      <c r="AS219" s="10">
        <f t="shared" si="31"/>
        <v>416.25396064558822</v>
      </c>
    </row>
    <row r="220" spans="1:45" x14ac:dyDescent="0.3">
      <c r="A220">
        <v>2025</v>
      </c>
      <c r="B220">
        <v>4</v>
      </c>
      <c r="C220" t="s">
        <v>55</v>
      </c>
      <c r="D220">
        <v>10</v>
      </c>
      <c r="E220" t="s">
        <v>36</v>
      </c>
      <c r="F220" t="s">
        <v>37</v>
      </c>
      <c r="G220" t="s">
        <v>38</v>
      </c>
      <c r="H220" t="s">
        <v>78</v>
      </c>
      <c r="I220" t="s">
        <v>190</v>
      </c>
      <c r="J220" t="s">
        <v>58</v>
      </c>
      <c r="K220" t="s">
        <v>59</v>
      </c>
      <c r="M220" t="s">
        <v>383</v>
      </c>
      <c r="N220" t="s">
        <v>384</v>
      </c>
      <c r="O220" t="s">
        <v>36</v>
      </c>
      <c r="Q220" t="s">
        <v>62</v>
      </c>
      <c r="R220" t="s">
        <v>385</v>
      </c>
      <c r="S220" t="s">
        <v>385</v>
      </c>
      <c r="T220" t="s">
        <v>47</v>
      </c>
      <c r="U220" t="s">
        <v>157</v>
      </c>
      <c r="V220" t="s">
        <v>89</v>
      </c>
      <c r="W220" t="s">
        <v>158</v>
      </c>
      <c r="X220" t="s">
        <v>388</v>
      </c>
      <c r="Y220" t="s">
        <v>1192</v>
      </c>
      <c r="Z220" t="s">
        <v>1192</v>
      </c>
      <c r="AA220" t="s">
        <v>1193</v>
      </c>
      <c r="AB220" s="3">
        <f t="shared" si="24"/>
        <v>2</v>
      </c>
      <c r="AC220">
        <v>203.22</v>
      </c>
      <c r="AD220" s="2">
        <v>101.61</v>
      </c>
      <c r="AE220" s="2">
        <v>58.8</v>
      </c>
      <c r="AF220" s="2">
        <v>1.39</v>
      </c>
      <c r="AG220" s="2">
        <v>262.69</v>
      </c>
      <c r="AH220">
        <v>0</v>
      </c>
      <c r="AI220">
        <v>131.345</v>
      </c>
      <c r="AJ220">
        <v>1.31345</v>
      </c>
      <c r="AK220" t="s">
        <v>54</v>
      </c>
      <c r="AL220">
        <v>4.3499999999999996</v>
      </c>
      <c r="AM220" s="4">
        <f t="shared" si="25"/>
        <v>131.345</v>
      </c>
      <c r="AN220" s="4">
        <f t="shared" si="26"/>
        <v>190.51875000000001</v>
      </c>
      <c r="AO220" s="4">
        <f t="shared" si="27"/>
        <v>211.66633125000001</v>
      </c>
      <c r="AP220" s="4">
        <f t="shared" si="28"/>
        <v>308.621323125</v>
      </c>
      <c r="AQ220" s="10">
        <f t="shared" si="29"/>
        <v>228.4220895</v>
      </c>
      <c r="AR220" s="10">
        <f t="shared" si="30"/>
        <v>253.79978364344998</v>
      </c>
      <c r="AS220" s="10">
        <f t="shared" si="31"/>
        <v>355.6075089336</v>
      </c>
    </row>
    <row r="221" spans="1:45" x14ac:dyDescent="0.3">
      <c r="A221">
        <v>2025</v>
      </c>
      <c r="B221">
        <v>4</v>
      </c>
      <c r="C221" t="s">
        <v>55</v>
      </c>
      <c r="D221">
        <v>10</v>
      </c>
      <c r="E221" t="s">
        <v>36</v>
      </c>
      <c r="F221" t="s">
        <v>37</v>
      </c>
      <c r="G221" t="s">
        <v>38</v>
      </c>
      <c r="H221" t="s">
        <v>78</v>
      </c>
      <c r="I221" t="s">
        <v>375</v>
      </c>
      <c r="J221" t="s">
        <v>376</v>
      </c>
      <c r="K221" t="s">
        <v>59</v>
      </c>
      <c r="M221">
        <v>2503061</v>
      </c>
      <c r="N221" t="s">
        <v>377</v>
      </c>
      <c r="O221" t="s">
        <v>36</v>
      </c>
      <c r="Q221" t="s">
        <v>62</v>
      </c>
      <c r="R221" t="s">
        <v>378</v>
      </c>
      <c r="S221" t="s">
        <v>378</v>
      </c>
      <c r="T221" t="s">
        <v>47</v>
      </c>
      <c r="U221" t="s">
        <v>167</v>
      </c>
      <c r="V221" t="s">
        <v>49</v>
      </c>
      <c r="W221" t="s">
        <v>168</v>
      </c>
      <c r="X221" t="s">
        <v>51</v>
      </c>
      <c r="Y221" t="s">
        <v>342</v>
      </c>
      <c r="Z221" t="s">
        <v>342</v>
      </c>
      <c r="AA221" t="s">
        <v>545</v>
      </c>
      <c r="AB221" s="3">
        <f t="shared" si="24"/>
        <v>15</v>
      </c>
      <c r="AC221">
        <v>651.57000000000005</v>
      </c>
      <c r="AD221" s="2">
        <v>43.438000000000002</v>
      </c>
      <c r="AE221" s="2">
        <v>229.86</v>
      </c>
      <c r="AF221" s="2">
        <v>3.92</v>
      </c>
      <c r="AG221" s="2">
        <v>885.35</v>
      </c>
      <c r="AH221">
        <v>0</v>
      </c>
      <c r="AI221">
        <v>59.023333333332999</v>
      </c>
      <c r="AJ221">
        <v>4.4267500000000002</v>
      </c>
      <c r="AK221" t="s">
        <v>54</v>
      </c>
      <c r="AL221">
        <v>11.7</v>
      </c>
      <c r="AM221" s="4">
        <f t="shared" si="25"/>
        <v>59.023333333333333</v>
      </c>
      <c r="AN221" s="4">
        <f t="shared" si="26"/>
        <v>81.446250000000006</v>
      </c>
      <c r="AO221" s="4">
        <f t="shared" si="27"/>
        <v>90.486783750000001</v>
      </c>
      <c r="AP221" s="4">
        <f t="shared" si="28"/>
        <v>131.934780375</v>
      </c>
      <c r="AQ221" s="10">
        <f t="shared" si="29"/>
        <v>102.647479</v>
      </c>
      <c r="AR221" s="10">
        <f t="shared" si="30"/>
        <v>114.0516139169</v>
      </c>
      <c r="AS221" s="10">
        <f t="shared" si="31"/>
        <v>159.80159530719999</v>
      </c>
    </row>
    <row r="222" spans="1:45" x14ac:dyDescent="0.3">
      <c r="A222">
        <v>2025</v>
      </c>
      <c r="B222">
        <v>5</v>
      </c>
      <c r="C222" t="s">
        <v>55</v>
      </c>
      <c r="D222">
        <v>10</v>
      </c>
      <c r="E222" t="s">
        <v>36</v>
      </c>
      <c r="F222" t="s">
        <v>37</v>
      </c>
      <c r="G222" t="s">
        <v>38</v>
      </c>
      <c r="H222" t="s">
        <v>78</v>
      </c>
      <c r="I222" t="s">
        <v>190</v>
      </c>
      <c r="J222" t="s">
        <v>58</v>
      </c>
      <c r="K222" t="s">
        <v>59</v>
      </c>
      <c r="M222" t="s">
        <v>682</v>
      </c>
      <c r="N222" t="s">
        <v>384</v>
      </c>
      <c r="O222" t="s">
        <v>36</v>
      </c>
      <c r="Q222" t="s">
        <v>62</v>
      </c>
      <c r="R222" t="s">
        <v>683</v>
      </c>
      <c r="S222" t="s">
        <v>683</v>
      </c>
      <c r="T222" t="s">
        <v>47</v>
      </c>
      <c r="U222" t="s">
        <v>157</v>
      </c>
      <c r="V222" t="s">
        <v>49</v>
      </c>
      <c r="W222" t="s">
        <v>158</v>
      </c>
      <c r="X222" t="s">
        <v>686</v>
      </c>
      <c r="Y222" t="s">
        <v>342</v>
      </c>
      <c r="Z222" t="s">
        <v>342</v>
      </c>
      <c r="AA222" t="s">
        <v>545</v>
      </c>
      <c r="AB222" s="3">
        <f t="shared" si="24"/>
        <v>10</v>
      </c>
      <c r="AC222">
        <v>357.75</v>
      </c>
      <c r="AD222" s="2">
        <v>35.774999999999999</v>
      </c>
      <c r="AE222" s="2">
        <v>150.87</v>
      </c>
      <c r="AF222" s="2">
        <v>2.42</v>
      </c>
      <c r="AG222" s="2">
        <v>511.04</v>
      </c>
      <c r="AH222">
        <v>0</v>
      </c>
      <c r="AI222">
        <v>51.103999999999999</v>
      </c>
      <c r="AJ222">
        <v>2.5552000000000001</v>
      </c>
      <c r="AK222" t="s">
        <v>54</v>
      </c>
      <c r="AL222">
        <v>7.2</v>
      </c>
      <c r="AM222" s="4">
        <f t="shared" si="25"/>
        <v>51.103999999999999</v>
      </c>
      <c r="AN222" s="4">
        <f t="shared" si="26"/>
        <v>67.078125</v>
      </c>
      <c r="AO222" s="4">
        <f t="shared" si="27"/>
        <v>74.523796875000002</v>
      </c>
      <c r="AP222" s="4">
        <f t="shared" si="28"/>
        <v>108.65985468749999</v>
      </c>
      <c r="AQ222" s="10">
        <f t="shared" si="29"/>
        <v>88.874966400000005</v>
      </c>
      <c r="AR222" s="10">
        <f t="shared" si="30"/>
        <v>98.748975167040001</v>
      </c>
      <c r="AS222" s="10">
        <f t="shared" si="31"/>
        <v>138.36054769152</v>
      </c>
    </row>
    <row r="223" spans="1:45" x14ac:dyDescent="0.3">
      <c r="A223">
        <v>2025</v>
      </c>
      <c r="B223">
        <v>12</v>
      </c>
      <c r="C223" t="s">
        <v>55</v>
      </c>
      <c r="D223">
        <v>10</v>
      </c>
      <c r="E223" t="s">
        <v>36</v>
      </c>
      <c r="F223" t="s">
        <v>37</v>
      </c>
      <c r="G223" t="s">
        <v>38</v>
      </c>
      <c r="H223" t="s">
        <v>78</v>
      </c>
      <c r="I223" t="s">
        <v>57</v>
      </c>
      <c r="J223" t="s">
        <v>58</v>
      </c>
      <c r="K223" t="s">
        <v>59</v>
      </c>
      <c r="L223" t="s">
        <v>1769</v>
      </c>
      <c r="M223" t="s">
        <v>1770</v>
      </c>
      <c r="N223" t="s">
        <v>1771</v>
      </c>
      <c r="O223" t="s">
        <v>1197</v>
      </c>
      <c r="Q223" t="s">
        <v>62</v>
      </c>
      <c r="R223" t="s">
        <v>1772</v>
      </c>
      <c r="S223" t="s">
        <v>1772</v>
      </c>
      <c r="T223" t="s">
        <v>47</v>
      </c>
      <c r="U223" t="s">
        <v>157</v>
      </c>
      <c r="V223" t="s">
        <v>49</v>
      </c>
      <c r="W223" t="s">
        <v>158</v>
      </c>
      <c r="X223" t="s">
        <v>51</v>
      </c>
      <c r="Y223" t="s">
        <v>346</v>
      </c>
      <c r="Z223" t="s">
        <v>346</v>
      </c>
      <c r="AA223" t="s">
        <v>545</v>
      </c>
      <c r="AB223" s="3">
        <f t="shared" si="24"/>
        <v>4</v>
      </c>
      <c r="AC223">
        <v>174.77</v>
      </c>
      <c r="AD223" s="2">
        <v>43.692500000000003</v>
      </c>
      <c r="AE223" s="2">
        <v>379.29</v>
      </c>
      <c r="AF223" s="2">
        <v>1.1399999999999999</v>
      </c>
      <c r="AG223" s="2">
        <v>555.20000000000005</v>
      </c>
      <c r="AH223">
        <v>0</v>
      </c>
      <c r="AI223">
        <v>138.80000000000001</v>
      </c>
      <c r="AJ223">
        <v>2.7759999999999998</v>
      </c>
      <c r="AK223" t="s">
        <v>54</v>
      </c>
      <c r="AL223">
        <v>12.45</v>
      </c>
      <c r="AM223" s="4">
        <f t="shared" si="25"/>
        <v>138.80000000000001</v>
      </c>
      <c r="AN223" s="4">
        <f t="shared" si="26"/>
        <v>81.923437500000006</v>
      </c>
      <c r="AO223" s="4">
        <f t="shared" si="27"/>
        <v>91.016939062500001</v>
      </c>
      <c r="AP223" s="4">
        <f t="shared" si="28"/>
        <v>132.70777640624999</v>
      </c>
      <c r="AQ223" s="10">
        <f t="shared" si="29"/>
        <v>241.38708000000003</v>
      </c>
      <c r="AR223" s="10">
        <f t="shared" si="30"/>
        <v>268.20518458800001</v>
      </c>
      <c r="AS223" s="10">
        <f t="shared" si="31"/>
        <v>375.79140614400001</v>
      </c>
    </row>
    <row r="224" spans="1:45" x14ac:dyDescent="0.3">
      <c r="A224">
        <v>2025</v>
      </c>
      <c r="B224">
        <v>10</v>
      </c>
      <c r="C224" t="s">
        <v>55</v>
      </c>
      <c r="D224">
        <v>10</v>
      </c>
      <c r="E224" t="s">
        <v>36</v>
      </c>
      <c r="F224" t="s">
        <v>37</v>
      </c>
      <c r="G224" t="s">
        <v>38</v>
      </c>
      <c r="H224" t="s">
        <v>78</v>
      </c>
      <c r="I224" t="s">
        <v>375</v>
      </c>
      <c r="J224" t="s">
        <v>376</v>
      </c>
      <c r="K224" t="s">
        <v>59</v>
      </c>
      <c r="L224" t="s">
        <v>1549</v>
      </c>
      <c r="M224" t="s">
        <v>1550</v>
      </c>
      <c r="N224" t="s">
        <v>1551</v>
      </c>
      <c r="O224" t="s">
        <v>1197</v>
      </c>
      <c r="Q224" t="s">
        <v>62</v>
      </c>
      <c r="R224" t="s">
        <v>1552</v>
      </c>
      <c r="S224" t="s">
        <v>1552</v>
      </c>
      <c r="T224" t="s">
        <v>47</v>
      </c>
      <c r="U224" t="s">
        <v>938</v>
      </c>
      <c r="V224" t="s">
        <v>49</v>
      </c>
      <c r="W224" t="s">
        <v>939</v>
      </c>
      <c r="X224" t="s">
        <v>51</v>
      </c>
      <c r="Y224" t="s">
        <v>1111</v>
      </c>
      <c r="Z224" t="s">
        <v>1111</v>
      </c>
      <c r="AA224" t="s">
        <v>545</v>
      </c>
      <c r="AB224" s="3">
        <f t="shared" si="24"/>
        <v>20</v>
      </c>
      <c r="AC224">
        <v>652.15</v>
      </c>
      <c r="AD224" s="2">
        <v>32.607500000000002</v>
      </c>
      <c r="AE224" s="2">
        <v>193.6</v>
      </c>
      <c r="AF224" s="2">
        <v>4.9000000000000004</v>
      </c>
      <c r="AG224" s="2">
        <v>850.65</v>
      </c>
      <c r="AH224">
        <v>0</v>
      </c>
      <c r="AI224">
        <v>42.532499999999999</v>
      </c>
      <c r="AJ224">
        <v>4.2532500000000004</v>
      </c>
      <c r="AK224" t="s">
        <v>54</v>
      </c>
      <c r="AL224">
        <v>4.8499999999999996</v>
      </c>
      <c r="AM224" s="4">
        <f t="shared" si="25"/>
        <v>42.532499999999999</v>
      </c>
      <c r="AN224" s="4">
        <f t="shared" si="26"/>
        <v>61.139062500000001</v>
      </c>
      <c r="AO224" s="4">
        <f t="shared" si="27"/>
        <v>67.925498437499996</v>
      </c>
      <c r="AP224" s="4">
        <f t="shared" si="28"/>
        <v>99.039167343749995</v>
      </c>
      <c r="AQ224" s="10">
        <f t="shared" si="29"/>
        <v>73.968270750000002</v>
      </c>
      <c r="AR224" s="10">
        <f t="shared" si="30"/>
        <v>82.186145630325001</v>
      </c>
      <c r="AS224" s="10">
        <f t="shared" si="31"/>
        <v>115.15380390360001</v>
      </c>
    </row>
    <row r="225" spans="1:45" x14ac:dyDescent="0.3">
      <c r="A225">
        <v>2025</v>
      </c>
      <c r="B225">
        <v>4</v>
      </c>
      <c r="C225" t="s">
        <v>55</v>
      </c>
      <c r="D225">
        <v>10</v>
      </c>
      <c r="E225" t="s">
        <v>36</v>
      </c>
      <c r="F225" t="s">
        <v>37</v>
      </c>
      <c r="G225" t="s">
        <v>38</v>
      </c>
      <c r="H225" t="s">
        <v>101</v>
      </c>
      <c r="I225" t="s">
        <v>190</v>
      </c>
      <c r="J225" t="s">
        <v>58</v>
      </c>
      <c r="K225" t="s">
        <v>59</v>
      </c>
      <c r="M225" t="s">
        <v>383</v>
      </c>
      <c r="N225" t="s">
        <v>384</v>
      </c>
      <c r="O225" t="s">
        <v>36</v>
      </c>
      <c r="Q225" t="s">
        <v>62</v>
      </c>
      <c r="R225" t="s">
        <v>385</v>
      </c>
      <c r="S225" t="s">
        <v>385</v>
      </c>
      <c r="T225" t="s">
        <v>47</v>
      </c>
      <c r="U225" t="s">
        <v>476</v>
      </c>
      <c r="V225" t="s">
        <v>49</v>
      </c>
      <c r="W225" t="s">
        <v>106</v>
      </c>
      <c r="X225" t="s">
        <v>388</v>
      </c>
      <c r="Y225" t="s">
        <v>1613</v>
      </c>
      <c r="Z225" t="s">
        <v>1613</v>
      </c>
      <c r="AA225" t="s">
        <v>1614</v>
      </c>
      <c r="AB225" s="3">
        <f t="shared" si="24"/>
        <v>1</v>
      </c>
      <c r="AC225">
        <v>22.56</v>
      </c>
      <c r="AD225" s="2">
        <v>22.56</v>
      </c>
      <c r="AE225" s="2">
        <v>10.31</v>
      </c>
      <c r="AF225" s="2">
        <v>0.2</v>
      </c>
      <c r="AG225" s="2">
        <v>33.700000000000003</v>
      </c>
      <c r="AH225">
        <v>0</v>
      </c>
      <c r="AI225">
        <v>33.700000000000003</v>
      </c>
      <c r="AJ225">
        <v>0.16850000000000001</v>
      </c>
      <c r="AK225" t="s">
        <v>54</v>
      </c>
      <c r="AL225">
        <v>0.47</v>
      </c>
      <c r="AM225" s="4">
        <f t="shared" si="25"/>
        <v>33.700000000000003</v>
      </c>
      <c r="AN225" s="4">
        <f t="shared" si="26"/>
        <v>42.3</v>
      </c>
      <c r="AO225" s="4">
        <f t="shared" si="27"/>
        <v>46.995299999999993</v>
      </c>
      <c r="AP225" s="4">
        <f t="shared" si="28"/>
        <v>68.521769999999989</v>
      </c>
      <c r="AQ225" s="10">
        <f t="shared" si="29"/>
        <v>58.607670000000006</v>
      </c>
      <c r="AR225" s="10">
        <f t="shared" si="30"/>
        <v>65.118982137000003</v>
      </c>
      <c r="AS225" s="10">
        <f t="shared" si="31"/>
        <v>91.240420656000012</v>
      </c>
    </row>
    <row r="226" spans="1:45" x14ac:dyDescent="0.3">
      <c r="A226">
        <v>2025</v>
      </c>
      <c r="B226">
        <v>8</v>
      </c>
      <c r="C226" t="s">
        <v>55</v>
      </c>
      <c r="D226">
        <v>10</v>
      </c>
      <c r="E226" t="s">
        <v>36</v>
      </c>
      <c r="F226" t="s">
        <v>37</v>
      </c>
      <c r="G226" t="s">
        <v>38</v>
      </c>
      <c r="H226" t="s">
        <v>1467</v>
      </c>
      <c r="I226" t="s">
        <v>190</v>
      </c>
      <c r="J226" t="s">
        <v>58</v>
      </c>
      <c r="K226" t="s">
        <v>59</v>
      </c>
      <c r="L226" t="s">
        <v>1194</v>
      </c>
      <c r="M226" t="s">
        <v>1195</v>
      </c>
      <c r="N226" t="s">
        <v>1196</v>
      </c>
      <c r="O226" t="s">
        <v>1197</v>
      </c>
      <c r="Q226" t="s">
        <v>62</v>
      </c>
      <c r="R226" t="s">
        <v>1198</v>
      </c>
      <c r="S226" t="s">
        <v>1198</v>
      </c>
      <c r="T226" t="s">
        <v>47</v>
      </c>
      <c r="U226" t="s">
        <v>649</v>
      </c>
      <c r="V226" t="s">
        <v>49</v>
      </c>
      <c r="W226" t="s">
        <v>928</v>
      </c>
      <c r="X226" t="s">
        <v>388</v>
      </c>
      <c r="Y226" t="s">
        <v>481</v>
      </c>
      <c r="Z226" t="s">
        <v>481</v>
      </c>
      <c r="AA226" t="s">
        <v>482</v>
      </c>
      <c r="AB226" s="3">
        <f t="shared" si="24"/>
        <v>1</v>
      </c>
      <c r="AC226">
        <v>504.7</v>
      </c>
      <c r="AD226" s="2">
        <v>504.7</v>
      </c>
      <c r="AE226" s="2">
        <v>15.32</v>
      </c>
      <c r="AF226" s="2">
        <v>3.45</v>
      </c>
      <c r="AG226" s="2">
        <v>523.47</v>
      </c>
      <c r="AH226">
        <v>0</v>
      </c>
      <c r="AI226">
        <v>523.47</v>
      </c>
      <c r="AJ226">
        <v>2.6173500000000001</v>
      </c>
      <c r="AK226" t="s">
        <v>54</v>
      </c>
      <c r="AL226">
        <v>0.78</v>
      </c>
      <c r="AM226" s="4">
        <f t="shared" si="25"/>
        <v>523.47</v>
      </c>
      <c r="AN226" s="4">
        <f t="shared" si="26"/>
        <v>946.3125</v>
      </c>
      <c r="AO226" s="4">
        <f t="shared" si="27"/>
        <v>1051.3531874999999</v>
      </c>
      <c r="AP226" s="4">
        <f t="shared" si="28"/>
        <v>1532.9316187499999</v>
      </c>
      <c r="AQ226" s="10">
        <f t="shared" si="29"/>
        <v>910.3666770000001</v>
      </c>
      <c r="AR226" s="10">
        <f t="shared" si="30"/>
        <v>1011.5084148147001</v>
      </c>
      <c r="AS226" s="10">
        <f t="shared" si="31"/>
        <v>1417.2588427536002</v>
      </c>
    </row>
    <row r="227" spans="1:45" x14ac:dyDescent="0.3">
      <c r="A227">
        <v>2025</v>
      </c>
      <c r="B227">
        <v>7</v>
      </c>
      <c r="C227" t="s">
        <v>55</v>
      </c>
      <c r="D227">
        <v>10</v>
      </c>
      <c r="E227" t="s">
        <v>36</v>
      </c>
      <c r="F227" t="s">
        <v>37</v>
      </c>
      <c r="G227" t="s">
        <v>38</v>
      </c>
      <c r="H227" t="s">
        <v>78</v>
      </c>
      <c r="I227" t="s">
        <v>190</v>
      </c>
      <c r="J227" t="s">
        <v>58</v>
      </c>
      <c r="K227" t="s">
        <v>41</v>
      </c>
      <c r="L227" t="s">
        <v>953</v>
      </c>
      <c r="M227" t="s">
        <v>954</v>
      </c>
      <c r="N227" t="s">
        <v>731</v>
      </c>
      <c r="O227" t="s">
        <v>36</v>
      </c>
      <c r="Q227" t="s">
        <v>62</v>
      </c>
      <c r="R227" t="s">
        <v>955</v>
      </c>
      <c r="S227" t="s">
        <v>956</v>
      </c>
      <c r="T227" t="s">
        <v>47</v>
      </c>
      <c r="U227" t="s">
        <v>157</v>
      </c>
      <c r="V227" t="s">
        <v>49</v>
      </c>
      <c r="W227" t="s">
        <v>158</v>
      </c>
      <c r="X227" t="s">
        <v>51</v>
      </c>
      <c r="Y227" t="s">
        <v>1468</v>
      </c>
      <c r="Z227" t="s">
        <v>1468</v>
      </c>
      <c r="AA227" t="s">
        <v>1469</v>
      </c>
      <c r="AB227" s="3">
        <f t="shared" si="24"/>
        <v>1</v>
      </c>
      <c r="AC227">
        <v>81.13</v>
      </c>
      <c r="AD227" s="2">
        <v>81.13</v>
      </c>
      <c r="AE227" s="2">
        <v>5.81</v>
      </c>
      <c r="AF227" s="2">
        <v>0.53</v>
      </c>
      <c r="AG227" s="2">
        <v>87.47</v>
      </c>
      <c r="AH227">
        <v>0</v>
      </c>
      <c r="AI227">
        <v>87.47</v>
      </c>
      <c r="AJ227">
        <v>0.43735000000000002</v>
      </c>
      <c r="AK227" t="s">
        <v>54</v>
      </c>
      <c r="AL227">
        <v>0.68</v>
      </c>
      <c r="AM227" s="4">
        <f t="shared" si="25"/>
        <v>87.47</v>
      </c>
      <c r="AN227" s="4">
        <f t="shared" si="26"/>
        <v>152.11874999999998</v>
      </c>
      <c r="AO227" s="4">
        <f t="shared" si="27"/>
        <v>169.00393124999997</v>
      </c>
      <c r="AP227" s="4">
        <f t="shared" si="28"/>
        <v>246.41716312499995</v>
      </c>
      <c r="AQ227" s="10">
        <f t="shared" si="29"/>
        <v>152.119077</v>
      </c>
      <c r="AR227" s="10">
        <f t="shared" si="30"/>
        <v>169.01950645470001</v>
      </c>
      <c r="AS227" s="10">
        <f t="shared" si="31"/>
        <v>236.81897907359999</v>
      </c>
    </row>
    <row r="228" spans="1:45" x14ac:dyDescent="0.3">
      <c r="A228">
        <v>2025</v>
      </c>
      <c r="B228">
        <v>7</v>
      </c>
      <c r="C228" t="s">
        <v>55</v>
      </c>
      <c r="D228">
        <v>10</v>
      </c>
      <c r="E228" t="s">
        <v>36</v>
      </c>
      <c r="F228" t="s">
        <v>37</v>
      </c>
      <c r="G228" t="s">
        <v>38</v>
      </c>
      <c r="H228" t="s">
        <v>78</v>
      </c>
      <c r="I228" t="s">
        <v>190</v>
      </c>
      <c r="J228" t="s">
        <v>58</v>
      </c>
      <c r="K228" t="s">
        <v>41</v>
      </c>
      <c r="L228" t="s">
        <v>953</v>
      </c>
      <c r="M228" t="s">
        <v>954</v>
      </c>
      <c r="N228" t="s">
        <v>731</v>
      </c>
      <c r="O228" t="s">
        <v>36</v>
      </c>
      <c r="Q228" t="s">
        <v>62</v>
      </c>
      <c r="R228" t="s">
        <v>955</v>
      </c>
      <c r="S228" t="s">
        <v>956</v>
      </c>
      <c r="T228" t="s">
        <v>47</v>
      </c>
      <c r="U228" t="s">
        <v>157</v>
      </c>
      <c r="V228" t="s">
        <v>49</v>
      </c>
      <c r="W228" t="s">
        <v>158</v>
      </c>
      <c r="X228" t="s">
        <v>51</v>
      </c>
      <c r="Y228" t="s">
        <v>1107</v>
      </c>
      <c r="Z228" t="s">
        <v>1108</v>
      </c>
      <c r="AA228" t="s">
        <v>1113</v>
      </c>
      <c r="AB228" s="3">
        <f t="shared" si="24"/>
        <v>1</v>
      </c>
      <c r="AC228">
        <v>124.77</v>
      </c>
      <c r="AD228" s="2">
        <v>124.77</v>
      </c>
      <c r="AE228" s="2">
        <v>29.4</v>
      </c>
      <c r="AF228" s="2">
        <v>0.86</v>
      </c>
      <c r="AG228" s="2">
        <v>154.66999999999999</v>
      </c>
      <c r="AH228">
        <v>0</v>
      </c>
      <c r="AI228">
        <v>154.66999999999999</v>
      </c>
      <c r="AJ228">
        <v>0.77334999999999998</v>
      </c>
      <c r="AK228" t="s">
        <v>54</v>
      </c>
      <c r="AL228">
        <v>2.17</v>
      </c>
      <c r="AM228" s="4">
        <f t="shared" si="25"/>
        <v>154.66999999999999</v>
      </c>
      <c r="AN228" s="4">
        <f t="shared" si="26"/>
        <v>233.94374999999999</v>
      </c>
      <c r="AO228" s="4">
        <f t="shared" si="27"/>
        <v>259.91150625</v>
      </c>
      <c r="AP228" s="4">
        <f t="shared" si="28"/>
        <v>378.96548062499994</v>
      </c>
      <c r="AQ228" s="10">
        <f t="shared" si="29"/>
        <v>268.98659700000002</v>
      </c>
      <c r="AR228" s="10">
        <f t="shared" si="30"/>
        <v>298.87100792670003</v>
      </c>
      <c r="AS228" s="10">
        <f t="shared" si="31"/>
        <v>418.75833420960004</v>
      </c>
    </row>
    <row r="229" spans="1:45" x14ac:dyDescent="0.3">
      <c r="A229">
        <v>2025</v>
      </c>
      <c r="B229">
        <v>9</v>
      </c>
      <c r="C229" t="s">
        <v>55</v>
      </c>
      <c r="D229">
        <v>10</v>
      </c>
      <c r="E229" t="s">
        <v>36</v>
      </c>
      <c r="F229" t="s">
        <v>37</v>
      </c>
      <c r="G229" t="s">
        <v>38</v>
      </c>
      <c r="H229" t="s">
        <v>78</v>
      </c>
      <c r="I229" t="s">
        <v>375</v>
      </c>
      <c r="J229" t="s">
        <v>376</v>
      </c>
      <c r="K229" t="s">
        <v>59</v>
      </c>
      <c r="L229" t="s">
        <v>1483</v>
      </c>
      <c r="M229" t="s">
        <v>1484</v>
      </c>
      <c r="N229" t="s">
        <v>1485</v>
      </c>
      <c r="O229" t="s">
        <v>1197</v>
      </c>
      <c r="Q229" t="s">
        <v>62</v>
      </c>
      <c r="R229" t="s">
        <v>1486</v>
      </c>
      <c r="S229" t="s">
        <v>1486</v>
      </c>
      <c r="T229" t="s">
        <v>47</v>
      </c>
      <c r="U229" t="s">
        <v>157</v>
      </c>
      <c r="V229" t="s">
        <v>49</v>
      </c>
      <c r="W229" t="s">
        <v>158</v>
      </c>
      <c r="X229" t="s">
        <v>51</v>
      </c>
      <c r="Y229" t="s">
        <v>1107</v>
      </c>
      <c r="Z229" t="s">
        <v>1108</v>
      </c>
      <c r="AA229" t="s">
        <v>1113</v>
      </c>
      <c r="AB229" s="3">
        <f t="shared" si="24"/>
        <v>2</v>
      </c>
      <c r="AC229">
        <v>249.54</v>
      </c>
      <c r="AD229" s="2">
        <v>124.77</v>
      </c>
      <c r="AE229" s="2">
        <v>58.8</v>
      </c>
      <c r="AF229" s="2">
        <v>1.72</v>
      </c>
      <c r="AG229" s="2">
        <v>309.33999999999997</v>
      </c>
      <c r="AH229">
        <v>0</v>
      </c>
      <c r="AI229">
        <v>154.66999999999999</v>
      </c>
      <c r="AJ229">
        <v>1.5467</v>
      </c>
      <c r="AK229" t="s">
        <v>54</v>
      </c>
      <c r="AL229">
        <v>4.3499999999999996</v>
      </c>
      <c r="AM229" s="4">
        <f t="shared" si="25"/>
        <v>154.66999999999999</v>
      </c>
      <c r="AN229" s="4">
        <f t="shared" si="26"/>
        <v>233.94374999999999</v>
      </c>
      <c r="AO229" s="4">
        <f t="shared" si="27"/>
        <v>259.91150625</v>
      </c>
      <c r="AP229" s="4">
        <f t="shared" si="28"/>
        <v>378.96548062499994</v>
      </c>
      <c r="AQ229" s="10">
        <f t="shared" si="29"/>
        <v>268.98659700000002</v>
      </c>
      <c r="AR229" s="10">
        <f t="shared" si="30"/>
        <v>298.87100792670003</v>
      </c>
      <c r="AS229" s="10">
        <f t="shared" si="31"/>
        <v>418.75833420960004</v>
      </c>
    </row>
    <row r="230" spans="1:45" x14ac:dyDescent="0.3">
      <c r="A230">
        <v>2025</v>
      </c>
      <c r="B230">
        <v>7</v>
      </c>
      <c r="C230" t="s">
        <v>55</v>
      </c>
      <c r="D230">
        <v>10</v>
      </c>
      <c r="E230" t="s">
        <v>36</v>
      </c>
      <c r="F230" t="s">
        <v>37</v>
      </c>
      <c r="G230" t="s">
        <v>38</v>
      </c>
      <c r="H230" t="s">
        <v>78</v>
      </c>
      <c r="I230" t="s">
        <v>190</v>
      </c>
      <c r="J230" t="s">
        <v>58</v>
      </c>
      <c r="K230" t="s">
        <v>41</v>
      </c>
      <c r="L230" t="s">
        <v>953</v>
      </c>
      <c r="M230" t="s">
        <v>954</v>
      </c>
      <c r="N230" t="s">
        <v>731</v>
      </c>
      <c r="O230" t="s">
        <v>36</v>
      </c>
      <c r="Q230" t="s">
        <v>62</v>
      </c>
      <c r="R230" t="s">
        <v>955</v>
      </c>
      <c r="S230" t="s">
        <v>956</v>
      </c>
      <c r="T230" t="s">
        <v>47</v>
      </c>
      <c r="U230" t="s">
        <v>157</v>
      </c>
      <c r="V230" t="s">
        <v>49</v>
      </c>
      <c r="W230" t="s">
        <v>158</v>
      </c>
      <c r="X230" t="s">
        <v>51</v>
      </c>
      <c r="Y230" t="s">
        <v>1107</v>
      </c>
      <c r="Z230" t="s">
        <v>1108</v>
      </c>
      <c r="AA230" t="s">
        <v>1113</v>
      </c>
      <c r="AB230" s="3">
        <f t="shared" si="24"/>
        <v>1</v>
      </c>
      <c r="AC230">
        <v>129.91999999999999</v>
      </c>
      <c r="AD230" s="2">
        <v>129.91999999999999</v>
      </c>
      <c r="AE230" s="2">
        <v>20.6</v>
      </c>
      <c r="AF230" s="2">
        <v>0.92</v>
      </c>
      <c r="AG230" s="2">
        <v>150.9</v>
      </c>
      <c r="AH230">
        <v>0</v>
      </c>
      <c r="AI230">
        <v>150.9</v>
      </c>
      <c r="AJ230">
        <v>0.75449999999999995</v>
      </c>
      <c r="AK230" t="s">
        <v>54</v>
      </c>
      <c r="AL230">
        <v>0.83</v>
      </c>
      <c r="AM230" s="4">
        <f t="shared" si="25"/>
        <v>150.9</v>
      </c>
      <c r="AN230" s="4">
        <f t="shared" si="26"/>
        <v>243.59999999999997</v>
      </c>
      <c r="AO230" s="4">
        <f t="shared" si="27"/>
        <v>270.63959999999997</v>
      </c>
      <c r="AP230" s="4">
        <f t="shared" si="28"/>
        <v>394.60763999999995</v>
      </c>
      <c r="AQ230" s="10">
        <f t="shared" si="29"/>
        <v>262.43019000000004</v>
      </c>
      <c r="AR230" s="10">
        <f t="shared" si="30"/>
        <v>291.58618410900004</v>
      </c>
      <c r="AS230" s="10">
        <f t="shared" si="31"/>
        <v>408.55131979200007</v>
      </c>
    </row>
    <row r="231" spans="1:45" x14ac:dyDescent="0.3">
      <c r="A231">
        <v>2025</v>
      </c>
      <c r="B231">
        <v>7</v>
      </c>
      <c r="C231" t="s">
        <v>55</v>
      </c>
      <c r="D231">
        <v>10</v>
      </c>
      <c r="E231" t="s">
        <v>36</v>
      </c>
      <c r="F231" t="s">
        <v>37</v>
      </c>
      <c r="G231" t="s">
        <v>38</v>
      </c>
      <c r="H231" t="s">
        <v>78</v>
      </c>
      <c r="I231" t="s">
        <v>190</v>
      </c>
      <c r="J231" t="s">
        <v>58</v>
      </c>
      <c r="K231" t="s">
        <v>41</v>
      </c>
      <c r="L231" t="s">
        <v>953</v>
      </c>
      <c r="M231" t="s">
        <v>954</v>
      </c>
      <c r="N231" t="s">
        <v>731</v>
      </c>
      <c r="O231" t="s">
        <v>36</v>
      </c>
      <c r="Q231" t="s">
        <v>62</v>
      </c>
      <c r="R231" t="s">
        <v>955</v>
      </c>
      <c r="S231" t="s">
        <v>956</v>
      </c>
      <c r="T231" t="s">
        <v>47</v>
      </c>
      <c r="U231" t="s">
        <v>157</v>
      </c>
      <c r="V231" t="s">
        <v>49</v>
      </c>
      <c r="W231" t="s">
        <v>158</v>
      </c>
      <c r="X231" t="s">
        <v>51</v>
      </c>
      <c r="Y231" t="s">
        <v>1107</v>
      </c>
      <c r="Z231" t="s">
        <v>1108</v>
      </c>
      <c r="AA231" t="s">
        <v>1112</v>
      </c>
      <c r="AB231" s="3">
        <f t="shared" si="24"/>
        <v>1</v>
      </c>
      <c r="AC231">
        <v>120.46</v>
      </c>
      <c r="AD231" s="2">
        <v>120.46</v>
      </c>
      <c r="AE231" s="2">
        <v>29.4</v>
      </c>
      <c r="AF231" s="2">
        <v>0.83</v>
      </c>
      <c r="AG231" s="2">
        <v>150.33000000000001</v>
      </c>
      <c r="AH231">
        <v>0</v>
      </c>
      <c r="AI231">
        <v>150.33000000000001</v>
      </c>
      <c r="AJ231">
        <v>0.75165000000000004</v>
      </c>
      <c r="AK231" t="s">
        <v>54</v>
      </c>
      <c r="AL231">
        <v>2.17</v>
      </c>
      <c r="AM231" s="4">
        <f t="shared" si="25"/>
        <v>150.33000000000001</v>
      </c>
      <c r="AN231" s="4">
        <f t="shared" si="26"/>
        <v>225.86249999999998</v>
      </c>
      <c r="AO231" s="4">
        <f t="shared" si="27"/>
        <v>250.93323749999999</v>
      </c>
      <c r="AP231" s="4">
        <f t="shared" si="28"/>
        <v>365.87466374999997</v>
      </c>
      <c r="AQ231" s="10">
        <f t="shared" si="29"/>
        <v>261.43890300000004</v>
      </c>
      <c r="AR231" s="10">
        <f t="shared" si="30"/>
        <v>290.48476512330006</v>
      </c>
      <c r="AS231" s="10">
        <f t="shared" si="31"/>
        <v>407.00808419040004</v>
      </c>
    </row>
    <row r="232" spans="1:45" x14ac:dyDescent="0.3">
      <c r="A232">
        <v>2025</v>
      </c>
      <c r="B232">
        <v>5</v>
      </c>
      <c r="C232" t="s">
        <v>55</v>
      </c>
      <c r="D232">
        <v>10</v>
      </c>
      <c r="E232" t="s">
        <v>36</v>
      </c>
      <c r="F232" t="s">
        <v>37</v>
      </c>
      <c r="G232" t="s">
        <v>38</v>
      </c>
      <c r="H232" t="s">
        <v>132</v>
      </c>
      <c r="I232" t="s">
        <v>190</v>
      </c>
      <c r="J232" t="s">
        <v>58</v>
      </c>
      <c r="K232" t="s">
        <v>59</v>
      </c>
      <c r="M232" t="s">
        <v>682</v>
      </c>
      <c r="N232" t="s">
        <v>384</v>
      </c>
      <c r="O232" t="s">
        <v>36</v>
      </c>
      <c r="Q232" t="s">
        <v>62</v>
      </c>
      <c r="R232" t="s">
        <v>683</v>
      </c>
      <c r="S232" t="s">
        <v>683</v>
      </c>
      <c r="T232" t="s">
        <v>47</v>
      </c>
      <c r="U232" t="s">
        <v>105</v>
      </c>
      <c r="V232" t="s">
        <v>49</v>
      </c>
      <c r="W232" t="s">
        <v>708</v>
      </c>
      <c r="X232" t="s">
        <v>686</v>
      </c>
      <c r="Y232" t="s">
        <v>1111</v>
      </c>
      <c r="Z232" t="s">
        <v>1111</v>
      </c>
      <c r="AA232" t="s">
        <v>1121</v>
      </c>
      <c r="AB232" s="3">
        <f t="shared" si="24"/>
        <v>2.9999999999999263</v>
      </c>
      <c r="AC232">
        <v>405.29</v>
      </c>
      <c r="AD232" s="2">
        <v>135.09666666666999</v>
      </c>
      <c r="AE232" s="2">
        <v>87.12</v>
      </c>
      <c r="AF232" s="2">
        <v>2.8</v>
      </c>
      <c r="AG232" s="2">
        <v>495.22</v>
      </c>
      <c r="AH232">
        <v>0</v>
      </c>
      <c r="AI232">
        <v>165.07333333333</v>
      </c>
      <c r="AJ232">
        <v>2.4761000000000002</v>
      </c>
      <c r="AK232" t="s">
        <v>54</v>
      </c>
      <c r="AL232">
        <v>6.52</v>
      </c>
      <c r="AM232" s="4">
        <f t="shared" si="25"/>
        <v>165.07333333333739</v>
      </c>
      <c r="AN232" s="4">
        <f t="shared" si="26"/>
        <v>253.30625000000623</v>
      </c>
      <c r="AO232" s="4">
        <f t="shared" si="27"/>
        <v>281.42324375000692</v>
      </c>
      <c r="AP232" s="4">
        <f t="shared" si="28"/>
        <v>410.33079437501004</v>
      </c>
      <c r="AQ232" s="10">
        <f t="shared" si="29"/>
        <v>287.07903400000708</v>
      </c>
      <c r="AR232" s="10">
        <f t="shared" si="30"/>
        <v>318.97351467740788</v>
      </c>
      <c r="AS232" s="10">
        <f t="shared" si="31"/>
        <v>446.92464013121099</v>
      </c>
    </row>
    <row r="233" spans="1:45" x14ac:dyDescent="0.3">
      <c r="A233">
        <v>2025</v>
      </c>
      <c r="B233">
        <v>7</v>
      </c>
      <c r="C233" t="s">
        <v>55</v>
      </c>
      <c r="D233">
        <v>10</v>
      </c>
      <c r="E233" t="s">
        <v>36</v>
      </c>
      <c r="F233" t="s">
        <v>37</v>
      </c>
      <c r="G233" t="s">
        <v>38</v>
      </c>
      <c r="H233" t="s">
        <v>78</v>
      </c>
      <c r="I233" t="s">
        <v>190</v>
      </c>
      <c r="J233" t="s">
        <v>58</v>
      </c>
      <c r="K233" t="s">
        <v>41</v>
      </c>
      <c r="L233" t="s">
        <v>953</v>
      </c>
      <c r="M233" t="s">
        <v>954</v>
      </c>
      <c r="N233" t="s">
        <v>731</v>
      </c>
      <c r="O233" t="s">
        <v>36</v>
      </c>
      <c r="Q233" t="s">
        <v>62</v>
      </c>
      <c r="R233" t="s">
        <v>955</v>
      </c>
      <c r="S233" t="s">
        <v>956</v>
      </c>
      <c r="T233" t="s">
        <v>47</v>
      </c>
      <c r="U233" t="s">
        <v>660</v>
      </c>
      <c r="V233" t="s">
        <v>89</v>
      </c>
      <c r="W233" t="s">
        <v>661</v>
      </c>
      <c r="X233" t="s">
        <v>51</v>
      </c>
      <c r="Y233" t="s">
        <v>107</v>
      </c>
      <c r="Z233" t="s">
        <v>107</v>
      </c>
      <c r="AA233" t="s">
        <v>709</v>
      </c>
      <c r="AB233" s="3">
        <f t="shared" si="24"/>
        <v>13.999999999999947</v>
      </c>
      <c r="AC233">
        <v>1036.3399999999999</v>
      </c>
      <c r="AD233" s="2">
        <v>74.024285714285995</v>
      </c>
      <c r="AE233" s="2">
        <v>1327.51</v>
      </c>
      <c r="AF233" s="2">
        <v>8.9</v>
      </c>
      <c r="AG233" s="2">
        <v>2371.94</v>
      </c>
      <c r="AH233">
        <v>0</v>
      </c>
      <c r="AI233">
        <v>169.42428571428999</v>
      </c>
      <c r="AJ233">
        <v>11.8597</v>
      </c>
      <c r="AK233" t="s">
        <v>54</v>
      </c>
      <c r="AL233">
        <v>43.56</v>
      </c>
      <c r="AM233" s="4">
        <f t="shared" si="25"/>
        <v>169.42428571428636</v>
      </c>
      <c r="AN233" s="4">
        <f t="shared" si="26"/>
        <v>138.79553571428625</v>
      </c>
      <c r="AO233" s="4">
        <f t="shared" si="27"/>
        <v>154.20184017857201</v>
      </c>
      <c r="AP233" s="4">
        <f t="shared" si="28"/>
        <v>224.83488830357228</v>
      </c>
      <c r="AQ233" s="10">
        <f t="shared" si="29"/>
        <v>294.64577528571544</v>
      </c>
      <c r="AR233" s="10">
        <f t="shared" si="30"/>
        <v>327.38092091995844</v>
      </c>
      <c r="AS233" s="10">
        <f t="shared" si="31"/>
        <v>458.70454296480182</v>
      </c>
    </row>
    <row r="234" spans="1:45" x14ac:dyDescent="0.3">
      <c r="A234">
        <v>2025</v>
      </c>
      <c r="B234">
        <v>8</v>
      </c>
      <c r="C234" t="s">
        <v>55</v>
      </c>
      <c r="D234">
        <v>10</v>
      </c>
      <c r="E234" t="s">
        <v>36</v>
      </c>
      <c r="F234" t="s">
        <v>37</v>
      </c>
      <c r="G234" t="s">
        <v>38</v>
      </c>
      <c r="H234" t="s">
        <v>78</v>
      </c>
      <c r="I234" t="s">
        <v>190</v>
      </c>
      <c r="J234" t="s">
        <v>58</v>
      </c>
      <c r="K234" t="s">
        <v>59</v>
      </c>
      <c r="L234" t="s">
        <v>1194</v>
      </c>
      <c r="M234" t="s">
        <v>1195</v>
      </c>
      <c r="N234" t="s">
        <v>1196</v>
      </c>
      <c r="O234" t="s">
        <v>1197</v>
      </c>
      <c r="Q234" t="s">
        <v>62</v>
      </c>
      <c r="R234" t="s">
        <v>1198</v>
      </c>
      <c r="S234" t="s">
        <v>1198</v>
      </c>
      <c r="T234" t="s">
        <v>47</v>
      </c>
      <c r="U234" t="s">
        <v>660</v>
      </c>
      <c r="V234" t="s">
        <v>89</v>
      </c>
      <c r="W234" t="s">
        <v>661</v>
      </c>
      <c r="X234" t="s">
        <v>388</v>
      </c>
      <c r="Y234" t="s">
        <v>1189</v>
      </c>
      <c r="Z234" t="s">
        <v>1189</v>
      </c>
      <c r="AA234" t="s">
        <v>1190</v>
      </c>
      <c r="AB234" s="3">
        <f t="shared" si="24"/>
        <v>1</v>
      </c>
      <c r="AC234">
        <v>194.14</v>
      </c>
      <c r="AD234" s="2">
        <v>194.14</v>
      </c>
      <c r="AE234" s="2">
        <v>29.4</v>
      </c>
      <c r="AF234" s="2">
        <v>1.35</v>
      </c>
      <c r="AG234" s="2">
        <v>224.53</v>
      </c>
      <c r="AH234">
        <v>0</v>
      </c>
      <c r="AI234">
        <v>224.53</v>
      </c>
      <c r="AJ234">
        <v>1.1226499999999999</v>
      </c>
      <c r="AK234" t="s">
        <v>54</v>
      </c>
      <c r="AL234">
        <v>2.17</v>
      </c>
      <c r="AM234" s="4">
        <f t="shared" si="25"/>
        <v>224.53</v>
      </c>
      <c r="AN234" s="4">
        <f t="shared" si="26"/>
        <v>364.01249999999999</v>
      </c>
      <c r="AO234" s="4">
        <f t="shared" si="27"/>
        <v>404.41788750000001</v>
      </c>
      <c r="AP234" s="4">
        <f t="shared" si="28"/>
        <v>589.66384874999994</v>
      </c>
      <c r="AQ234" s="10">
        <f t="shared" si="29"/>
        <v>390.48012300000005</v>
      </c>
      <c r="AR234" s="10">
        <f t="shared" si="30"/>
        <v>433.86246466530002</v>
      </c>
      <c r="AS234" s="10">
        <f t="shared" si="31"/>
        <v>607.89945548640003</v>
      </c>
    </row>
    <row r="235" spans="1:45" x14ac:dyDescent="0.3">
      <c r="A235">
        <v>2025</v>
      </c>
      <c r="B235">
        <v>12</v>
      </c>
      <c r="C235" t="s">
        <v>55</v>
      </c>
      <c r="D235">
        <v>10</v>
      </c>
      <c r="E235" t="s">
        <v>36</v>
      </c>
      <c r="F235" t="s">
        <v>37</v>
      </c>
      <c r="G235" t="s">
        <v>38</v>
      </c>
      <c r="H235" t="s">
        <v>78</v>
      </c>
      <c r="I235" t="s">
        <v>57</v>
      </c>
      <c r="J235" t="s">
        <v>58</v>
      </c>
      <c r="K235" t="s">
        <v>59</v>
      </c>
      <c r="L235" t="s">
        <v>1769</v>
      </c>
      <c r="M235" t="s">
        <v>1770</v>
      </c>
      <c r="N235" t="s">
        <v>1771</v>
      </c>
      <c r="O235" t="s">
        <v>1197</v>
      </c>
      <c r="Q235" t="s">
        <v>62</v>
      </c>
      <c r="R235" t="s">
        <v>1772</v>
      </c>
      <c r="S235" t="s">
        <v>1772</v>
      </c>
      <c r="T235" t="s">
        <v>47</v>
      </c>
      <c r="U235" t="s">
        <v>660</v>
      </c>
      <c r="V235" t="s">
        <v>89</v>
      </c>
      <c r="W235" t="s">
        <v>661</v>
      </c>
      <c r="X235" t="s">
        <v>51</v>
      </c>
      <c r="Y235" t="s">
        <v>1475</v>
      </c>
      <c r="Z235" t="s">
        <v>1476</v>
      </c>
      <c r="AA235" t="s">
        <v>1190</v>
      </c>
      <c r="AB235" s="3">
        <f t="shared" si="24"/>
        <v>1</v>
      </c>
      <c r="AC235">
        <v>207.52</v>
      </c>
      <c r="AD235" s="2">
        <v>207.52</v>
      </c>
      <c r="AE235" s="2">
        <v>14.87</v>
      </c>
      <c r="AF235" s="2">
        <v>1.34</v>
      </c>
      <c r="AG235" s="2">
        <v>223.74</v>
      </c>
      <c r="AH235">
        <v>0</v>
      </c>
      <c r="AI235">
        <v>223.74</v>
      </c>
      <c r="AJ235">
        <v>1.1187</v>
      </c>
      <c r="AK235" t="s">
        <v>54</v>
      </c>
      <c r="AL235">
        <v>1.75</v>
      </c>
      <c r="AM235" s="4">
        <f t="shared" si="25"/>
        <v>223.74</v>
      </c>
      <c r="AN235" s="4">
        <f t="shared" si="26"/>
        <v>389.1</v>
      </c>
      <c r="AO235" s="4">
        <f t="shared" si="27"/>
        <v>432.2901</v>
      </c>
      <c r="AP235" s="4">
        <f t="shared" si="28"/>
        <v>630.30309</v>
      </c>
      <c r="AQ235" s="10">
        <f t="shared" si="29"/>
        <v>389.10623400000003</v>
      </c>
      <c r="AR235" s="10">
        <f t="shared" si="30"/>
        <v>432.33593659740001</v>
      </c>
      <c r="AS235" s="10">
        <f t="shared" si="31"/>
        <v>605.76058509120003</v>
      </c>
    </row>
    <row r="236" spans="1:45" x14ac:dyDescent="0.3">
      <c r="A236">
        <v>2025</v>
      </c>
      <c r="B236">
        <v>8</v>
      </c>
      <c r="C236" t="s">
        <v>55</v>
      </c>
      <c r="D236">
        <v>10</v>
      </c>
      <c r="E236" t="s">
        <v>36</v>
      </c>
      <c r="F236" t="s">
        <v>37</v>
      </c>
      <c r="G236" t="s">
        <v>38</v>
      </c>
      <c r="H236" t="s">
        <v>78</v>
      </c>
      <c r="I236" t="s">
        <v>190</v>
      </c>
      <c r="J236" t="s">
        <v>58</v>
      </c>
      <c r="K236" t="s">
        <v>59</v>
      </c>
      <c r="L236" t="s">
        <v>1194</v>
      </c>
      <c r="M236" t="s">
        <v>1195</v>
      </c>
      <c r="N236" t="s">
        <v>1196</v>
      </c>
      <c r="O236" t="s">
        <v>1197</v>
      </c>
      <c r="Q236" t="s">
        <v>62</v>
      </c>
      <c r="R236" t="s">
        <v>1198</v>
      </c>
      <c r="S236" t="s">
        <v>1198</v>
      </c>
      <c r="T236" t="s">
        <v>47</v>
      </c>
      <c r="U236" t="s">
        <v>660</v>
      </c>
      <c r="V236" t="s">
        <v>89</v>
      </c>
      <c r="W236" t="s">
        <v>661</v>
      </c>
      <c r="X236" t="s">
        <v>388</v>
      </c>
      <c r="Y236" t="s">
        <v>1475</v>
      </c>
      <c r="Z236" t="s">
        <v>1476</v>
      </c>
      <c r="AA236" t="s">
        <v>1190</v>
      </c>
      <c r="AB236" s="3">
        <f t="shared" si="24"/>
        <v>1</v>
      </c>
      <c r="AC236">
        <v>209.17</v>
      </c>
      <c r="AD236" s="2">
        <v>209.17</v>
      </c>
      <c r="AE236" s="2">
        <v>62.9</v>
      </c>
      <c r="AF236" s="2">
        <v>1.57</v>
      </c>
      <c r="AG236" s="2">
        <v>272.83</v>
      </c>
      <c r="AH236">
        <v>0</v>
      </c>
      <c r="AI236">
        <v>272.83</v>
      </c>
      <c r="AJ236">
        <v>1.36415</v>
      </c>
      <c r="AK236" t="s">
        <v>54</v>
      </c>
      <c r="AL236">
        <v>1.55</v>
      </c>
      <c r="AM236" s="4">
        <f t="shared" si="25"/>
        <v>272.83</v>
      </c>
      <c r="AN236" s="4">
        <f t="shared" si="26"/>
        <v>392.19374999999997</v>
      </c>
      <c r="AO236" s="4">
        <f t="shared" si="27"/>
        <v>435.72725624999998</v>
      </c>
      <c r="AP236" s="4">
        <f t="shared" si="28"/>
        <v>635.31465562499989</v>
      </c>
      <c r="AQ236" s="10">
        <f t="shared" si="29"/>
        <v>474.47865300000001</v>
      </c>
      <c r="AR236" s="10">
        <f t="shared" si="30"/>
        <v>527.19323134829995</v>
      </c>
      <c r="AS236" s="10">
        <f t="shared" si="31"/>
        <v>738.66836699040005</v>
      </c>
    </row>
    <row r="237" spans="1:45" x14ac:dyDescent="0.3">
      <c r="A237">
        <v>2025</v>
      </c>
      <c r="B237">
        <v>4</v>
      </c>
      <c r="C237" t="s">
        <v>55</v>
      </c>
      <c r="D237">
        <v>10</v>
      </c>
      <c r="E237" t="s">
        <v>36</v>
      </c>
      <c r="F237" t="s">
        <v>37</v>
      </c>
      <c r="G237" t="s">
        <v>38</v>
      </c>
      <c r="H237" t="s">
        <v>78</v>
      </c>
      <c r="I237" t="s">
        <v>190</v>
      </c>
      <c r="J237" t="s">
        <v>58</v>
      </c>
      <c r="K237" t="s">
        <v>59</v>
      </c>
      <c r="M237" t="s">
        <v>383</v>
      </c>
      <c r="N237" t="s">
        <v>384</v>
      </c>
      <c r="O237" t="s">
        <v>36</v>
      </c>
      <c r="Q237" t="s">
        <v>62</v>
      </c>
      <c r="R237" t="s">
        <v>385</v>
      </c>
      <c r="S237" t="s">
        <v>385</v>
      </c>
      <c r="T237" t="s">
        <v>47</v>
      </c>
      <c r="U237" t="s">
        <v>660</v>
      </c>
      <c r="V237" t="s">
        <v>89</v>
      </c>
      <c r="W237" t="s">
        <v>661</v>
      </c>
      <c r="X237" t="s">
        <v>388</v>
      </c>
      <c r="Y237" t="s">
        <v>1473</v>
      </c>
      <c r="Z237" t="s">
        <v>1473</v>
      </c>
      <c r="AA237" t="s">
        <v>1474</v>
      </c>
      <c r="AB237" s="3">
        <f t="shared" si="24"/>
        <v>1</v>
      </c>
      <c r="AC237">
        <v>116.21</v>
      </c>
      <c r="AD237" s="2">
        <v>116.21</v>
      </c>
      <c r="AE237" s="2">
        <v>8.33</v>
      </c>
      <c r="AF237" s="2">
        <v>0.75</v>
      </c>
      <c r="AG237" s="2">
        <v>125.29</v>
      </c>
      <c r="AH237">
        <v>0</v>
      </c>
      <c r="AI237">
        <v>125.29</v>
      </c>
      <c r="AJ237">
        <v>0.62644999999999995</v>
      </c>
      <c r="AK237" t="s">
        <v>54</v>
      </c>
      <c r="AL237">
        <v>0.98</v>
      </c>
      <c r="AM237" s="4">
        <f t="shared" si="25"/>
        <v>125.29</v>
      </c>
      <c r="AN237" s="4">
        <f t="shared" si="26"/>
        <v>217.89374999999998</v>
      </c>
      <c r="AO237" s="4">
        <f t="shared" si="27"/>
        <v>242.07995624999998</v>
      </c>
      <c r="AP237" s="4">
        <f t="shared" si="28"/>
        <v>352.96608562499995</v>
      </c>
      <c r="AQ237" s="10">
        <f t="shared" si="29"/>
        <v>217.89183900000003</v>
      </c>
      <c r="AR237" s="10">
        <f t="shared" si="30"/>
        <v>242.09962231290004</v>
      </c>
      <c r="AS237" s="10">
        <f t="shared" si="31"/>
        <v>339.21401495520007</v>
      </c>
    </row>
    <row r="238" spans="1:45" x14ac:dyDescent="0.3">
      <c r="A238">
        <v>2025</v>
      </c>
      <c r="B238">
        <v>11</v>
      </c>
      <c r="C238" t="s">
        <v>55</v>
      </c>
      <c r="D238">
        <v>10</v>
      </c>
      <c r="E238" t="s">
        <v>36</v>
      </c>
      <c r="F238" t="s">
        <v>37</v>
      </c>
      <c r="G238" t="s">
        <v>38</v>
      </c>
      <c r="H238" t="s">
        <v>78</v>
      </c>
      <c r="I238" t="s">
        <v>375</v>
      </c>
      <c r="J238" t="s">
        <v>376</v>
      </c>
      <c r="K238" t="s">
        <v>59</v>
      </c>
      <c r="L238" t="s">
        <v>1647</v>
      </c>
      <c r="M238" t="s">
        <v>1633</v>
      </c>
      <c r="N238" t="s">
        <v>1485</v>
      </c>
      <c r="O238" t="s">
        <v>1197</v>
      </c>
      <c r="Q238" t="s">
        <v>62</v>
      </c>
      <c r="R238" t="s">
        <v>1648</v>
      </c>
      <c r="S238" t="s">
        <v>1648</v>
      </c>
      <c r="T238" t="s">
        <v>47</v>
      </c>
      <c r="U238" t="s">
        <v>660</v>
      </c>
      <c r="V238" t="s">
        <v>89</v>
      </c>
      <c r="W238" t="s">
        <v>661</v>
      </c>
      <c r="X238" t="s">
        <v>51</v>
      </c>
      <c r="Y238" t="s">
        <v>662</v>
      </c>
      <c r="Z238" t="s">
        <v>662</v>
      </c>
      <c r="AA238" t="s">
        <v>663</v>
      </c>
      <c r="AB238" s="3">
        <f t="shared" si="24"/>
        <v>1</v>
      </c>
      <c r="AC238">
        <v>141.49</v>
      </c>
      <c r="AD238" s="2">
        <v>141.49</v>
      </c>
      <c r="AE238" s="2">
        <v>15.32</v>
      </c>
      <c r="AF238" s="2">
        <v>0.94</v>
      </c>
      <c r="AG238" s="2">
        <v>157.75</v>
      </c>
      <c r="AH238">
        <v>0</v>
      </c>
      <c r="AI238">
        <v>157.75</v>
      </c>
      <c r="AJ238">
        <v>0.78874999999999995</v>
      </c>
      <c r="AK238" t="s">
        <v>54</v>
      </c>
      <c r="AL238">
        <v>0.78</v>
      </c>
      <c r="AM238" s="4">
        <f t="shared" si="25"/>
        <v>157.75</v>
      </c>
      <c r="AN238" s="4">
        <f t="shared" si="26"/>
        <v>265.29375000000005</v>
      </c>
      <c r="AO238" s="4">
        <f t="shared" si="27"/>
        <v>294.74135625000002</v>
      </c>
      <c r="AP238" s="4">
        <f t="shared" si="28"/>
        <v>429.74934562500005</v>
      </c>
      <c r="AQ238" s="10">
        <f t="shared" si="29"/>
        <v>274.34302500000001</v>
      </c>
      <c r="AR238" s="10">
        <f t="shared" si="30"/>
        <v>304.82253507749999</v>
      </c>
      <c r="AS238" s="10">
        <f t="shared" si="31"/>
        <v>427.09722132000002</v>
      </c>
    </row>
    <row r="239" spans="1:45" x14ac:dyDescent="0.3">
      <c r="A239">
        <v>2025</v>
      </c>
      <c r="B239">
        <v>8</v>
      </c>
      <c r="C239" t="s">
        <v>55</v>
      </c>
      <c r="D239">
        <v>10</v>
      </c>
      <c r="E239" t="s">
        <v>36</v>
      </c>
      <c r="F239" t="s">
        <v>37</v>
      </c>
      <c r="G239" t="s">
        <v>38</v>
      </c>
      <c r="H239" t="s">
        <v>78</v>
      </c>
      <c r="I239" t="s">
        <v>190</v>
      </c>
      <c r="J239" t="s">
        <v>58</v>
      </c>
      <c r="K239" t="s">
        <v>59</v>
      </c>
      <c r="L239" t="s">
        <v>1194</v>
      </c>
      <c r="M239" t="s">
        <v>1195</v>
      </c>
      <c r="N239" t="s">
        <v>1196</v>
      </c>
      <c r="O239" t="s">
        <v>1197</v>
      </c>
      <c r="Q239" t="s">
        <v>62</v>
      </c>
      <c r="R239" t="s">
        <v>1198</v>
      </c>
      <c r="S239" t="s">
        <v>1198</v>
      </c>
      <c r="T239" t="s">
        <v>47</v>
      </c>
      <c r="U239" t="s">
        <v>660</v>
      </c>
      <c r="V239" t="s">
        <v>89</v>
      </c>
      <c r="W239" t="s">
        <v>661</v>
      </c>
      <c r="X239" t="s">
        <v>388</v>
      </c>
      <c r="Y239" t="s">
        <v>1763</v>
      </c>
      <c r="Z239" t="s">
        <v>1763</v>
      </c>
      <c r="AA239" t="s">
        <v>663</v>
      </c>
      <c r="AB239" s="3">
        <f t="shared" si="24"/>
        <v>2</v>
      </c>
      <c r="AC239">
        <v>233.59</v>
      </c>
      <c r="AD239" s="2">
        <v>116.795</v>
      </c>
      <c r="AE239" s="2">
        <v>78.53</v>
      </c>
      <c r="AF239" s="2">
        <v>1.85</v>
      </c>
      <c r="AG239" s="2">
        <v>313.97000000000003</v>
      </c>
      <c r="AH239">
        <v>0</v>
      </c>
      <c r="AI239">
        <v>156.98500000000001</v>
      </c>
      <c r="AJ239">
        <v>1.56985</v>
      </c>
      <c r="AK239" t="s">
        <v>54</v>
      </c>
      <c r="AL239">
        <v>2.2000000000000002</v>
      </c>
      <c r="AM239" s="4">
        <f t="shared" si="25"/>
        <v>156.98500000000001</v>
      </c>
      <c r="AN239" s="4">
        <f t="shared" si="26"/>
        <v>218.99062499999999</v>
      </c>
      <c r="AO239" s="4">
        <f t="shared" si="27"/>
        <v>243.29858437499999</v>
      </c>
      <c r="AP239" s="4">
        <f t="shared" si="28"/>
        <v>354.74291343749996</v>
      </c>
      <c r="AQ239" s="10">
        <f t="shared" si="29"/>
        <v>273.01261350000004</v>
      </c>
      <c r="AR239" s="10">
        <f t="shared" si="30"/>
        <v>303.34431485985004</v>
      </c>
      <c r="AS239" s="10">
        <f t="shared" si="31"/>
        <v>425.02603669680008</v>
      </c>
    </row>
    <row r="240" spans="1:45" x14ac:dyDescent="0.3">
      <c r="A240">
        <v>2025</v>
      </c>
      <c r="B240">
        <v>3</v>
      </c>
      <c r="C240" t="s">
        <v>55</v>
      </c>
      <c r="D240">
        <v>10</v>
      </c>
      <c r="E240" t="s">
        <v>36</v>
      </c>
      <c r="F240" t="s">
        <v>37</v>
      </c>
      <c r="G240" t="s">
        <v>38</v>
      </c>
      <c r="H240" t="s">
        <v>83</v>
      </c>
      <c r="I240" t="s">
        <v>190</v>
      </c>
      <c r="J240" t="s">
        <v>58</v>
      </c>
      <c r="K240" t="s">
        <v>59</v>
      </c>
      <c r="M240" t="s">
        <v>213</v>
      </c>
      <c r="N240" t="s">
        <v>61</v>
      </c>
      <c r="O240" t="s">
        <v>43</v>
      </c>
      <c r="Q240" t="s">
        <v>62</v>
      </c>
      <c r="R240" t="s">
        <v>214</v>
      </c>
      <c r="S240" t="s">
        <v>215</v>
      </c>
      <c r="T240" t="s">
        <v>47</v>
      </c>
      <c r="U240" t="s">
        <v>240</v>
      </c>
      <c r="V240" t="s">
        <v>49</v>
      </c>
      <c r="W240" t="s">
        <v>241</v>
      </c>
      <c r="X240" t="s">
        <v>51</v>
      </c>
      <c r="Y240" t="s">
        <v>1473</v>
      </c>
      <c r="Z240" t="s">
        <v>1473</v>
      </c>
      <c r="AA240" t="s">
        <v>1477</v>
      </c>
      <c r="AB240" s="3">
        <f t="shared" si="24"/>
        <v>1</v>
      </c>
      <c r="AC240">
        <v>113.58</v>
      </c>
      <c r="AD240" s="2">
        <v>113.58</v>
      </c>
      <c r="AE240" s="2">
        <v>8.14</v>
      </c>
      <c r="AF240" s="2">
        <v>0.74</v>
      </c>
      <c r="AG240" s="2">
        <v>122.46</v>
      </c>
      <c r="AH240">
        <v>0</v>
      </c>
      <c r="AI240">
        <v>122.46</v>
      </c>
      <c r="AJ240">
        <v>0.61229999999999996</v>
      </c>
      <c r="AK240" t="s">
        <v>54</v>
      </c>
      <c r="AL240">
        <v>0.96</v>
      </c>
      <c r="AM240" s="4">
        <f t="shared" si="25"/>
        <v>122.46</v>
      </c>
      <c r="AN240" s="4">
        <f t="shared" si="26"/>
        <v>212.96250000000001</v>
      </c>
      <c r="AO240" s="4">
        <f t="shared" si="27"/>
        <v>236.6013375</v>
      </c>
      <c r="AP240" s="4">
        <f t="shared" si="28"/>
        <v>344.97795374999998</v>
      </c>
      <c r="AQ240" s="10">
        <f t="shared" si="29"/>
        <v>212.97018600000001</v>
      </c>
      <c r="AR240" s="10">
        <f t="shared" si="30"/>
        <v>236.6311736646</v>
      </c>
      <c r="AS240" s="10">
        <f t="shared" si="31"/>
        <v>331.55198556480002</v>
      </c>
    </row>
    <row r="241" spans="1:45" x14ac:dyDescent="0.3">
      <c r="A241">
        <v>2025</v>
      </c>
      <c r="B241">
        <v>11</v>
      </c>
      <c r="C241" t="s">
        <v>55</v>
      </c>
      <c r="D241">
        <v>10</v>
      </c>
      <c r="E241" t="s">
        <v>36</v>
      </c>
      <c r="F241" t="s">
        <v>37</v>
      </c>
      <c r="G241" t="s">
        <v>38</v>
      </c>
      <c r="H241" t="s">
        <v>341</v>
      </c>
      <c r="I241" t="s">
        <v>375</v>
      </c>
      <c r="J241" t="s">
        <v>376</v>
      </c>
      <c r="K241" t="s">
        <v>51</v>
      </c>
      <c r="L241" t="s">
        <v>1622</v>
      </c>
      <c r="M241" t="s">
        <v>1623</v>
      </c>
      <c r="N241" t="s">
        <v>1485</v>
      </c>
      <c r="O241" t="s">
        <v>1197</v>
      </c>
      <c r="Q241" t="s">
        <v>62</v>
      </c>
      <c r="R241" t="s">
        <v>1624</v>
      </c>
      <c r="S241" t="s">
        <v>1624</v>
      </c>
      <c r="T241" t="s">
        <v>47</v>
      </c>
      <c r="U241" t="s">
        <v>1463</v>
      </c>
      <c r="V241" t="s">
        <v>49</v>
      </c>
      <c r="W241" t="s">
        <v>1464</v>
      </c>
      <c r="X241" t="s">
        <v>51</v>
      </c>
      <c r="Y241" t="s">
        <v>242</v>
      </c>
      <c r="Z241" t="s">
        <v>64</v>
      </c>
      <c r="AA241" t="s">
        <v>243</v>
      </c>
      <c r="AB241" s="3">
        <f t="shared" si="24"/>
        <v>1</v>
      </c>
      <c r="AC241">
        <v>7.3</v>
      </c>
      <c r="AD241" s="2">
        <v>7.3</v>
      </c>
      <c r="AE241" s="2">
        <v>1.53</v>
      </c>
      <c r="AF241" s="2">
        <v>0.05</v>
      </c>
      <c r="AG241" s="2">
        <v>8.8800000000000008</v>
      </c>
      <c r="AH241">
        <v>0</v>
      </c>
      <c r="AI241">
        <v>8.8800000000000008</v>
      </c>
      <c r="AJ241">
        <v>4.4400000000000002E-2</v>
      </c>
      <c r="AK241" t="s">
        <v>54</v>
      </c>
      <c r="AL241">
        <v>1.94</v>
      </c>
      <c r="AM241" s="4">
        <f t="shared" si="25"/>
        <v>8.8800000000000008</v>
      </c>
      <c r="AN241" s="4">
        <f t="shared" si="26"/>
        <v>13.6875</v>
      </c>
      <c r="AO241" s="4">
        <f t="shared" si="27"/>
        <v>15.2068125</v>
      </c>
      <c r="AP241" s="4">
        <f t="shared" si="28"/>
        <v>22.172381249999997</v>
      </c>
      <c r="AQ241" s="10">
        <f t="shared" si="29"/>
        <v>15.443208000000002</v>
      </c>
      <c r="AR241" s="10">
        <f t="shared" si="30"/>
        <v>17.158948408800001</v>
      </c>
      <c r="AS241" s="10">
        <f t="shared" si="31"/>
        <v>24.041986214400001</v>
      </c>
    </row>
    <row r="242" spans="1:45" x14ac:dyDescent="0.3">
      <c r="A242">
        <v>2025</v>
      </c>
      <c r="B242">
        <v>4</v>
      </c>
      <c r="C242" t="s">
        <v>55</v>
      </c>
      <c r="D242">
        <v>10</v>
      </c>
      <c r="E242" t="s">
        <v>36</v>
      </c>
      <c r="F242" t="s">
        <v>37</v>
      </c>
      <c r="G242" t="s">
        <v>38</v>
      </c>
      <c r="H242" t="s">
        <v>39</v>
      </c>
      <c r="I242" t="s">
        <v>375</v>
      </c>
      <c r="J242" t="s">
        <v>376</v>
      </c>
      <c r="K242" t="s">
        <v>59</v>
      </c>
      <c r="M242">
        <v>2503061</v>
      </c>
      <c r="N242" t="s">
        <v>377</v>
      </c>
      <c r="O242" t="s">
        <v>36</v>
      </c>
      <c r="Q242" t="s">
        <v>62</v>
      </c>
      <c r="R242" t="s">
        <v>378</v>
      </c>
      <c r="S242" t="s">
        <v>378</v>
      </c>
      <c r="T242" t="s">
        <v>47</v>
      </c>
      <c r="U242" t="s">
        <v>223</v>
      </c>
      <c r="V242" t="s">
        <v>49</v>
      </c>
      <c r="W242" t="s">
        <v>224</v>
      </c>
      <c r="X242" t="s">
        <v>51</v>
      </c>
      <c r="Y242" t="s">
        <v>1754</v>
      </c>
      <c r="Z242" t="s">
        <v>1754</v>
      </c>
      <c r="AA242" t="s">
        <v>1755</v>
      </c>
      <c r="AB242" s="3">
        <f t="shared" si="24"/>
        <v>1</v>
      </c>
      <c r="AC242">
        <v>549</v>
      </c>
      <c r="AD242" s="2">
        <v>549</v>
      </c>
      <c r="AE242" s="2">
        <v>76.87</v>
      </c>
      <c r="AF242" s="2">
        <v>3.8</v>
      </c>
      <c r="AG242" s="2">
        <v>629.66999999999996</v>
      </c>
      <c r="AH242">
        <v>0</v>
      </c>
      <c r="AI242">
        <v>629.66999999999996</v>
      </c>
      <c r="AJ242">
        <v>3.1483500000000002</v>
      </c>
      <c r="AK242" t="s">
        <v>54</v>
      </c>
      <c r="AL242">
        <v>4.1900000000000004</v>
      </c>
      <c r="AM242" s="4">
        <f t="shared" si="25"/>
        <v>629.66999999999996</v>
      </c>
      <c r="AN242" s="4">
        <f t="shared" si="26"/>
        <v>1029.375</v>
      </c>
      <c r="AO242" s="4">
        <f t="shared" si="27"/>
        <v>1143.6356249999999</v>
      </c>
      <c r="AP242" s="4">
        <f t="shared" si="28"/>
        <v>1667.4845624999998</v>
      </c>
      <c r="AQ242" s="10">
        <f t="shared" si="29"/>
        <v>1095.0590970000001</v>
      </c>
      <c r="AR242" s="10">
        <f t="shared" si="30"/>
        <v>1216.7201626767001</v>
      </c>
      <c r="AS242" s="10">
        <f t="shared" si="31"/>
        <v>1704.7880022096001</v>
      </c>
    </row>
    <row r="243" spans="1:45" x14ac:dyDescent="0.3">
      <c r="A243">
        <v>2025</v>
      </c>
      <c r="B243">
        <v>3</v>
      </c>
      <c r="C243" t="s">
        <v>55</v>
      </c>
      <c r="D243">
        <v>10</v>
      </c>
      <c r="E243" t="s">
        <v>36</v>
      </c>
      <c r="F243" t="s">
        <v>37</v>
      </c>
      <c r="G243" t="s">
        <v>38</v>
      </c>
      <c r="H243" t="s">
        <v>341</v>
      </c>
      <c r="I243" t="s">
        <v>190</v>
      </c>
      <c r="J243" t="s">
        <v>58</v>
      </c>
      <c r="K243" t="s">
        <v>59</v>
      </c>
      <c r="M243" t="s">
        <v>213</v>
      </c>
      <c r="N243" t="s">
        <v>61</v>
      </c>
      <c r="O243" t="s">
        <v>43</v>
      </c>
      <c r="Q243" t="s">
        <v>62</v>
      </c>
      <c r="R243" t="s">
        <v>214</v>
      </c>
      <c r="S243" t="s">
        <v>215</v>
      </c>
      <c r="T243" t="s">
        <v>47</v>
      </c>
      <c r="U243" t="s">
        <v>157</v>
      </c>
      <c r="V243" t="s">
        <v>49</v>
      </c>
      <c r="W243" t="s">
        <v>158</v>
      </c>
      <c r="X243" t="s">
        <v>51</v>
      </c>
      <c r="Y243" t="s">
        <v>225</v>
      </c>
      <c r="Z243" t="s">
        <v>225</v>
      </c>
      <c r="AA243" t="s">
        <v>401</v>
      </c>
      <c r="AB243" s="3">
        <f t="shared" si="24"/>
        <v>13.81999999999973</v>
      </c>
      <c r="AC243">
        <v>228.47</v>
      </c>
      <c r="AD243" s="2">
        <v>16.531837916063999</v>
      </c>
      <c r="AE243" s="2">
        <v>188.8</v>
      </c>
      <c r="AF243" s="2">
        <v>1.46</v>
      </c>
      <c r="AG243" s="2">
        <v>418.74</v>
      </c>
      <c r="AH243">
        <v>0</v>
      </c>
      <c r="AI243">
        <v>30.299565846598998</v>
      </c>
      <c r="AJ243">
        <v>2.0937000000000001</v>
      </c>
      <c r="AK243" t="s">
        <v>54</v>
      </c>
      <c r="AL243">
        <v>9.01</v>
      </c>
      <c r="AM243" s="4">
        <f t="shared" si="25"/>
        <v>30.299565846599723</v>
      </c>
      <c r="AN243" s="4">
        <f t="shared" si="26"/>
        <v>30.997196092619998</v>
      </c>
      <c r="AO243" s="4">
        <f t="shared" si="27"/>
        <v>34.437884858900816</v>
      </c>
      <c r="AP243" s="4">
        <f t="shared" si="28"/>
        <v>50.212357950435134</v>
      </c>
      <c r="AQ243" s="10">
        <f t="shared" si="29"/>
        <v>52.693974963821582</v>
      </c>
      <c r="AR243" s="10">
        <f t="shared" si="30"/>
        <v>58.548275582302161</v>
      </c>
      <c r="AS243" s="10">
        <f t="shared" si="31"/>
        <v>82.033980223677432</v>
      </c>
    </row>
    <row r="244" spans="1:45" x14ac:dyDescent="0.3">
      <c r="A244">
        <v>2025</v>
      </c>
      <c r="B244">
        <v>6</v>
      </c>
      <c r="C244" t="s">
        <v>55</v>
      </c>
      <c r="D244">
        <v>10</v>
      </c>
      <c r="E244" t="s">
        <v>36</v>
      </c>
      <c r="F244" t="s">
        <v>37</v>
      </c>
      <c r="G244" t="s">
        <v>38</v>
      </c>
      <c r="H244" t="s">
        <v>83</v>
      </c>
      <c r="I244" t="s">
        <v>190</v>
      </c>
      <c r="J244" t="s">
        <v>58</v>
      </c>
      <c r="K244" t="s">
        <v>59</v>
      </c>
      <c r="M244" t="s">
        <v>730</v>
      </c>
      <c r="N244" t="s">
        <v>731</v>
      </c>
      <c r="O244" t="s">
        <v>36</v>
      </c>
      <c r="Q244" t="s">
        <v>62</v>
      </c>
      <c r="R244" t="s">
        <v>732</v>
      </c>
      <c r="S244" t="s">
        <v>732</v>
      </c>
      <c r="T244" t="s">
        <v>47</v>
      </c>
      <c r="U244" t="s">
        <v>118</v>
      </c>
      <c r="V244" t="s">
        <v>49</v>
      </c>
      <c r="W244" t="s">
        <v>714</v>
      </c>
      <c r="X244" t="s">
        <v>686</v>
      </c>
      <c r="Y244" t="s">
        <v>342</v>
      </c>
      <c r="Z244" t="s">
        <v>64</v>
      </c>
      <c r="AA244" t="s">
        <v>343</v>
      </c>
      <c r="AB244" s="3">
        <f t="shared" si="24"/>
        <v>1</v>
      </c>
      <c r="AC244">
        <v>3605.61</v>
      </c>
      <c r="AD244" s="2">
        <v>3605.61</v>
      </c>
      <c r="AE244" s="2">
        <v>756.65</v>
      </c>
      <c r="AF244" s="2">
        <v>26.69</v>
      </c>
      <c r="AG244" s="2">
        <v>4388.95</v>
      </c>
      <c r="AH244">
        <v>0</v>
      </c>
      <c r="AI244">
        <v>4388.95</v>
      </c>
      <c r="AJ244">
        <v>21.944749999999999</v>
      </c>
      <c r="AK244" t="s">
        <v>54</v>
      </c>
      <c r="AL244">
        <v>1.94</v>
      </c>
      <c r="AM244" s="4">
        <f t="shared" si="25"/>
        <v>4388.95</v>
      </c>
      <c r="AN244" s="4">
        <f t="shared" si="26"/>
        <v>6760.5187500000002</v>
      </c>
      <c r="AO244" s="4">
        <f t="shared" si="27"/>
        <v>7510.93633125</v>
      </c>
      <c r="AP244" s="4">
        <f t="shared" si="28"/>
        <v>10951.364323124999</v>
      </c>
      <c r="AQ244" s="10">
        <f t="shared" si="29"/>
        <v>7632.8229449999999</v>
      </c>
      <c r="AR244" s="10">
        <f t="shared" si="30"/>
        <v>8480.8295741894999</v>
      </c>
      <c r="AS244" s="10">
        <f t="shared" si="31"/>
        <v>11882.778760776</v>
      </c>
    </row>
    <row r="245" spans="1:45" x14ac:dyDescent="0.3">
      <c r="A245">
        <v>2025</v>
      </c>
      <c r="B245">
        <v>4</v>
      </c>
      <c r="C245" t="s">
        <v>55</v>
      </c>
      <c r="D245">
        <v>10</v>
      </c>
      <c r="E245" t="s">
        <v>36</v>
      </c>
      <c r="F245" t="s">
        <v>37</v>
      </c>
      <c r="G245" t="s">
        <v>38</v>
      </c>
      <c r="H245" t="s">
        <v>141</v>
      </c>
      <c r="I245" t="s">
        <v>375</v>
      </c>
      <c r="J245" t="s">
        <v>376</v>
      </c>
      <c r="K245" t="s">
        <v>59</v>
      </c>
      <c r="M245">
        <v>2503061</v>
      </c>
      <c r="N245" t="s">
        <v>377</v>
      </c>
      <c r="O245" t="s">
        <v>36</v>
      </c>
      <c r="Q245" t="s">
        <v>62</v>
      </c>
      <c r="R245" t="s">
        <v>378</v>
      </c>
      <c r="S245" t="s">
        <v>378</v>
      </c>
      <c r="T245" t="s">
        <v>47</v>
      </c>
      <c r="U245" t="s">
        <v>167</v>
      </c>
      <c r="V245" t="s">
        <v>49</v>
      </c>
      <c r="W245" t="s">
        <v>168</v>
      </c>
      <c r="X245" t="s">
        <v>51</v>
      </c>
      <c r="Y245" t="s">
        <v>815</v>
      </c>
      <c r="Z245" t="s">
        <v>815</v>
      </c>
      <c r="AA245" t="s">
        <v>816</v>
      </c>
      <c r="AB245" s="3">
        <f t="shared" si="24"/>
        <v>1</v>
      </c>
      <c r="AC245">
        <v>85.4</v>
      </c>
      <c r="AD245" s="2">
        <v>85.4</v>
      </c>
      <c r="AE245" s="2">
        <v>18.600000000000001</v>
      </c>
      <c r="AF245" s="2">
        <v>0.63</v>
      </c>
      <c r="AG245" s="2">
        <v>104.9</v>
      </c>
      <c r="AH245">
        <v>0</v>
      </c>
      <c r="AI245">
        <v>104.9</v>
      </c>
      <c r="AJ245">
        <v>0.52449999999999997</v>
      </c>
      <c r="AK245" t="s">
        <v>54</v>
      </c>
      <c r="AL245">
        <v>0.62</v>
      </c>
      <c r="AM245" s="4">
        <f t="shared" si="25"/>
        <v>104.9</v>
      </c>
      <c r="AN245" s="4">
        <f t="shared" si="26"/>
        <v>160.125</v>
      </c>
      <c r="AO245" s="4">
        <f t="shared" si="27"/>
        <v>177.898875</v>
      </c>
      <c r="AP245" s="4">
        <f t="shared" si="28"/>
        <v>259.38648749999999</v>
      </c>
      <c r="AQ245" s="10">
        <f t="shared" si="29"/>
        <v>182.43159000000003</v>
      </c>
      <c r="AR245" s="10">
        <f t="shared" si="30"/>
        <v>202.69973964900004</v>
      </c>
      <c r="AS245" s="10">
        <f t="shared" si="31"/>
        <v>284.00949931200006</v>
      </c>
    </row>
    <row r="246" spans="1:45" x14ac:dyDescent="0.3">
      <c r="A246">
        <v>2025</v>
      </c>
      <c r="B246">
        <v>4</v>
      </c>
      <c r="C246" t="s">
        <v>55</v>
      </c>
      <c r="D246">
        <v>10</v>
      </c>
      <c r="E246" t="s">
        <v>36</v>
      </c>
      <c r="F246" t="s">
        <v>37</v>
      </c>
      <c r="G246" t="s">
        <v>38</v>
      </c>
      <c r="H246" t="s">
        <v>141</v>
      </c>
      <c r="I246" t="s">
        <v>375</v>
      </c>
      <c r="J246" t="s">
        <v>376</v>
      </c>
      <c r="K246" t="s">
        <v>59</v>
      </c>
      <c r="M246">
        <v>2503061</v>
      </c>
      <c r="N246" t="s">
        <v>377</v>
      </c>
      <c r="O246" t="s">
        <v>36</v>
      </c>
      <c r="Q246" t="s">
        <v>62</v>
      </c>
      <c r="R246" t="s">
        <v>378</v>
      </c>
      <c r="S246" t="s">
        <v>378</v>
      </c>
      <c r="T246" t="s">
        <v>47</v>
      </c>
      <c r="U246" t="s">
        <v>167</v>
      </c>
      <c r="V246" t="s">
        <v>49</v>
      </c>
      <c r="W246" t="s">
        <v>168</v>
      </c>
      <c r="X246" t="s">
        <v>51</v>
      </c>
      <c r="Y246" t="s">
        <v>588</v>
      </c>
      <c r="Z246" t="s">
        <v>589</v>
      </c>
      <c r="AA246" t="s">
        <v>590</v>
      </c>
      <c r="AB246" s="3">
        <f t="shared" si="24"/>
        <v>3.0000000000000928</v>
      </c>
      <c r="AC246">
        <v>323.41000000000003</v>
      </c>
      <c r="AD246" s="2">
        <v>107.80333333333</v>
      </c>
      <c r="AE246" s="2">
        <v>45.26</v>
      </c>
      <c r="AF246" s="2">
        <v>2.2799999999999998</v>
      </c>
      <c r="AG246" s="2">
        <v>370.95</v>
      </c>
      <c r="AH246">
        <v>0</v>
      </c>
      <c r="AI246">
        <v>123.65</v>
      </c>
      <c r="AJ246">
        <v>1.8547499999999999</v>
      </c>
      <c r="AK246" t="s">
        <v>54</v>
      </c>
      <c r="AL246">
        <v>2.16</v>
      </c>
      <c r="AM246" s="4">
        <f t="shared" si="25"/>
        <v>123.64999999999617</v>
      </c>
      <c r="AN246" s="4">
        <f t="shared" si="26"/>
        <v>202.13124999999374</v>
      </c>
      <c r="AO246" s="4">
        <f t="shared" si="27"/>
        <v>224.56781874999305</v>
      </c>
      <c r="AP246" s="4">
        <f t="shared" si="28"/>
        <v>327.43241187498984</v>
      </c>
      <c r="AQ246" s="10">
        <f t="shared" si="29"/>
        <v>215.03971499999335</v>
      </c>
      <c r="AR246" s="10">
        <f t="shared" si="30"/>
        <v>238.93062733649262</v>
      </c>
      <c r="AS246" s="10">
        <f t="shared" si="31"/>
        <v>334.77382831198963</v>
      </c>
    </row>
    <row r="247" spans="1:45" x14ac:dyDescent="0.3">
      <c r="A247">
        <v>2025</v>
      </c>
      <c r="B247">
        <v>4</v>
      </c>
      <c r="C247" t="s">
        <v>55</v>
      </c>
      <c r="D247">
        <v>10</v>
      </c>
      <c r="E247" t="s">
        <v>36</v>
      </c>
      <c r="F247" t="s">
        <v>37</v>
      </c>
      <c r="G247" t="s">
        <v>38</v>
      </c>
      <c r="H247" t="s">
        <v>101</v>
      </c>
      <c r="I247" t="s">
        <v>375</v>
      </c>
      <c r="J247" t="s">
        <v>376</v>
      </c>
      <c r="K247" t="s">
        <v>59</v>
      </c>
      <c r="M247">
        <v>2503061</v>
      </c>
      <c r="N247" t="s">
        <v>377</v>
      </c>
      <c r="O247" t="s">
        <v>36</v>
      </c>
      <c r="Q247" t="s">
        <v>62</v>
      </c>
      <c r="R247" t="s">
        <v>378</v>
      </c>
      <c r="S247" t="s">
        <v>378</v>
      </c>
      <c r="T247" t="s">
        <v>47</v>
      </c>
      <c r="U247" t="s">
        <v>167</v>
      </c>
      <c r="V247" t="s">
        <v>49</v>
      </c>
      <c r="W247" t="s">
        <v>168</v>
      </c>
      <c r="X247" t="s">
        <v>51</v>
      </c>
      <c r="Y247" t="s">
        <v>591</v>
      </c>
      <c r="Z247" t="s">
        <v>591</v>
      </c>
      <c r="AA247" t="s">
        <v>592</v>
      </c>
      <c r="AB247" s="3">
        <f t="shared" si="24"/>
        <v>4</v>
      </c>
      <c r="AC247">
        <v>41.38</v>
      </c>
      <c r="AD247" s="2">
        <v>10.345000000000001</v>
      </c>
      <c r="AE247" s="2">
        <v>60.35</v>
      </c>
      <c r="AF247" s="2">
        <v>0.24</v>
      </c>
      <c r="AG247" s="2">
        <v>101.97</v>
      </c>
      <c r="AH247">
        <v>0</v>
      </c>
      <c r="AI247">
        <v>25.4925</v>
      </c>
      <c r="AJ247">
        <v>0.50985000000000003</v>
      </c>
      <c r="AK247" t="s">
        <v>54</v>
      </c>
      <c r="AL247">
        <v>2.88</v>
      </c>
      <c r="AM247" s="4">
        <f t="shared" si="25"/>
        <v>25.4925</v>
      </c>
      <c r="AN247" s="4">
        <f t="shared" si="26"/>
        <v>19.396875000000001</v>
      </c>
      <c r="AO247" s="4">
        <f t="shared" si="27"/>
        <v>21.549928125000001</v>
      </c>
      <c r="AP247" s="4">
        <f t="shared" si="28"/>
        <v>31.420997812500001</v>
      </c>
      <c r="AQ247" s="10">
        <f t="shared" si="29"/>
        <v>44.33400675</v>
      </c>
      <c r="AR247" s="10">
        <f t="shared" si="30"/>
        <v>49.259514899925001</v>
      </c>
      <c r="AS247" s="10">
        <f t="shared" si="31"/>
        <v>69.019181708399998</v>
      </c>
    </row>
    <row r="248" spans="1:45" x14ac:dyDescent="0.3">
      <c r="A248">
        <v>2025</v>
      </c>
      <c r="B248">
        <v>4</v>
      </c>
      <c r="C248" t="s">
        <v>55</v>
      </c>
      <c r="D248">
        <v>10</v>
      </c>
      <c r="E248" t="s">
        <v>36</v>
      </c>
      <c r="F248" t="s">
        <v>37</v>
      </c>
      <c r="G248" t="s">
        <v>38</v>
      </c>
      <c r="H248" t="s">
        <v>83</v>
      </c>
      <c r="I248" t="s">
        <v>375</v>
      </c>
      <c r="J248" t="s">
        <v>376</v>
      </c>
      <c r="K248" t="s">
        <v>59</v>
      </c>
      <c r="M248">
        <v>2503061</v>
      </c>
      <c r="N248" t="s">
        <v>377</v>
      </c>
      <c r="O248" t="s">
        <v>36</v>
      </c>
      <c r="Q248" t="s">
        <v>62</v>
      </c>
      <c r="R248" t="s">
        <v>378</v>
      </c>
      <c r="S248" t="s">
        <v>378</v>
      </c>
      <c r="T248" t="s">
        <v>47</v>
      </c>
      <c r="U248" t="s">
        <v>84</v>
      </c>
      <c r="V248" t="s">
        <v>49</v>
      </c>
      <c r="W248" t="s">
        <v>85</v>
      </c>
      <c r="X248" t="s">
        <v>51</v>
      </c>
      <c r="Y248" t="s">
        <v>593</v>
      </c>
      <c r="Z248" t="s">
        <v>593</v>
      </c>
      <c r="AA248" t="s">
        <v>594</v>
      </c>
      <c r="AB248" s="3">
        <f t="shared" si="24"/>
        <v>3.0000000000000111</v>
      </c>
      <c r="AC248">
        <v>27.61</v>
      </c>
      <c r="AD248" s="2">
        <v>9.2033333333332994</v>
      </c>
      <c r="AE248" s="2">
        <v>45.26</v>
      </c>
      <c r="AF248" s="2">
        <v>0.16</v>
      </c>
      <c r="AG248" s="2">
        <v>73.03</v>
      </c>
      <c r="AH248">
        <v>0</v>
      </c>
      <c r="AI248">
        <v>24.343333333333</v>
      </c>
      <c r="AJ248">
        <v>0.36514999999999997</v>
      </c>
      <c r="AK248" t="s">
        <v>54</v>
      </c>
      <c r="AL248">
        <v>2.16</v>
      </c>
      <c r="AM248" s="4">
        <f t="shared" si="25"/>
        <v>24.343333333333245</v>
      </c>
      <c r="AN248" s="4">
        <f t="shared" si="26"/>
        <v>17.256249999999937</v>
      </c>
      <c r="AO248" s="4">
        <f t="shared" si="27"/>
        <v>19.171693749999932</v>
      </c>
      <c r="AP248" s="4">
        <f t="shared" si="28"/>
        <v>27.953399374999897</v>
      </c>
      <c r="AQ248" s="10">
        <f t="shared" si="29"/>
        <v>42.335490999999848</v>
      </c>
      <c r="AR248" s="10">
        <f t="shared" si="30"/>
        <v>47.038964050099828</v>
      </c>
      <c r="AS248" s="10">
        <f t="shared" si="31"/>
        <v>65.907892388799766</v>
      </c>
    </row>
    <row r="249" spans="1:45" x14ac:dyDescent="0.3">
      <c r="A249">
        <v>2025</v>
      </c>
      <c r="B249">
        <v>4</v>
      </c>
      <c r="C249" t="s">
        <v>55</v>
      </c>
      <c r="D249">
        <v>10</v>
      </c>
      <c r="E249" t="s">
        <v>36</v>
      </c>
      <c r="F249" t="s">
        <v>37</v>
      </c>
      <c r="G249" t="s">
        <v>38</v>
      </c>
      <c r="H249" t="s">
        <v>83</v>
      </c>
      <c r="I249" t="s">
        <v>375</v>
      </c>
      <c r="J249" t="s">
        <v>376</v>
      </c>
      <c r="K249" t="s">
        <v>59</v>
      </c>
      <c r="M249">
        <v>2503061</v>
      </c>
      <c r="N249" t="s">
        <v>377</v>
      </c>
      <c r="O249" t="s">
        <v>36</v>
      </c>
      <c r="Q249" t="s">
        <v>62</v>
      </c>
      <c r="R249" t="s">
        <v>378</v>
      </c>
      <c r="S249" t="s">
        <v>378</v>
      </c>
      <c r="T249" t="s">
        <v>47</v>
      </c>
      <c r="U249" t="s">
        <v>420</v>
      </c>
      <c r="V249" t="s">
        <v>49</v>
      </c>
      <c r="W249" t="s">
        <v>421</v>
      </c>
      <c r="X249" t="s">
        <v>51</v>
      </c>
      <c r="Y249" t="s">
        <v>408</v>
      </c>
      <c r="Z249" t="s">
        <v>408</v>
      </c>
      <c r="AA249" t="s">
        <v>409</v>
      </c>
      <c r="AB249" s="3">
        <f t="shared" si="24"/>
        <v>4</v>
      </c>
      <c r="AC249">
        <v>41.46</v>
      </c>
      <c r="AD249" s="2">
        <v>10.365</v>
      </c>
      <c r="AE249" s="2">
        <v>60.35</v>
      </c>
      <c r="AF249" s="2">
        <v>0.24</v>
      </c>
      <c r="AG249" s="2">
        <v>102.05</v>
      </c>
      <c r="AH249">
        <v>0</v>
      </c>
      <c r="AI249">
        <v>25.512499999999999</v>
      </c>
      <c r="AJ249">
        <v>0.51024999999999998</v>
      </c>
      <c r="AK249" t="s">
        <v>54</v>
      </c>
      <c r="AL249">
        <v>2.88</v>
      </c>
      <c r="AM249" s="4">
        <f t="shared" si="25"/>
        <v>25.512499999999999</v>
      </c>
      <c r="AN249" s="4">
        <f t="shared" si="26"/>
        <v>19.434374999999999</v>
      </c>
      <c r="AO249" s="4">
        <f t="shared" si="27"/>
        <v>21.591590624999998</v>
      </c>
      <c r="AP249" s="4">
        <f t="shared" si="28"/>
        <v>31.481744062499995</v>
      </c>
      <c r="AQ249" s="10">
        <f t="shared" si="29"/>
        <v>44.36878875</v>
      </c>
      <c r="AR249" s="10">
        <f t="shared" si="30"/>
        <v>49.298161180125</v>
      </c>
      <c r="AS249" s="10">
        <f t="shared" si="31"/>
        <v>69.073330326000004</v>
      </c>
    </row>
    <row r="250" spans="1:45" x14ac:dyDescent="0.3">
      <c r="A250">
        <v>2025</v>
      </c>
      <c r="B250">
        <v>4</v>
      </c>
      <c r="C250" t="s">
        <v>55</v>
      </c>
      <c r="D250">
        <v>10</v>
      </c>
      <c r="E250" t="s">
        <v>36</v>
      </c>
      <c r="F250" t="s">
        <v>37</v>
      </c>
      <c r="G250" t="s">
        <v>38</v>
      </c>
      <c r="H250" t="s">
        <v>83</v>
      </c>
      <c r="I250" t="s">
        <v>375</v>
      </c>
      <c r="J250" t="s">
        <v>376</v>
      </c>
      <c r="K250" t="s">
        <v>59</v>
      </c>
      <c r="M250">
        <v>2503061</v>
      </c>
      <c r="N250" t="s">
        <v>377</v>
      </c>
      <c r="O250" t="s">
        <v>36</v>
      </c>
      <c r="Q250" t="s">
        <v>62</v>
      </c>
      <c r="R250" t="s">
        <v>378</v>
      </c>
      <c r="S250" t="s">
        <v>378</v>
      </c>
      <c r="T250" t="s">
        <v>47</v>
      </c>
      <c r="U250" t="s">
        <v>420</v>
      </c>
      <c r="V250" t="s">
        <v>49</v>
      </c>
      <c r="W250" t="s">
        <v>421</v>
      </c>
      <c r="X250" t="s">
        <v>51</v>
      </c>
      <c r="Y250" t="s">
        <v>408</v>
      </c>
      <c r="Z250" t="s">
        <v>408</v>
      </c>
      <c r="AA250" t="s">
        <v>422</v>
      </c>
      <c r="AB250" s="3">
        <f t="shared" si="24"/>
        <v>3.3100000000000018</v>
      </c>
      <c r="AC250">
        <v>103.99</v>
      </c>
      <c r="AD250" s="2">
        <v>31.416918429003001</v>
      </c>
      <c r="AE250" s="2">
        <v>45.26</v>
      </c>
      <c r="AF250" s="2">
        <v>0.7</v>
      </c>
      <c r="AG250" s="2">
        <v>149.96</v>
      </c>
      <c r="AH250">
        <v>0</v>
      </c>
      <c r="AI250">
        <v>45.305135951662002</v>
      </c>
      <c r="AJ250">
        <v>0.74980000000000002</v>
      </c>
      <c r="AK250" t="s">
        <v>54</v>
      </c>
      <c r="AL250">
        <v>2.16</v>
      </c>
      <c r="AM250" s="4">
        <f t="shared" si="25"/>
        <v>45.305135951661612</v>
      </c>
      <c r="AN250" s="4">
        <f t="shared" si="26"/>
        <v>58.90672205438063</v>
      </c>
      <c r="AO250" s="4">
        <f t="shared" si="27"/>
        <v>65.445368202416873</v>
      </c>
      <c r="AP250" s="4">
        <f t="shared" si="28"/>
        <v>95.422999055891182</v>
      </c>
      <c r="AQ250" s="10">
        <f t="shared" si="29"/>
        <v>78.790161933534719</v>
      </c>
      <c r="AR250" s="10">
        <f t="shared" si="30"/>
        <v>87.543748924350425</v>
      </c>
      <c r="AS250" s="10">
        <f t="shared" si="31"/>
        <v>122.66052409812684</v>
      </c>
    </row>
    <row r="251" spans="1:45" x14ac:dyDescent="0.3">
      <c r="A251">
        <v>2025</v>
      </c>
      <c r="B251">
        <v>4</v>
      </c>
      <c r="C251" t="s">
        <v>55</v>
      </c>
      <c r="D251">
        <v>10</v>
      </c>
      <c r="E251" t="s">
        <v>36</v>
      </c>
      <c r="F251" t="s">
        <v>37</v>
      </c>
      <c r="G251" t="s">
        <v>38</v>
      </c>
      <c r="H251" t="s">
        <v>78</v>
      </c>
      <c r="I251" t="s">
        <v>375</v>
      </c>
      <c r="J251" t="s">
        <v>376</v>
      </c>
      <c r="K251" t="s">
        <v>59</v>
      </c>
      <c r="M251">
        <v>2503061</v>
      </c>
      <c r="N251" t="s">
        <v>377</v>
      </c>
      <c r="O251" t="s">
        <v>36</v>
      </c>
      <c r="Q251" t="s">
        <v>62</v>
      </c>
      <c r="R251" t="s">
        <v>378</v>
      </c>
      <c r="S251" t="s">
        <v>378</v>
      </c>
      <c r="T251" t="s">
        <v>47</v>
      </c>
      <c r="U251" t="s">
        <v>118</v>
      </c>
      <c r="V251" t="s">
        <v>49</v>
      </c>
      <c r="W251" t="s">
        <v>119</v>
      </c>
      <c r="X251" t="s">
        <v>51</v>
      </c>
      <c r="Y251" t="s">
        <v>408</v>
      </c>
      <c r="Z251" t="s">
        <v>408</v>
      </c>
      <c r="AA251" t="s">
        <v>423</v>
      </c>
      <c r="AB251" s="3">
        <f t="shared" si="24"/>
        <v>3.3099999999999561</v>
      </c>
      <c r="AC251">
        <v>54.37</v>
      </c>
      <c r="AD251" s="2">
        <v>16.425981873112001</v>
      </c>
      <c r="AE251" s="2">
        <v>45.26</v>
      </c>
      <c r="AF251" s="2">
        <v>0.35</v>
      </c>
      <c r="AG251" s="2">
        <v>99.98</v>
      </c>
      <c r="AH251">
        <v>0</v>
      </c>
      <c r="AI251">
        <v>30.205438066465</v>
      </c>
      <c r="AJ251">
        <v>0.49990000000000001</v>
      </c>
      <c r="AK251" t="s">
        <v>54</v>
      </c>
      <c r="AL251">
        <v>2.16</v>
      </c>
      <c r="AM251" s="4">
        <f t="shared" si="25"/>
        <v>30.205438066465657</v>
      </c>
      <c r="AN251" s="4">
        <f t="shared" si="26"/>
        <v>30.798716012085002</v>
      </c>
      <c r="AO251" s="4">
        <f t="shared" si="27"/>
        <v>34.217373489426436</v>
      </c>
      <c r="AP251" s="4">
        <f t="shared" si="28"/>
        <v>49.890840067976491</v>
      </c>
      <c r="AQ251" s="10">
        <f t="shared" si="29"/>
        <v>52.530277341390423</v>
      </c>
      <c r="AR251" s="10">
        <f t="shared" si="30"/>
        <v>58.366391154018899</v>
      </c>
      <c r="AS251" s="10">
        <f t="shared" si="31"/>
        <v>81.779135765076603</v>
      </c>
    </row>
    <row r="252" spans="1:45" x14ac:dyDescent="0.3">
      <c r="A252">
        <v>2025</v>
      </c>
      <c r="B252">
        <v>11</v>
      </c>
      <c r="C252" t="s">
        <v>55</v>
      </c>
      <c r="D252">
        <v>10</v>
      </c>
      <c r="E252" t="s">
        <v>36</v>
      </c>
      <c r="F252" t="s">
        <v>37</v>
      </c>
      <c r="G252" t="s">
        <v>38</v>
      </c>
      <c r="H252" t="s">
        <v>78</v>
      </c>
      <c r="I252" t="s">
        <v>375</v>
      </c>
      <c r="J252" t="s">
        <v>376</v>
      </c>
      <c r="K252" t="s">
        <v>51</v>
      </c>
      <c r="L252" t="s">
        <v>1622</v>
      </c>
      <c r="M252" t="s">
        <v>1623</v>
      </c>
      <c r="N252" t="s">
        <v>1485</v>
      </c>
      <c r="O252" t="s">
        <v>1197</v>
      </c>
      <c r="Q252" t="s">
        <v>62</v>
      </c>
      <c r="R252" t="s">
        <v>1624</v>
      </c>
      <c r="S252" t="s">
        <v>1624</v>
      </c>
      <c r="T252" t="s">
        <v>47</v>
      </c>
      <c r="U252" t="s">
        <v>118</v>
      </c>
      <c r="V252" t="s">
        <v>49</v>
      </c>
      <c r="W252" t="s">
        <v>714</v>
      </c>
      <c r="X252" t="s">
        <v>51</v>
      </c>
      <c r="Y252" t="s">
        <v>207</v>
      </c>
      <c r="Z252" t="s">
        <v>207</v>
      </c>
      <c r="AA252" t="s">
        <v>502</v>
      </c>
      <c r="AB252" s="3">
        <f t="shared" si="24"/>
        <v>2</v>
      </c>
      <c r="AC252">
        <v>56.61</v>
      </c>
      <c r="AD252" s="2">
        <v>28.305</v>
      </c>
      <c r="AE252" s="2">
        <v>30.17</v>
      </c>
      <c r="AF252" s="2">
        <v>0.38</v>
      </c>
      <c r="AG252" s="2">
        <v>87.16</v>
      </c>
      <c r="AH252">
        <v>0</v>
      </c>
      <c r="AI252">
        <v>43.58</v>
      </c>
      <c r="AJ252">
        <v>0.43580000000000002</v>
      </c>
      <c r="AK252" t="s">
        <v>54</v>
      </c>
      <c r="AL252">
        <v>1.44</v>
      </c>
      <c r="AM252" s="4">
        <f t="shared" si="25"/>
        <v>43.58</v>
      </c>
      <c r="AN252" s="4">
        <f t="shared" si="26"/>
        <v>53.071874999999999</v>
      </c>
      <c r="AO252" s="4">
        <f t="shared" si="27"/>
        <v>58.962853124999995</v>
      </c>
      <c r="AP252" s="4">
        <f t="shared" si="28"/>
        <v>85.971130312499994</v>
      </c>
      <c r="AQ252" s="10">
        <f t="shared" si="29"/>
        <v>75.789978000000005</v>
      </c>
      <c r="AR252" s="10">
        <f t="shared" si="30"/>
        <v>84.210244555800003</v>
      </c>
      <c r="AS252" s="10">
        <f t="shared" si="31"/>
        <v>117.9898377504</v>
      </c>
    </row>
    <row r="253" spans="1:45" x14ac:dyDescent="0.3">
      <c r="A253">
        <v>2025</v>
      </c>
      <c r="B253">
        <v>12</v>
      </c>
      <c r="C253" t="s">
        <v>55</v>
      </c>
      <c r="D253">
        <v>10</v>
      </c>
      <c r="E253" t="s">
        <v>36</v>
      </c>
      <c r="F253" t="s">
        <v>37</v>
      </c>
      <c r="G253" t="s">
        <v>38</v>
      </c>
      <c r="H253" t="s">
        <v>78</v>
      </c>
      <c r="I253" t="s">
        <v>57</v>
      </c>
      <c r="J253" t="s">
        <v>58</v>
      </c>
      <c r="K253" t="s">
        <v>59</v>
      </c>
      <c r="L253" t="s">
        <v>1769</v>
      </c>
      <c r="M253" t="s">
        <v>1770</v>
      </c>
      <c r="N253" t="s">
        <v>1771</v>
      </c>
      <c r="O253" t="s">
        <v>1197</v>
      </c>
      <c r="Q253" t="s">
        <v>62</v>
      </c>
      <c r="R253" t="s">
        <v>1772</v>
      </c>
      <c r="S253" t="s">
        <v>1772</v>
      </c>
      <c r="T253" t="s">
        <v>47</v>
      </c>
      <c r="U253" t="s">
        <v>118</v>
      </c>
      <c r="V253" t="s">
        <v>49</v>
      </c>
      <c r="W253" t="s">
        <v>714</v>
      </c>
      <c r="X253" t="s">
        <v>51</v>
      </c>
      <c r="Y253" t="s">
        <v>1349</v>
      </c>
      <c r="Z253" t="s">
        <v>1349</v>
      </c>
      <c r="AA253" t="s">
        <v>502</v>
      </c>
      <c r="AB253" s="3">
        <f t="shared" si="24"/>
        <v>1</v>
      </c>
      <c r="AC253">
        <v>22.77</v>
      </c>
      <c r="AD253" s="2">
        <v>22.77</v>
      </c>
      <c r="AE253" s="2">
        <v>3.19</v>
      </c>
      <c r="AF253" s="2">
        <v>0.16</v>
      </c>
      <c r="AG253" s="2">
        <v>26.12</v>
      </c>
      <c r="AH253">
        <v>0</v>
      </c>
      <c r="AI253">
        <v>26.12</v>
      </c>
      <c r="AJ253">
        <v>0.13059999999999999</v>
      </c>
      <c r="AK253" t="s">
        <v>54</v>
      </c>
      <c r="AL253">
        <v>0.12</v>
      </c>
      <c r="AM253" s="4">
        <f t="shared" si="25"/>
        <v>26.12</v>
      </c>
      <c r="AN253" s="4">
        <f t="shared" si="26"/>
        <v>42.693750000000001</v>
      </c>
      <c r="AO253" s="4">
        <f t="shared" si="27"/>
        <v>47.432756250000004</v>
      </c>
      <c r="AP253" s="4">
        <f t="shared" si="28"/>
        <v>69.159605624999998</v>
      </c>
      <c r="AQ253" s="10">
        <f t="shared" si="29"/>
        <v>45.425292000000006</v>
      </c>
      <c r="AR253" s="10">
        <f t="shared" si="30"/>
        <v>50.472041941200004</v>
      </c>
      <c r="AS253" s="10">
        <f t="shared" si="31"/>
        <v>70.718094585600014</v>
      </c>
    </row>
    <row r="254" spans="1:45" x14ac:dyDescent="0.3">
      <c r="A254">
        <v>2025</v>
      </c>
      <c r="B254">
        <v>3</v>
      </c>
      <c r="C254" t="s">
        <v>55</v>
      </c>
      <c r="D254">
        <v>10</v>
      </c>
      <c r="E254" t="s">
        <v>36</v>
      </c>
      <c r="F254" t="s">
        <v>37</v>
      </c>
      <c r="G254" t="s">
        <v>38</v>
      </c>
      <c r="H254" t="s">
        <v>78</v>
      </c>
      <c r="I254" t="s">
        <v>190</v>
      </c>
      <c r="J254" t="s">
        <v>58</v>
      </c>
      <c r="K254" t="s">
        <v>59</v>
      </c>
      <c r="M254" t="s">
        <v>213</v>
      </c>
      <c r="N254" t="s">
        <v>61</v>
      </c>
      <c r="O254" t="s">
        <v>43</v>
      </c>
      <c r="Q254" t="s">
        <v>62</v>
      </c>
      <c r="R254" t="s">
        <v>214</v>
      </c>
      <c r="S254" t="s">
        <v>215</v>
      </c>
      <c r="T254" t="s">
        <v>47</v>
      </c>
      <c r="U254" t="s">
        <v>118</v>
      </c>
      <c r="V254" t="s">
        <v>49</v>
      </c>
      <c r="W254" t="s">
        <v>119</v>
      </c>
      <c r="X254" t="s">
        <v>51</v>
      </c>
      <c r="Y254" t="s">
        <v>1071</v>
      </c>
      <c r="Z254" t="s">
        <v>1071</v>
      </c>
      <c r="AA254" t="s">
        <v>502</v>
      </c>
      <c r="AB254" s="3">
        <f t="shared" si="24"/>
        <v>3</v>
      </c>
      <c r="AC254">
        <v>71.64</v>
      </c>
      <c r="AD254" s="2">
        <v>23.88</v>
      </c>
      <c r="AE254" s="2">
        <v>21.27</v>
      </c>
      <c r="AF254" s="2">
        <v>0.54</v>
      </c>
      <c r="AG254" s="2">
        <v>93.45</v>
      </c>
      <c r="AH254">
        <v>0</v>
      </c>
      <c r="AI254">
        <v>31.15</v>
      </c>
      <c r="AJ254">
        <v>0.46725</v>
      </c>
      <c r="AK254" t="s">
        <v>54</v>
      </c>
      <c r="AL254">
        <v>0.53</v>
      </c>
      <c r="AM254" s="4">
        <f t="shared" si="25"/>
        <v>31.150000000000002</v>
      </c>
      <c r="AN254" s="4">
        <f t="shared" si="26"/>
        <v>44.774999999999999</v>
      </c>
      <c r="AO254" s="4">
        <f t="shared" si="27"/>
        <v>49.745024999999998</v>
      </c>
      <c r="AP254" s="4">
        <f t="shared" si="28"/>
        <v>72.531022499999992</v>
      </c>
      <c r="AQ254" s="10">
        <f t="shared" si="29"/>
        <v>54.172965000000005</v>
      </c>
      <c r="AR254" s="10">
        <f t="shared" si="30"/>
        <v>60.191581411500003</v>
      </c>
      <c r="AS254" s="10">
        <f t="shared" si="31"/>
        <v>84.336471912000007</v>
      </c>
    </row>
    <row r="255" spans="1:45" x14ac:dyDescent="0.3">
      <c r="A255">
        <v>2025</v>
      </c>
      <c r="B255">
        <v>4</v>
      </c>
      <c r="C255" t="s">
        <v>55</v>
      </c>
      <c r="D255">
        <v>10</v>
      </c>
      <c r="E255" t="s">
        <v>36</v>
      </c>
      <c r="F255" t="s">
        <v>37</v>
      </c>
      <c r="G255" t="s">
        <v>38</v>
      </c>
      <c r="H255" t="s">
        <v>78</v>
      </c>
      <c r="I255" t="s">
        <v>375</v>
      </c>
      <c r="J255" t="s">
        <v>376</v>
      </c>
      <c r="K255" t="s">
        <v>59</v>
      </c>
      <c r="M255">
        <v>2503061</v>
      </c>
      <c r="N255" t="s">
        <v>377</v>
      </c>
      <c r="O255" t="s">
        <v>36</v>
      </c>
      <c r="Q255" t="s">
        <v>62</v>
      </c>
      <c r="R255" t="s">
        <v>378</v>
      </c>
      <c r="S255" t="s">
        <v>378</v>
      </c>
      <c r="T255" t="s">
        <v>47</v>
      </c>
      <c r="U255" t="s">
        <v>118</v>
      </c>
      <c r="V255" t="s">
        <v>49</v>
      </c>
      <c r="W255" t="s">
        <v>119</v>
      </c>
      <c r="X255" t="s">
        <v>51</v>
      </c>
      <c r="Y255" t="s">
        <v>130</v>
      </c>
      <c r="Z255" t="s">
        <v>64</v>
      </c>
      <c r="AA255" t="s">
        <v>334</v>
      </c>
      <c r="AB255" s="3">
        <f t="shared" si="24"/>
        <v>3</v>
      </c>
      <c r="AC255">
        <v>51.6</v>
      </c>
      <c r="AD255" s="2">
        <v>17.2</v>
      </c>
      <c r="AE255" s="2">
        <v>10.83</v>
      </c>
      <c r="AF255" s="2">
        <v>0.38</v>
      </c>
      <c r="AG255" s="2">
        <v>62.81</v>
      </c>
      <c r="AH255">
        <v>0</v>
      </c>
      <c r="AI255">
        <v>20.936666666667001</v>
      </c>
      <c r="AJ255">
        <v>0.31405</v>
      </c>
      <c r="AK255" t="s">
        <v>54</v>
      </c>
      <c r="AL255">
        <v>5.83</v>
      </c>
      <c r="AM255" s="4">
        <f t="shared" si="25"/>
        <v>20.936666666666667</v>
      </c>
      <c r="AN255" s="4">
        <f t="shared" si="26"/>
        <v>32.25</v>
      </c>
      <c r="AO255" s="4">
        <f t="shared" si="27"/>
        <v>35.829749999999997</v>
      </c>
      <c r="AP255" s="4">
        <f t="shared" si="28"/>
        <v>52.241774999999997</v>
      </c>
      <c r="AQ255" s="10">
        <f t="shared" si="29"/>
        <v>36.410957000000003</v>
      </c>
      <c r="AR255" s="10">
        <f t="shared" si="30"/>
        <v>40.456214322700006</v>
      </c>
      <c r="AS255" s="10">
        <f t="shared" si="31"/>
        <v>56.684577857600004</v>
      </c>
    </row>
    <row r="256" spans="1:45" x14ac:dyDescent="0.3">
      <c r="A256">
        <v>2025</v>
      </c>
      <c r="B256">
        <v>7</v>
      </c>
      <c r="C256" t="s">
        <v>55</v>
      </c>
      <c r="D256">
        <v>10</v>
      </c>
      <c r="E256" t="s">
        <v>36</v>
      </c>
      <c r="F256" t="s">
        <v>37</v>
      </c>
      <c r="G256" t="s">
        <v>38</v>
      </c>
      <c r="H256" t="s">
        <v>78</v>
      </c>
      <c r="I256" t="s">
        <v>190</v>
      </c>
      <c r="J256" t="s">
        <v>58</v>
      </c>
      <c r="K256" t="s">
        <v>41</v>
      </c>
      <c r="L256" t="s">
        <v>953</v>
      </c>
      <c r="M256" t="s">
        <v>954</v>
      </c>
      <c r="N256" t="s">
        <v>731</v>
      </c>
      <c r="O256" t="s">
        <v>36</v>
      </c>
      <c r="Q256" t="s">
        <v>62</v>
      </c>
      <c r="R256" t="s">
        <v>955</v>
      </c>
      <c r="S256" t="s">
        <v>956</v>
      </c>
      <c r="T256" t="s">
        <v>47</v>
      </c>
      <c r="U256" t="s">
        <v>114</v>
      </c>
      <c r="V256" t="s">
        <v>49</v>
      </c>
      <c r="W256" t="s">
        <v>710</v>
      </c>
      <c r="X256" t="s">
        <v>51</v>
      </c>
      <c r="Y256" t="s">
        <v>130</v>
      </c>
      <c r="Z256" t="s">
        <v>130</v>
      </c>
      <c r="AA256" t="s">
        <v>334</v>
      </c>
      <c r="AB256" s="3">
        <f t="shared" si="24"/>
        <v>3.0000000000000475</v>
      </c>
      <c r="AC256">
        <v>63.01</v>
      </c>
      <c r="AD256" s="2">
        <v>21.003333333333</v>
      </c>
      <c r="AE256" s="2">
        <v>45.26</v>
      </c>
      <c r="AF256" s="2">
        <v>0.41</v>
      </c>
      <c r="AG256" s="2">
        <v>108.68</v>
      </c>
      <c r="AH256">
        <v>0</v>
      </c>
      <c r="AI256">
        <v>36.226666666667001</v>
      </c>
      <c r="AJ256">
        <v>0.54339999999999999</v>
      </c>
      <c r="AK256" t="s">
        <v>54</v>
      </c>
      <c r="AL256">
        <v>2.16</v>
      </c>
      <c r="AM256" s="4">
        <f t="shared" si="25"/>
        <v>36.226666666666098</v>
      </c>
      <c r="AN256" s="4">
        <f t="shared" si="26"/>
        <v>39.381249999999376</v>
      </c>
      <c r="AO256" s="4">
        <f t="shared" si="27"/>
        <v>43.752568749999305</v>
      </c>
      <c r="AP256" s="4">
        <f t="shared" si="28"/>
        <v>63.793686874998983</v>
      </c>
      <c r="AQ256" s="10">
        <f t="shared" si="29"/>
        <v>63.001795999999011</v>
      </c>
      <c r="AR256" s="10">
        <f t="shared" si="30"/>
        <v>70.001295535598899</v>
      </c>
      <c r="AS256" s="10">
        <f t="shared" si="31"/>
        <v>98.081196012798458</v>
      </c>
    </row>
    <row r="257" spans="1:45" x14ac:dyDescent="0.3">
      <c r="A257">
        <v>2025</v>
      </c>
      <c r="B257">
        <v>10</v>
      </c>
      <c r="C257" t="s">
        <v>55</v>
      </c>
      <c r="D257">
        <v>10</v>
      </c>
      <c r="E257" t="s">
        <v>36</v>
      </c>
      <c r="F257" t="s">
        <v>37</v>
      </c>
      <c r="G257" t="s">
        <v>38</v>
      </c>
      <c r="H257" t="s">
        <v>78</v>
      </c>
      <c r="I257" t="s">
        <v>375</v>
      </c>
      <c r="J257" t="s">
        <v>376</v>
      </c>
      <c r="K257" t="s">
        <v>59</v>
      </c>
      <c r="L257" t="s">
        <v>1549</v>
      </c>
      <c r="M257" t="s">
        <v>1550</v>
      </c>
      <c r="N257" t="s">
        <v>1551</v>
      </c>
      <c r="O257" t="s">
        <v>1197</v>
      </c>
      <c r="Q257" t="s">
        <v>62</v>
      </c>
      <c r="R257" t="s">
        <v>1552</v>
      </c>
      <c r="S257" t="s">
        <v>1552</v>
      </c>
      <c r="T257" t="s">
        <v>47</v>
      </c>
      <c r="U257" t="s">
        <v>118</v>
      </c>
      <c r="V257" t="s">
        <v>49</v>
      </c>
      <c r="W257" t="s">
        <v>714</v>
      </c>
      <c r="X257" t="s">
        <v>51</v>
      </c>
      <c r="Y257" t="s">
        <v>1071</v>
      </c>
      <c r="Z257" t="s">
        <v>1071</v>
      </c>
      <c r="AA257" t="s">
        <v>334</v>
      </c>
      <c r="AB257" s="3">
        <f t="shared" si="24"/>
        <v>4</v>
      </c>
      <c r="AC257">
        <v>76.930000000000007</v>
      </c>
      <c r="AD257" s="2">
        <v>19.232500000000002</v>
      </c>
      <c r="AE257" s="2">
        <v>116.17</v>
      </c>
      <c r="AF257" s="2">
        <v>0.44</v>
      </c>
      <c r="AG257" s="2">
        <v>193.54</v>
      </c>
      <c r="AH257">
        <v>0</v>
      </c>
      <c r="AI257">
        <v>48.384999999999998</v>
      </c>
      <c r="AJ257">
        <v>0.9677</v>
      </c>
      <c r="AK257" t="s">
        <v>54</v>
      </c>
      <c r="AL257">
        <v>8.6999999999999993</v>
      </c>
      <c r="AM257" s="4">
        <f t="shared" si="25"/>
        <v>48.384999999999998</v>
      </c>
      <c r="AN257" s="4">
        <f t="shared" si="26"/>
        <v>36.060937500000001</v>
      </c>
      <c r="AO257" s="4">
        <f t="shared" si="27"/>
        <v>40.0637015625</v>
      </c>
      <c r="AP257" s="4">
        <f t="shared" si="28"/>
        <v>58.415112656249995</v>
      </c>
      <c r="AQ257" s="10">
        <f t="shared" si="29"/>
        <v>84.146353500000004</v>
      </c>
      <c r="AR257" s="10">
        <f t="shared" si="30"/>
        <v>93.49501337385</v>
      </c>
      <c r="AS257" s="10">
        <f t="shared" si="31"/>
        <v>130.9990431288</v>
      </c>
    </row>
    <row r="258" spans="1:45" x14ac:dyDescent="0.3">
      <c r="A258">
        <v>2025</v>
      </c>
      <c r="B258">
        <v>11</v>
      </c>
      <c r="C258" t="s">
        <v>55</v>
      </c>
      <c r="D258">
        <v>10</v>
      </c>
      <c r="E258" t="s">
        <v>36</v>
      </c>
      <c r="F258" t="s">
        <v>37</v>
      </c>
      <c r="G258" t="s">
        <v>38</v>
      </c>
      <c r="H258" t="s">
        <v>78</v>
      </c>
      <c r="I258" t="s">
        <v>375</v>
      </c>
      <c r="J258" t="s">
        <v>376</v>
      </c>
      <c r="K258" t="s">
        <v>51</v>
      </c>
      <c r="L258" t="s">
        <v>1622</v>
      </c>
      <c r="M258" t="s">
        <v>1623</v>
      </c>
      <c r="N258" t="s">
        <v>1485</v>
      </c>
      <c r="O258" t="s">
        <v>1197</v>
      </c>
      <c r="Q258" t="s">
        <v>62</v>
      </c>
      <c r="R258" t="s">
        <v>1624</v>
      </c>
      <c r="S258" t="s">
        <v>1624</v>
      </c>
      <c r="T258" t="s">
        <v>47</v>
      </c>
      <c r="U258" t="s">
        <v>118</v>
      </c>
      <c r="V258" t="s">
        <v>49</v>
      </c>
      <c r="W258" t="s">
        <v>714</v>
      </c>
      <c r="X258" t="s">
        <v>51</v>
      </c>
      <c r="Y258" t="s">
        <v>1071</v>
      </c>
      <c r="Z258" t="s">
        <v>1071</v>
      </c>
      <c r="AA258" t="s">
        <v>334</v>
      </c>
      <c r="AB258" s="3">
        <f t="shared" si="24"/>
        <v>4</v>
      </c>
      <c r="AC258">
        <v>67.77</v>
      </c>
      <c r="AD258" s="2">
        <v>16.942499999999999</v>
      </c>
      <c r="AE258" s="2">
        <v>30.98</v>
      </c>
      <c r="AF258" s="2">
        <v>0.6</v>
      </c>
      <c r="AG258" s="2">
        <v>99.35</v>
      </c>
      <c r="AH258">
        <v>0</v>
      </c>
      <c r="AI258">
        <v>24.837499999999999</v>
      </c>
      <c r="AJ258">
        <v>0.49675000000000002</v>
      </c>
      <c r="AK258" t="s">
        <v>54</v>
      </c>
      <c r="AL258">
        <v>1.4</v>
      </c>
      <c r="AM258" s="4">
        <f t="shared" si="25"/>
        <v>24.837499999999999</v>
      </c>
      <c r="AN258" s="4">
        <f t="shared" si="26"/>
        <v>31.767187499999999</v>
      </c>
      <c r="AO258" s="4">
        <f t="shared" si="27"/>
        <v>35.293345312500001</v>
      </c>
      <c r="AP258" s="4">
        <f t="shared" si="28"/>
        <v>51.459667031249992</v>
      </c>
      <c r="AQ258" s="10">
        <f t="shared" si="29"/>
        <v>43.194896249999999</v>
      </c>
      <c r="AR258" s="10">
        <f t="shared" si="30"/>
        <v>47.993849223375001</v>
      </c>
      <c r="AS258" s="10">
        <f t="shared" si="31"/>
        <v>67.245814482</v>
      </c>
    </row>
    <row r="259" spans="1:45" x14ac:dyDescent="0.3">
      <c r="A259">
        <v>2025</v>
      </c>
      <c r="B259">
        <v>4</v>
      </c>
      <c r="C259" t="s">
        <v>55</v>
      </c>
      <c r="D259">
        <v>10</v>
      </c>
      <c r="E259" t="s">
        <v>36</v>
      </c>
      <c r="F259" t="s">
        <v>37</v>
      </c>
      <c r="G259" t="s">
        <v>38</v>
      </c>
      <c r="H259" t="s">
        <v>101</v>
      </c>
      <c r="I259" t="s">
        <v>375</v>
      </c>
      <c r="J259" t="s">
        <v>376</v>
      </c>
      <c r="K259" t="s">
        <v>59</v>
      </c>
      <c r="M259">
        <v>2503061</v>
      </c>
      <c r="N259" t="s">
        <v>377</v>
      </c>
      <c r="O259" t="s">
        <v>36</v>
      </c>
      <c r="Q259" t="s">
        <v>62</v>
      </c>
      <c r="R259" t="s">
        <v>378</v>
      </c>
      <c r="S259" t="s">
        <v>378</v>
      </c>
      <c r="T259" t="s">
        <v>47</v>
      </c>
      <c r="U259" t="s">
        <v>464</v>
      </c>
      <c r="V259" t="s">
        <v>49</v>
      </c>
      <c r="W259" t="s">
        <v>465</v>
      </c>
      <c r="X259" t="s">
        <v>51</v>
      </c>
      <c r="Y259" t="s">
        <v>1349</v>
      </c>
      <c r="Z259" t="s">
        <v>1349</v>
      </c>
      <c r="AA259" t="s">
        <v>334</v>
      </c>
      <c r="AB259" s="3">
        <f t="shared" ref="AB259:AB322" si="32">SUM(AC259/AD259)</f>
        <v>4</v>
      </c>
      <c r="AC259">
        <v>65.989999999999995</v>
      </c>
      <c r="AD259" s="2">
        <v>16.497499999999999</v>
      </c>
      <c r="AE259" s="2">
        <v>9.24</v>
      </c>
      <c r="AF259" s="2">
        <v>0.46</v>
      </c>
      <c r="AG259" s="2">
        <v>75.69</v>
      </c>
      <c r="AH259">
        <v>0</v>
      </c>
      <c r="AI259">
        <v>18.922499999999999</v>
      </c>
      <c r="AJ259">
        <v>0.37845000000000001</v>
      </c>
      <c r="AK259" t="s">
        <v>54</v>
      </c>
      <c r="AL259">
        <v>0.5</v>
      </c>
      <c r="AM259" s="4">
        <f t="shared" ref="AM259:AM322" si="33">SUM(AG259/AB259)</f>
        <v>18.922499999999999</v>
      </c>
      <c r="AN259" s="4">
        <f t="shared" ref="AN259:AN322" si="34">SUM(AD259*1.875)</f>
        <v>30.932812499999997</v>
      </c>
      <c r="AO259" s="4">
        <f t="shared" si="27"/>
        <v>34.366354687499999</v>
      </c>
      <c r="AP259" s="4">
        <f t="shared" si="28"/>
        <v>50.108062968749991</v>
      </c>
      <c r="AQ259" s="10">
        <f t="shared" si="29"/>
        <v>32.908119749999997</v>
      </c>
      <c r="AR259" s="10">
        <f t="shared" si="30"/>
        <v>36.564211854224993</v>
      </c>
      <c r="AS259" s="10">
        <f t="shared" si="31"/>
        <v>51.231360826799992</v>
      </c>
    </row>
    <row r="260" spans="1:45" x14ac:dyDescent="0.3">
      <c r="A260">
        <v>2025</v>
      </c>
      <c r="B260">
        <v>4</v>
      </c>
      <c r="C260" t="s">
        <v>55</v>
      </c>
      <c r="D260">
        <v>10</v>
      </c>
      <c r="E260" t="s">
        <v>36</v>
      </c>
      <c r="F260" t="s">
        <v>37</v>
      </c>
      <c r="G260" t="s">
        <v>38</v>
      </c>
      <c r="H260" t="s">
        <v>141</v>
      </c>
      <c r="I260" t="s">
        <v>375</v>
      </c>
      <c r="J260" t="s">
        <v>376</v>
      </c>
      <c r="K260" t="s">
        <v>59</v>
      </c>
      <c r="M260">
        <v>2503061</v>
      </c>
      <c r="N260" t="s">
        <v>377</v>
      </c>
      <c r="O260" t="s">
        <v>36</v>
      </c>
      <c r="Q260" t="s">
        <v>62</v>
      </c>
      <c r="R260" t="s">
        <v>378</v>
      </c>
      <c r="S260" t="s">
        <v>378</v>
      </c>
      <c r="T260" t="s">
        <v>47</v>
      </c>
      <c r="U260" t="s">
        <v>167</v>
      </c>
      <c r="V260" t="s">
        <v>49</v>
      </c>
      <c r="W260" t="s">
        <v>168</v>
      </c>
      <c r="X260" t="s">
        <v>51</v>
      </c>
      <c r="Y260" t="s">
        <v>466</v>
      </c>
      <c r="Z260" t="s">
        <v>466</v>
      </c>
      <c r="AA260" t="s">
        <v>467</v>
      </c>
      <c r="AB260" s="3">
        <f t="shared" si="32"/>
        <v>2</v>
      </c>
      <c r="AC260">
        <v>225.61</v>
      </c>
      <c r="AD260" s="2">
        <v>112.80500000000001</v>
      </c>
      <c r="AE260" s="2">
        <v>30.17</v>
      </c>
      <c r="AF260" s="2">
        <v>1.59</v>
      </c>
      <c r="AG260" s="2">
        <v>257.37</v>
      </c>
      <c r="AH260">
        <v>0</v>
      </c>
      <c r="AI260">
        <v>128.685</v>
      </c>
      <c r="AJ260">
        <v>1.28685</v>
      </c>
      <c r="AK260" t="s">
        <v>54</v>
      </c>
      <c r="AL260">
        <v>1.44</v>
      </c>
      <c r="AM260" s="4">
        <f t="shared" si="33"/>
        <v>128.685</v>
      </c>
      <c r="AN260" s="4">
        <f t="shared" si="34"/>
        <v>211.50937500000001</v>
      </c>
      <c r="AO260" s="4">
        <f t="shared" ref="AO260:AO323" si="35">SUM(AN260)*1.111</f>
        <v>234.98691562499999</v>
      </c>
      <c r="AP260" s="4">
        <f t="shared" ref="AP260:AP323" si="36">SUM(AN260)*1.6199</f>
        <v>342.62403656250001</v>
      </c>
      <c r="AQ260" s="10">
        <f t="shared" ref="AQ260:AQ323" si="37">SUM(AM260)*1.7391</f>
        <v>223.79608350000001</v>
      </c>
      <c r="AR260" s="10">
        <f t="shared" ref="AR260:AR323" si="38">SUM(AQ260)*1.1111</f>
        <v>248.65982837685002</v>
      </c>
      <c r="AS260" s="10">
        <f t="shared" ref="AS260:AS323" si="39">SUM(AQ260)*1.5568</f>
        <v>348.40574279280003</v>
      </c>
    </row>
    <row r="261" spans="1:45" x14ac:dyDescent="0.3">
      <c r="A261">
        <v>2025</v>
      </c>
      <c r="B261">
        <v>4</v>
      </c>
      <c r="C261" t="s">
        <v>55</v>
      </c>
      <c r="D261">
        <v>10</v>
      </c>
      <c r="E261" t="s">
        <v>36</v>
      </c>
      <c r="F261" t="s">
        <v>37</v>
      </c>
      <c r="G261" t="s">
        <v>38</v>
      </c>
      <c r="H261" t="s">
        <v>101</v>
      </c>
      <c r="I261" t="s">
        <v>375</v>
      </c>
      <c r="J261" t="s">
        <v>376</v>
      </c>
      <c r="K261" t="s">
        <v>59</v>
      </c>
      <c r="M261">
        <v>2503061</v>
      </c>
      <c r="N261" t="s">
        <v>377</v>
      </c>
      <c r="O261" t="s">
        <v>36</v>
      </c>
      <c r="Q261" t="s">
        <v>62</v>
      </c>
      <c r="R261" t="s">
        <v>378</v>
      </c>
      <c r="S261" t="s">
        <v>378</v>
      </c>
      <c r="T261" t="s">
        <v>47</v>
      </c>
      <c r="U261" t="s">
        <v>393</v>
      </c>
      <c r="V261" t="s">
        <v>49</v>
      </c>
      <c r="W261" t="s">
        <v>394</v>
      </c>
      <c r="X261" t="s">
        <v>51</v>
      </c>
      <c r="Y261" t="s">
        <v>588</v>
      </c>
      <c r="Z261" t="s">
        <v>589</v>
      </c>
      <c r="AA261" t="s">
        <v>595</v>
      </c>
      <c r="AB261" s="3">
        <f t="shared" si="32"/>
        <v>2</v>
      </c>
      <c r="AC261">
        <v>110.41</v>
      </c>
      <c r="AD261" s="2">
        <v>55.204999999999998</v>
      </c>
      <c r="AE261" s="2">
        <v>30.17</v>
      </c>
      <c r="AF261" s="2">
        <v>0.76</v>
      </c>
      <c r="AG261" s="2">
        <v>141.35</v>
      </c>
      <c r="AH261">
        <v>0</v>
      </c>
      <c r="AI261">
        <v>70.674999999999997</v>
      </c>
      <c r="AJ261">
        <v>0.70674999999999999</v>
      </c>
      <c r="AK261" t="s">
        <v>54</v>
      </c>
      <c r="AL261">
        <v>1.44</v>
      </c>
      <c r="AM261" s="4">
        <f t="shared" si="33"/>
        <v>70.674999999999997</v>
      </c>
      <c r="AN261" s="4">
        <f t="shared" si="34"/>
        <v>103.50937499999999</v>
      </c>
      <c r="AO261" s="4">
        <f t="shared" si="35"/>
        <v>114.998915625</v>
      </c>
      <c r="AP261" s="4">
        <f t="shared" si="36"/>
        <v>167.67483656249996</v>
      </c>
      <c r="AQ261" s="10">
        <f t="shared" si="37"/>
        <v>122.9108925</v>
      </c>
      <c r="AR261" s="10">
        <f t="shared" si="38"/>
        <v>136.56629265674999</v>
      </c>
      <c r="AS261" s="10">
        <f t="shared" si="39"/>
        <v>191.347677444</v>
      </c>
    </row>
    <row r="262" spans="1:45" x14ac:dyDescent="0.3">
      <c r="A262">
        <v>2025</v>
      </c>
      <c r="B262">
        <v>4</v>
      </c>
      <c r="C262" t="s">
        <v>55</v>
      </c>
      <c r="D262">
        <v>10</v>
      </c>
      <c r="E262" t="s">
        <v>36</v>
      </c>
      <c r="F262" t="s">
        <v>37</v>
      </c>
      <c r="G262" t="s">
        <v>38</v>
      </c>
      <c r="H262" t="s">
        <v>641</v>
      </c>
      <c r="I262" t="s">
        <v>375</v>
      </c>
      <c r="J262" t="s">
        <v>376</v>
      </c>
      <c r="K262" t="s">
        <v>59</v>
      </c>
      <c r="M262">
        <v>2503061</v>
      </c>
      <c r="N262" t="s">
        <v>377</v>
      </c>
      <c r="O262" t="s">
        <v>36</v>
      </c>
      <c r="Q262" t="s">
        <v>62</v>
      </c>
      <c r="R262" t="s">
        <v>378</v>
      </c>
      <c r="S262" t="s">
        <v>378</v>
      </c>
      <c r="T262" t="s">
        <v>47</v>
      </c>
      <c r="U262" t="s">
        <v>178</v>
      </c>
      <c r="V262" t="s">
        <v>49</v>
      </c>
      <c r="W262" t="s">
        <v>179</v>
      </c>
      <c r="X262" t="s">
        <v>51</v>
      </c>
      <c r="Y262" t="s">
        <v>397</v>
      </c>
      <c r="Z262" t="s">
        <v>397</v>
      </c>
      <c r="AA262" t="s">
        <v>398</v>
      </c>
      <c r="AB262" s="3">
        <f t="shared" si="32"/>
        <v>1</v>
      </c>
      <c r="AC262">
        <v>35.4</v>
      </c>
      <c r="AD262" s="2">
        <v>35.4</v>
      </c>
      <c r="AE262" s="2">
        <v>15.09</v>
      </c>
      <c r="AF262" s="2">
        <v>0.24</v>
      </c>
      <c r="AG262" s="2">
        <v>50.72</v>
      </c>
      <c r="AH262">
        <v>0</v>
      </c>
      <c r="AI262">
        <v>50.72</v>
      </c>
      <c r="AJ262">
        <v>0.25359999999999999</v>
      </c>
      <c r="AK262" t="s">
        <v>54</v>
      </c>
      <c r="AL262">
        <v>0.72</v>
      </c>
      <c r="AM262" s="4">
        <f t="shared" si="33"/>
        <v>50.72</v>
      </c>
      <c r="AN262" s="4">
        <f t="shared" si="34"/>
        <v>66.375</v>
      </c>
      <c r="AO262" s="4">
        <f t="shared" si="35"/>
        <v>73.742625000000004</v>
      </c>
      <c r="AP262" s="4">
        <f t="shared" si="36"/>
        <v>107.52086249999999</v>
      </c>
      <c r="AQ262" s="10">
        <f t="shared" si="37"/>
        <v>88.207152000000008</v>
      </c>
      <c r="AR262" s="10">
        <f t="shared" si="38"/>
        <v>98.006966587200012</v>
      </c>
      <c r="AS262" s="10">
        <f t="shared" si="39"/>
        <v>137.3208942336</v>
      </c>
    </row>
    <row r="263" spans="1:45" x14ac:dyDescent="0.3">
      <c r="A263">
        <v>2025</v>
      </c>
      <c r="B263">
        <v>4</v>
      </c>
      <c r="C263" t="s">
        <v>55</v>
      </c>
      <c r="D263">
        <v>10</v>
      </c>
      <c r="E263" t="s">
        <v>36</v>
      </c>
      <c r="F263" t="s">
        <v>37</v>
      </c>
      <c r="G263" t="s">
        <v>38</v>
      </c>
      <c r="H263" t="s">
        <v>641</v>
      </c>
      <c r="I263" t="s">
        <v>375</v>
      </c>
      <c r="J263" t="s">
        <v>376</v>
      </c>
      <c r="K263" t="s">
        <v>59</v>
      </c>
      <c r="M263">
        <v>2503061</v>
      </c>
      <c r="N263" t="s">
        <v>377</v>
      </c>
      <c r="O263" t="s">
        <v>36</v>
      </c>
      <c r="Q263" t="s">
        <v>62</v>
      </c>
      <c r="R263" t="s">
        <v>378</v>
      </c>
      <c r="S263" t="s">
        <v>378</v>
      </c>
      <c r="T263" t="s">
        <v>47</v>
      </c>
      <c r="U263" t="s">
        <v>178</v>
      </c>
      <c r="V263" t="s">
        <v>49</v>
      </c>
      <c r="W263" t="s">
        <v>179</v>
      </c>
      <c r="X263" t="s">
        <v>51</v>
      </c>
      <c r="Y263" t="s">
        <v>642</v>
      </c>
      <c r="Z263" t="s">
        <v>642</v>
      </c>
      <c r="AA263" t="s">
        <v>643</v>
      </c>
      <c r="AB263" s="3">
        <f t="shared" si="32"/>
        <v>2</v>
      </c>
      <c r="AC263">
        <v>19.63</v>
      </c>
      <c r="AD263" s="2">
        <v>9.8149999999999995</v>
      </c>
      <c r="AE263" s="2">
        <v>30.17</v>
      </c>
      <c r="AF263" s="2">
        <v>0.11</v>
      </c>
      <c r="AG263" s="2">
        <v>49.92</v>
      </c>
      <c r="AH263">
        <v>0</v>
      </c>
      <c r="AI263">
        <v>24.96</v>
      </c>
      <c r="AJ263">
        <v>0.24959999999999999</v>
      </c>
      <c r="AK263" t="s">
        <v>54</v>
      </c>
      <c r="AL263">
        <v>1.44</v>
      </c>
      <c r="AM263" s="4">
        <f t="shared" si="33"/>
        <v>24.96</v>
      </c>
      <c r="AN263" s="4">
        <f t="shared" si="34"/>
        <v>18.403124999999999</v>
      </c>
      <c r="AO263" s="4">
        <f t="shared" si="35"/>
        <v>20.445871874999998</v>
      </c>
      <c r="AP263" s="4">
        <f t="shared" si="36"/>
        <v>29.811222187499997</v>
      </c>
      <c r="AQ263" s="10">
        <f t="shared" si="37"/>
        <v>43.407936000000007</v>
      </c>
      <c r="AR263" s="10">
        <f t="shared" si="38"/>
        <v>48.230557689600005</v>
      </c>
      <c r="AS263" s="10">
        <f t="shared" si="39"/>
        <v>67.577474764800002</v>
      </c>
    </row>
    <row r="264" spans="1:45" x14ac:dyDescent="0.3">
      <c r="A264">
        <v>2025</v>
      </c>
      <c r="B264">
        <v>4</v>
      </c>
      <c r="C264" t="s">
        <v>55</v>
      </c>
      <c r="D264">
        <v>10</v>
      </c>
      <c r="E264" t="s">
        <v>36</v>
      </c>
      <c r="F264" t="s">
        <v>37</v>
      </c>
      <c r="G264" t="s">
        <v>38</v>
      </c>
      <c r="H264" t="s">
        <v>83</v>
      </c>
      <c r="I264" t="s">
        <v>375</v>
      </c>
      <c r="J264" t="s">
        <v>376</v>
      </c>
      <c r="K264" t="s">
        <v>59</v>
      </c>
      <c r="M264">
        <v>2503061</v>
      </c>
      <c r="N264" t="s">
        <v>377</v>
      </c>
      <c r="O264" t="s">
        <v>36</v>
      </c>
      <c r="Q264" t="s">
        <v>62</v>
      </c>
      <c r="R264" t="s">
        <v>378</v>
      </c>
      <c r="S264" t="s">
        <v>378</v>
      </c>
      <c r="T264" t="s">
        <v>47</v>
      </c>
      <c r="U264" t="s">
        <v>247</v>
      </c>
      <c r="V264" t="s">
        <v>49</v>
      </c>
      <c r="W264" t="s">
        <v>248</v>
      </c>
      <c r="X264" t="s">
        <v>51</v>
      </c>
      <c r="Y264" t="s">
        <v>642</v>
      </c>
      <c r="Z264" t="s">
        <v>642</v>
      </c>
      <c r="AA264" t="s">
        <v>644</v>
      </c>
      <c r="AB264" s="3">
        <f t="shared" si="32"/>
        <v>2</v>
      </c>
      <c r="AC264">
        <v>13.81</v>
      </c>
      <c r="AD264" s="2">
        <v>6.9050000000000002</v>
      </c>
      <c r="AE264" s="2">
        <v>30.17</v>
      </c>
      <c r="AF264" s="2">
        <v>7.0000000000000007E-2</v>
      </c>
      <c r="AG264" s="2">
        <v>44.06</v>
      </c>
      <c r="AH264">
        <v>0</v>
      </c>
      <c r="AI264">
        <v>22.03</v>
      </c>
      <c r="AJ264">
        <v>0.2203</v>
      </c>
      <c r="AK264" t="s">
        <v>54</v>
      </c>
      <c r="AL264">
        <v>1.44</v>
      </c>
      <c r="AM264" s="4">
        <f t="shared" si="33"/>
        <v>22.03</v>
      </c>
      <c r="AN264" s="4">
        <f t="shared" si="34"/>
        <v>12.946875</v>
      </c>
      <c r="AO264" s="4">
        <f t="shared" si="35"/>
        <v>14.383978125000001</v>
      </c>
      <c r="AP264" s="4">
        <f t="shared" si="36"/>
        <v>20.972642812499998</v>
      </c>
      <c r="AQ264" s="10">
        <f t="shared" si="37"/>
        <v>38.312373000000001</v>
      </c>
      <c r="AR264" s="10">
        <f t="shared" si="38"/>
        <v>42.568877640300002</v>
      </c>
      <c r="AS264" s="10">
        <f t="shared" si="39"/>
        <v>59.644702286399998</v>
      </c>
    </row>
    <row r="265" spans="1:45" x14ac:dyDescent="0.3">
      <c r="A265">
        <v>2025</v>
      </c>
      <c r="B265">
        <v>7</v>
      </c>
      <c r="C265" t="s">
        <v>55</v>
      </c>
      <c r="D265">
        <v>10</v>
      </c>
      <c r="E265" t="s">
        <v>36</v>
      </c>
      <c r="F265" t="s">
        <v>37</v>
      </c>
      <c r="G265" t="s">
        <v>38</v>
      </c>
      <c r="H265" t="s">
        <v>83</v>
      </c>
      <c r="I265" t="s">
        <v>190</v>
      </c>
      <c r="J265" t="s">
        <v>58</v>
      </c>
      <c r="K265" t="s">
        <v>41</v>
      </c>
      <c r="L265" t="s">
        <v>953</v>
      </c>
      <c r="M265" t="s">
        <v>954</v>
      </c>
      <c r="N265" t="s">
        <v>731</v>
      </c>
      <c r="O265" t="s">
        <v>36</v>
      </c>
      <c r="Q265" t="s">
        <v>62</v>
      </c>
      <c r="R265" t="s">
        <v>955</v>
      </c>
      <c r="S265" t="s">
        <v>956</v>
      </c>
      <c r="T265" t="s">
        <v>47</v>
      </c>
      <c r="U265" t="s">
        <v>247</v>
      </c>
      <c r="V265" t="s">
        <v>49</v>
      </c>
      <c r="W265" t="s">
        <v>248</v>
      </c>
      <c r="X265" t="s">
        <v>51</v>
      </c>
      <c r="Y265" t="s">
        <v>435</v>
      </c>
      <c r="Z265" t="s">
        <v>435</v>
      </c>
      <c r="AA265" t="s">
        <v>436</v>
      </c>
      <c r="AB265" s="3">
        <f t="shared" si="32"/>
        <v>2.2100000000000173</v>
      </c>
      <c r="AC265">
        <v>357.83</v>
      </c>
      <c r="AD265" s="2">
        <v>161.91402714931999</v>
      </c>
      <c r="AE265" s="2">
        <v>30.17</v>
      </c>
      <c r="AF265" s="2">
        <v>2.54</v>
      </c>
      <c r="AG265" s="2">
        <v>390.54</v>
      </c>
      <c r="AH265">
        <v>0</v>
      </c>
      <c r="AI265">
        <v>176.71493212670001</v>
      </c>
      <c r="AJ265">
        <v>1.9527000000000001</v>
      </c>
      <c r="AK265" t="s">
        <v>54</v>
      </c>
      <c r="AL265">
        <v>1.44</v>
      </c>
      <c r="AM265" s="4">
        <f t="shared" si="33"/>
        <v>176.71493212669546</v>
      </c>
      <c r="AN265" s="4">
        <f t="shared" si="34"/>
        <v>303.58880090497496</v>
      </c>
      <c r="AO265" s="4">
        <f t="shared" si="35"/>
        <v>337.28715780542717</v>
      </c>
      <c r="AP265" s="4">
        <f t="shared" si="36"/>
        <v>491.78349858596891</v>
      </c>
      <c r="AQ265" s="10">
        <f t="shared" si="37"/>
        <v>307.32493846153608</v>
      </c>
      <c r="AR265" s="10">
        <f t="shared" si="38"/>
        <v>341.46873912461274</v>
      </c>
      <c r="AS265" s="10">
        <f t="shared" si="39"/>
        <v>478.44346419691936</v>
      </c>
    </row>
    <row r="266" spans="1:45" x14ac:dyDescent="0.3">
      <c r="A266">
        <v>2025</v>
      </c>
      <c r="B266">
        <v>3</v>
      </c>
      <c r="C266" t="s">
        <v>55</v>
      </c>
      <c r="D266">
        <v>10</v>
      </c>
      <c r="E266" t="s">
        <v>36</v>
      </c>
      <c r="F266" t="s">
        <v>37</v>
      </c>
      <c r="G266" t="s">
        <v>38</v>
      </c>
      <c r="H266" t="s">
        <v>83</v>
      </c>
      <c r="I266" t="s">
        <v>190</v>
      </c>
      <c r="J266" t="s">
        <v>58</v>
      </c>
      <c r="K266" t="s">
        <v>59</v>
      </c>
      <c r="M266" t="s">
        <v>213</v>
      </c>
      <c r="N266" t="s">
        <v>61</v>
      </c>
      <c r="O266" t="s">
        <v>43</v>
      </c>
      <c r="Q266" t="s">
        <v>62</v>
      </c>
      <c r="R266" t="s">
        <v>214</v>
      </c>
      <c r="S266" t="s">
        <v>215</v>
      </c>
      <c r="T266" t="s">
        <v>47</v>
      </c>
      <c r="U266" t="s">
        <v>251</v>
      </c>
      <c r="V266" t="s">
        <v>49</v>
      </c>
      <c r="W266" t="s">
        <v>252</v>
      </c>
      <c r="X266" t="s">
        <v>51</v>
      </c>
      <c r="Y266" t="s">
        <v>1024</v>
      </c>
      <c r="Z266" t="s">
        <v>1024</v>
      </c>
      <c r="AA266" t="s">
        <v>436</v>
      </c>
      <c r="AB266" s="3">
        <f t="shared" si="32"/>
        <v>2.1499999999999853</v>
      </c>
      <c r="AC266">
        <v>139.5</v>
      </c>
      <c r="AD266" s="2">
        <v>64.883720930232997</v>
      </c>
      <c r="AE266" s="2">
        <v>29.4</v>
      </c>
      <c r="AF266" s="2">
        <v>0.95</v>
      </c>
      <c r="AG266" s="2">
        <v>169.49</v>
      </c>
      <c r="AH266">
        <v>0</v>
      </c>
      <c r="AI266">
        <v>78.832558139534996</v>
      </c>
      <c r="AJ266">
        <v>0.84745000000000004</v>
      </c>
      <c r="AK266" t="s">
        <v>54</v>
      </c>
      <c r="AL266">
        <v>2.17</v>
      </c>
      <c r="AM266" s="4">
        <f t="shared" si="33"/>
        <v>78.832558139535422</v>
      </c>
      <c r="AN266" s="4">
        <f t="shared" si="34"/>
        <v>121.65697674418686</v>
      </c>
      <c r="AO266" s="4">
        <f t="shared" si="35"/>
        <v>135.16090116279162</v>
      </c>
      <c r="AP266" s="4">
        <f t="shared" si="36"/>
        <v>197.07213662790829</v>
      </c>
      <c r="AQ266" s="10">
        <f t="shared" si="37"/>
        <v>137.09770186046606</v>
      </c>
      <c r="AR266" s="10">
        <f t="shared" si="38"/>
        <v>152.32925653716384</v>
      </c>
      <c r="AS266" s="10">
        <f t="shared" si="39"/>
        <v>213.43370225637355</v>
      </c>
    </row>
    <row r="267" spans="1:45" x14ac:dyDescent="0.3">
      <c r="A267">
        <v>2025</v>
      </c>
      <c r="B267">
        <v>11</v>
      </c>
      <c r="C267" t="s">
        <v>55</v>
      </c>
      <c r="D267">
        <v>10</v>
      </c>
      <c r="E267" t="s">
        <v>36</v>
      </c>
      <c r="F267" t="s">
        <v>37</v>
      </c>
      <c r="G267" t="s">
        <v>38</v>
      </c>
      <c r="H267" t="s">
        <v>83</v>
      </c>
      <c r="I267" t="s">
        <v>375</v>
      </c>
      <c r="J267" t="s">
        <v>376</v>
      </c>
      <c r="K267" t="s">
        <v>51</v>
      </c>
      <c r="L267" t="s">
        <v>1622</v>
      </c>
      <c r="M267" t="s">
        <v>1623</v>
      </c>
      <c r="N267" t="s">
        <v>1485</v>
      </c>
      <c r="O267" t="s">
        <v>1197</v>
      </c>
      <c r="Q267" t="s">
        <v>62</v>
      </c>
      <c r="R267" t="s">
        <v>1624</v>
      </c>
      <c r="S267" t="s">
        <v>1624</v>
      </c>
      <c r="T267" t="s">
        <v>47</v>
      </c>
      <c r="U267" t="s">
        <v>251</v>
      </c>
      <c r="V267" t="s">
        <v>49</v>
      </c>
      <c r="W267" t="s">
        <v>252</v>
      </c>
      <c r="X267" t="s">
        <v>51</v>
      </c>
      <c r="Y267" t="s">
        <v>253</v>
      </c>
      <c r="Z267" t="s">
        <v>64</v>
      </c>
      <c r="AA267" t="s">
        <v>254</v>
      </c>
      <c r="AB267" s="3">
        <f t="shared" si="32"/>
        <v>1</v>
      </c>
      <c r="AC267">
        <v>68.41</v>
      </c>
      <c r="AD267" s="2">
        <v>68.41</v>
      </c>
      <c r="AE267" s="2">
        <v>14.36</v>
      </c>
      <c r="AF267" s="2">
        <v>0.51</v>
      </c>
      <c r="AG267" s="2">
        <v>83.27</v>
      </c>
      <c r="AH267">
        <v>0</v>
      </c>
      <c r="AI267">
        <v>83.27</v>
      </c>
      <c r="AJ267">
        <v>0.41635</v>
      </c>
      <c r="AK267" t="s">
        <v>54</v>
      </c>
      <c r="AL267">
        <v>1.94</v>
      </c>
      <c r="AM267" s="4">
        <f t="shared" si="33"/>
        <v>83.27</v>
      </c>
      <c r="AN267" s="4">
        <f t="shared" si="34"/>
        <v>128.26874999999998</v>
      </c>
      <c r="AO267" s="4">
        <f t="shared" si="35"/>
        <v>142.50658124999998</v>
      </c>
      <c r="AP267" s="4">
        <f t="shared" si="36"/>
        <v>207.78254812499995</v>
      </c>
      <c r="AQ267" s="10">
        <f t="shared" si="37"/>
        <v>144.81485699999999</v>
      </c>
      <c r="AR267" s="10">
        <f t="shared" si="38"/>
        <v>160.90378761269997</v>
      </c>
      <c r="AS267" s="10">
        <f t="shared" si="39"/>
        <v>225.44776937759997</v>
      </c>
    </row>
    <row r="268" spans="1:45" x14ac:dyDescent="0.3">
      <c r="A268">
        <v>2025</v>
      </c>
      <c r="B268">
        <v>4</v>
      </c>
      <c r="C268" t="s">
        <v>55</v>
      </c>
      <c r="D268">
        <v>10</v>
      </c>
      <c r="E268" t="s">
        <v>36</v>
      </c>
      <c r="F268" t="s">
        <v>37</v>
      </c>
      <c r="G268" t="s">
        <v>38</v>
      </c>
      <c r="H268" t="s">
        <v>39</v>
      </c>
      <c r="I268" t="s">
        <v>375</v>
      </c>
      <c r="J268" t="s">
        <v>376</v>
      </c>
      <c r="K268" t="s">
        <v>59</v>
      </c>
      <c r="M268">
        <v>2503061</v>
      </c>
      <c r="N268" t="s">
        <v>377</v>
      </c>
      <c r="O268" t="s">
        <v>36</v>
      </c>
      <c r="Q268" t="s">
        <v>62</v>
      </c>
      <c r="R268" t="s">
        <v>378</v>
      </c>
      <c r="S268" t="s">
        <v>378</v>
      </c>
      <c r="T268" t="s">
        <v>47</v>
      </c>
      <c r="U268" t="s">
        <v>441</v>
      </c>
      <c r="V268" t="s">
        <v>49</v>
      </c>
      <c r="W268" t="s">
        <v>442</v>
      </c>
      <c r="X268" t="s">
        <v>51</v>
      </c>
      <c r="Y268" t="s">
        <v>1653</v>
      </c>
      <c r="Z268" t="s">
        <v>1653</v>
      </c>
      <c r="AA268" t="s">
        <v>254</v>
      </c>
      <c r="AB268" s="3">
        <f t="shared" si="32"/>
        <v>1</v>
      </c>
      <c r="AC268">
        <v>54.73</v>
      </c>
      <c r="AD268" s="2">
        <v>54.73</v>
      </c>
      <c r="AE268" s="2">
        <v>7.66</v>
      </c>
      <c r="AF268" s="2">
        <v>0.38</v>
      </c>
      <c r="AG268" s="2">
        <v>62.78</v>
      </c>
      <c r="AH268">
        <v>0</v>
      </c>
      <c r="AI268">
        <v>62.78</v>
      </c>
      <c r="AJ268">
        <v>0.31390000000000001</v>
      </c>
      <c r="AK268" t="s">
        <v>54</v>
      </c>
      <c r="AL268">
        <v>0.28999999999999998</v>
      </c>
      <c r="AM268" s="4">
        <f t="shared" si="33"/>
        <v>62.78</v>
      </c>
      <c r="AN268" s="4">
        <f t="shared" si="34"/>
        <v>102.61874999999999</v>
      </c>
      <c r="AO268" s="4">
        <f t="shared" si="35"/>
        <v>114.00943124999999</v>
      </c>
      <c r="AP268" s="4">
        <f t="shared" si="36"/>
        <v>166.23211312499998</v>
      </c>
      <c r="AQ268" s="10">
        <f t="shared" si="37"/>
        <v>109.18069800000001</v>
      </c>
      <c r="AR268" s="10">
        <f t="shared" si="38"/>
        <v>121.31067354780001</v>
      </c>
      <c r="AS268" s="10">
        <f t="shared" si="39"/>
        <v>169.9725106464</v>
      </c>
    </row>
    <row r="269" spans="1:45" x14ac:dyDescent="0.3">
      <c r="A269">
        <v>2025</v>
      </c>
      <c r="B269">
        <v>1</v>
      </c>
      <c r="C269" t="s">
        <v>55</v>
      </c>
      <c r="D269">
        <v>10</v>
      </c>
      <c r="E269" t="s">
        <v>36</v>
      </c>
      <c r="F269" t="s">
        <v>37</v>
      </c>
      <c r="G269" t="s">
        <v>38</v>
      </c>
      <c r="H269" t="s">
        <v>101</v>
      </c>
      <c r="I269" t="s">
        <v>57</v>
      </c>
      <c r="J269" t="s">
        <v>58</v>
      </c>
      <c r="K269" t="s">
        <v>59</v>
      </c>
      <c r="M269" t="s">
        <v>60</v>
      </c>
      <c r="N269" t="s">
        <v>61</v>
      </c>
      <c r="O269" t="s">
        <v>43</v>
      </c>
      <c r="Q269" t="s">
        <v>62</v>
      </c>
      <c r="R269" t="s">
        <v>63</v>
      </c>
      <c r="S269" t="s">
        <v>63</v>
      </c>
      <c r="T269" t="s">
        <v>47</v>
      </c>
      <c r="U269" t="s">
        <v>167</v>
      </c>
      <c r="V269" t="s">
        <v>49</v>
      </c>
      <c r="W269" t="s">
        <v>168</v>
      </c>
      <c r="X269" t="s">
        <v>51</v>
      </c>
      <c r="Y269" t="s">
        <v>443</v>
      </c>
      <c r="Z269" t="s">
        <v>443</v>
      </c>
      <c r="AA269" t="s">
        <v>444</v>
      </c>
      <c r="AB269" s="3">
        <f t="shared" si="32"/>
        <v>2</v>
      </c>
      <c r="AC269">
        <v>166.39</v>
      </c>
      <c r="AD269" s="2">
        <v>83.194999999999993</v>
      </c>
      <c r="AE269" s="2">
        <v>30.17</v>
      </c>
      <c r="AF269" s="2">
        <v>1.1599999999999999</v>
      </c>
      <c r="AG269" s="2">
        <v>197.73</v>
      </c>
      <c r="AH269">
        <v>0</v>
      </c>
      <c r="AI269">
        <v>98.864999999999995</v>
      </c>
      <c r="AJ269">
        <v>0.98865000000000003</v>
      </c>
      <c r="AK269" t="s">
        <v>54</v>
      </c>
      <c r="AL269">
        <v>1.44</v>
      </c>
      <c r="AM269" s="4">
        <f t="shared" si="33"/>
        <v>98.864999999999995</v>
      </c>
      <c r="AN269" s="4">
        <f t="shared" si="34"/>
        <v>155.99062499999999</v>
      </c>
      <c r="AO269" s="4">
        <f t="shared" si="35"/>
        <v>173.305584375</v>
      </c>
      <c r="AP269" s="4">
        <f t="shared" si="36"/>
        <v>252.68921343749997</v>
      </c>
      <c r="AQ269" s="10">
        <f t="shared" si="37"/>
        <v>171.93612150000001</v>
      </c>
      <c r="AR269" s="10">
        <f t="shared" si="38"/>
        <v>191.03822459865</v>
      </c>
      <c r="AS269" s="10">
        <f t="shared" si="39"/>
        <v>267.67015395120001</v>
      </c>
    </row>
    <row r="270" spans="1:45" x14ac:dyDescent="0.3">
      <c r="A270">
        <v>2025</v>
      </c>
      <c r="B270">
        <v>4</v>
      </c>
      <c r="C270" t="s">
        <v>55</v>
      </c>
      <c r="D270">
        <v>10</v>
      </c>
      <c r="E270" t="s">
        <v>36</v>
      </c>
      <c r="F270" t="s">
        <v>37</v>
      </c>
      <c r="G270" t="s">
        <v>38</v>
      </c>
      <c r="H270" t="s">
        <v>101</v>
      </c>
      <c r="I270" t="s">
        <v>375</v>
      </c>
      <c r="J270" t="s">
        <v>376</v>
      </c>
      <c r="K270" t="s">
        <v>59</v>
      </c>
      <c r="M270">
        <v>2503061</v>
      </c>
      <c r="N270" t="s">
        <v>377</v>
      </c>
      <c r="O270" t="s">
        <v>36</v>
      </c>
      <c r="Q270" t="s">
        <v>62</v>
      </c>
      <c r="R270" t="s">
        <v>378</v>
      </c>
      <c r="S270" t="s">
        <v>378</v>
      </c>
      <c r="T270" t="s">
        <v>47</v>
      </c>
      <c r="U270" t="s">
        <v>167</v>
      </c>
      <c r="V270" t="s">
        <v>49</v>
      </c>
      <c r="W270" t="s">
        <v>168</v>
      </c>
      <c r="X270" t="s">
        <v>51</v>
      </c>
      <c r="Y270" t="s">
        <v>171</v>
      </c>
      <c r="Z270" t="s">
        <v>64</v>
      </c>
      <c r="AA270" t="s">
        <v>172</v>
      </c>
      <c r="AB270" s="3">
        <f t="shared" si="32"/>
        <v>1</v>
      </c>
      <c r="AC270">
        <v>232.41</v>
      </c>
      <c r="AD270" s="2">
        <v>232.41</v>
      </c>
      <c r="AE270" s="2">
        <v>55.84</v>
      </c>
      <c r="AF270" s="2">
        <v>1.61</v>
      </c>
      <c r="AG270" s="2">
        <v>289.85000000000002</v>
      </c>
      <c r="AH270">
        <v>0</v>
      </c>
      <c r="AI270">
        <v>289.85000000000002</v>
      </c>
      <c r="AJ270">
        <v>1.4492499999999999</v>
      </c>
      <c r="AK270" t="s">
        <v>54</v>
      </c>
      <c r="AL270">
        <v>3.01</v>
      </c>
      <c r="AM270" s="4">
        <f t="shared" si="33"/>
        <v>289.85000000000002</v>
      </c>
      <c r="AN270" s="4">
        <f t="shared" si="34"/>
        <v>435.76875000000001</v>
      </c>
      <c r="AO270" s="4">
        <f t="shared" si="35"/>
        <v>484.13908125</v>
      </c>
      <c r="AP270" s="4">
        <f t="shared" si="36"/>
        <v>705.90179812500003</v>
      </c>
      <c r="AQ270" s="10">
        <f t="shared" si="37"/>
        <v>504.07813500000009</v>
      </c>
      <c r="AR270" s="10">
        <f t="shared" si="38"/>
        <v>560.08121579850012</v>
      </c>
      <c r="AS270" s="10">
        <f t="shared" si="39"/>
        <v>784.74884056800011</v>
      </c>
    </row>
    <row r="271" spans="1:45" x14ac:dyDescent="0.3">
      <c r="A271">
        <v>2025</v>
      </c>
      <c r="B271">
        <v>4</v>
      </c>
      <c r="C271" t="s">
        <v>55</v>
      </c>
      <c r="D271">
        <v>10</v>
      </c>
      <c r="E271" t="s">
        <v>36</v>
      </c>
      <c r="F271" t="s">
        <v>37</v>
      </c>
      <c r="G271" t="s">
        <v>38</v>
      </c>
      <c r="H271" t="s">
        <v>83</v>
      </c>
      <c r="I271" t="s">
        <v>375</v>
      </c>
      <c r="J271" t="s">
        <v>376</v>
      </c>
      <c r="K271" t="s">
        <v>59</v>
      </c>
      <c r="M271">
        <v>2503061</v>
      </c>
      <c r="N271" t="s">
        <v>377</v>
      </c>
      <c r="O271" t="s">
        <v>36</v>
      </c>
      <c r="Q271" t="s">
        <v>62</v>
      </c>
      <c r="R271" t="s">
        <v>378</v>
      </c>
      <c r="S271" t="s">
        <v>378</v>
      </c>
      <c r="T271" t="s">
        <v>47</v>
      </c>
      <c r="U271" t="s">
        <v>464</v>
      </c>
      <c r="V271" t="s">
        <v>49</v>
      </c>
      <c r="W271" t="s">
        <v>465</v>
      </c>
      <c r="X271" t="s">
        <v>51</v>
      </c>
      <c r="Y271" t="s">
        <v>596</v>
      </c>
      <c r="Z271" t="s">
        <v>596</v>
      </c>
      <c r="AA271" t="s">
        <v>172</v>
      </c>
      <c r="AB271" s="3">
        <f t="shared" si="32"/>
        <v>1</v>
      </c>
      <c r="AC271">
        <v>225.59</v>
      </c>
      <c r="AD271" s="2">
        <v>225.59</v>
      </c>
      <c r="AE271" s="2">
        <v>15.09</v>
      </c>
      <c r="AF271" s="2">
        <v>1.6</v>
      </c>
      <c r="AG271" s="2">
        <v>242.28</v>
      </c>
      <c r="AH271">
        <v>0</v>
      </c>
      <c r="AI271">
        <v>242.28</v>
      </c>
      <c r="AJ271">
        <v>1.2114</v>
      </c>
      <c r="AK271" t="s">
        <v>54</v>
      </c>
      <c r="AL271">
        <v>0.72</v>
      </c>
      <c r="AM271" s="4">
        <f t="shared" si="33"/>
        <v>242.28</v>
      </c>
      <c r="AN271" s="4">
        <f t="shared" si="34"/>
        <v>422.98124999999999</v>
      </c>
      <c r="AO271" s="4">
        <f t="shared" si="35"/>
        <v>469.93216874999996</v>
      </c>
      <c r="AP271" s="4">
        <f t="shared" si="36"/>
        <v>685.18732687499994</v>
      </c>
      <c r="AQ271" s="10">
        <f t="shared" si="37"/>
        <v>421.34914800000001</v>
      </c>
      <c r="AR271" s="10">
        <f t="shared" si="38"/>
        <v>468.1610383428</v>
      </c>
      <c r="AS271" s="10">
        <f t="shared" si="39"/>
        <v>655.95635360640006</v>
      </c>
    </row>
    <row r="272" spans="1:45" x14ac:dyDescent="0.3">
      <c r="A272">
        <v>2025</v>
      </c>
      <c r="B272">
        <v>4</v>
      </c>
      <c r="C272" t="s">
        <v>55</v>
      </c>
      <c r="D272">
        <v>10</v>
      </c>
      <c r="E272" t="s">
        <v>36</v>
      </c>
      <c r="F272" t="s">
        <v>37</v>
      </c>
      <c r="G272" t="s">
        <v>38</v>
      </c>
      <c r="H272" t="s">
        <v>83</v>
      </c>
      <c r="I272" t="s">
        <v>375</v>
      </c>
      <c r="J272" t="s">
        <v>376</v>
      </c>
      <c r="K272" t="s">
        <v>59</v>
      </c>
      <c r="M272">
        <v>2503061</v>
      </c>
      <c r="N272" t="s">
        <v>377</v>
      </c>
      <c r="O272" t="s">
        <v>36</v>
      </c>
      <c r="Q272" t="s">
        <v>62</v>
      </c>
      <c r="R272" t="s">
        <v>378</v>
      </c>
      <c r="S272" t="s">
        <v>378</v>
      </c>
      <c r="T272" t="s">
        <v>47</v>
      </c>
      <c r="U272" t="s">
        <v>163</v>
      </c>
      <c r="V272" t="s">
        <v>49</v>
      </c>
      <c r="W272" t="s">
        <v>164</v>
      </c>
      <c r="X272" t="s">
        <v>51</v>
      </c>
      <c r="Y272" t="s">
        <v>468</v>
      </c>
      <c r="Z272" t="s">
        <v>468</v>
      </c>
      <c r="AA272" t="s">
        <v>469</v>
      </c>
      <c r="AB272" s="3">
        <f t="shared" si="32"/>
        <v>3.000000000000012</v>
      </c>
      <c r="AC272">
        <v>251.59</v>
      </c>
      <c r="AD272" s="2">
        <v>83.863333333333003</v>
      </c>
      <c r="AE272" s="2">
        <v>45.26</v>
      </c>
      <c r="AF272" s="2">
        <v>1.76</v>
      </c>
      <c r="AG272" s="2">
        <v>298.62</v>
      </c>
      <c r="AH272">
        <v>0</v>
      </c>
      <c r="AI272">
        <v>99.54</v>
      </c>
      <c r="AJ272">
        <v>1.4931000000000001</v>
      </c>
      <c r="AK272" t="s">
        <v>54</v>
      </c>
      <c r="AL272">
        <v>2.16</v>
      </c>
      <c r="AM272" s="4">
        <f t="shared" si="33"/>
        <v>99.539999999999608</v>
      </c>
      <c r="AN272" s="4">
        <f t="shared" si="34"/>
        <v>157.24374999999938</v>
      </c>
      <c r="AO272" s="4">
        <f t="shared" si="35"/>
        <v>174.6978062499993</v>
      </c>
      <c r="AP272" s="4">
        <f t="shared" si="36"/>
        <v>254.71915062499897</v>
      </c>
      <c r="AQ272" s="10">
        <f t="shared" si="37"/>
        <v>173.11001399999932</v>
      </c>
      <c r="AR272" s="10">
        <f t="shared" si="38"/>
        <v>192.34253655539925</v>
      </c>
      <c r="AS272" s="10">
        <f t="shared" si="39"/>
        <v>269.49766979519893</v>
      </c>
    </row>
    <row r="273" spans="1:45" x14ac:dyDescent="0.3">
      <c r="A273">
        <v>2025</v>
      </c>
      <c r="B273">
        <v>4</v>
      </c>
      <c r="C273" t="s">
        <v>55</v>
      </c>
      <c r="D273">
        <v>10</v>
      </c>
      <c r="E273" t="s">
        <v>36</v>
      </c>
      <c r="F273" t="s">
        <v>37</v>
      </c>
      <c r="G273" t="s">
        <v>38</v>
      </c>
      <c r="H273" t="s">
        <v>83</v>
      </c>
      <c r="I273" t="s">
        <v>375</v>
      </c>
      <c r="J273" t="s">
        <v>376</v>
      </c>
      <c r="K273" t="s">
        <v>59</v>
      </c>
      <c r="M273">
        <v>2503061</v>
      </c>
      <c r="N273" t="s">
        <v>377</v>
      </c>
      <c r="O273" t="s">
        <v>36</v>
      </c>
      <c r="Q273" t="s">
        <v>62</v>
      </c>
      <c r="R273" t="s">
        <v>378</v>
      </c>
      <c r="S273" t="s">
        <v>378</v>
      </c>
      <c r="T273" t="s">
        <v>47</v>
      </c>
      <c r="U273" t="s">
        <v>359</v>
      </c>
      <c r="V273" t="s">
        <v>49</v>
      </c>
      <c r="W273" t="s">
        <v>360</v>
      </c>
      <c r="X273" t="s">
        <v>51</v>
      </c>
      <c r="Y273" t="s">
        <v>555</v>
      </c>
      <c r="Z273" t="s">
        <v>555</v>
      </c>
      <c r="AA273" t="s">
        <v>556</v>
      </c>
      <c r="AB273" s="3">
        <f t="shared" si="32"/>
        <v>2</v>
      </c>
      <c r="AC273">
        <v>779.87</v>
      </c>
      <c r="AD273" s="2">
        <v>389.935</v>
      </c>
      <c r="AE273" s="2">
        <v>30.17</v>
      </c>
      <c r="AF273" s="2">
        <v>5.56</v>
      </c>
      <c r="AG273" s="2">
        <v>815.61</v>
      </c>
      <c r="AH273">
        <v>0</v>
      </c>
      <c r="AI273">
        <v>407.80500000000001</v>
      </c>
      <c r="AJ273">
        <v>4.0780500000000002</v>
      </c>
      <c r="AK273" t="s">
        <v>54</v>
      </c>
      <c r="AL273">
        <v>1.44</v>
      </c>
      <c r="AM273" s="4">
        <f t="shared" si="33"/>
        <v>407.80500000000001</v>
      </c>
      <c r="AN273" s="4">
        <f t="shared" si="34"/>
        <v>731.12812499999995</v>
      </c>
      <c r="AO273" s="4">
        <f t="shared" si="35"/>
        <v>812.28334687499989</v>
      </c>
      <c r="AP273" s="4">
        <f t="shared" si="36"/>
        <v>1184.3544496874999</v>
      </c>
      <c r="AQ273" s="10">
        <f t="shared" si="37"/>
        <v>709.21367550000002</v>
      </c>
      <c r="AR273" s="10">
        <f t="shared" si="38"/>
        <v>788.00731484804999</v>
      </c>
      <c r="AS273" s="10">
        <f t="shared" si="39"/>
        <v>1104.1038500184</v>
      </c>
    </row>
    <row r="274" spans="1:45" x14ac:dyDescent="0.3">
      <c r="A274">
        <v>2025</v>
      </c>
      <c r="B274">
        <v>6</v>
      </c>
      <c r="C274" t="s">
        <v>55</v>
      </c>
      <c r="D274">
        <v>10</v>
      </c>
      <c r="E274" t="s">
        <v>36</v>
      </c>
      <c r="F274" t="s">
        <v>37</v>
      </c>
      <c r="G274" t="s">
        <v>38</v>
      </c>
      <c r="H274" t="s">
        <v>78</v>
      </c>
      <c r="I274" t="s">
        <v>190</v>
      </c>
      <c r="J274" t="s">
        <v>58</v>
      </c>
      <c r="K274" t="s">
        <v>59</v>
      </c>
      <c r="M274" t="s">
        <v>730</v>
      </c>
      <c r="N274" t="s">
        <v>731</v>
      </c>
      <c r="O274" t="s">
        <v>36</v>
      </c>
      <c r="Q274" t="s">
        <v>62</v>
      </c>
      <c r="R274" t="s">
        <v>732</v>
      </c>
      <c r="S274" t="s">
        <v>732</v>
      </c>
      <c r="T274" t="s">
        <v>47</v>
      </c>
      <c r="U274" t="s">
        <v>105</v>
      </c>
      <c r="V274" t="s">
        <v>49</v>
      </c>
      <c r="W274" t="s">
        <v>708</v>
      </c>
      <c r="X274" t="s">
        <v>686</v>
      </c>
      <c r="Y274" t="s">
        <v>618</v>
      </c>
      <c r="Z274" t="s">
        <v>618</v>
      </c>
      <c r="AA274" t="s">
        <v>619</v>
      </c>
      <c r="AB274" s="3">
        <f t="shared" si="32"/>
        <v>3.0000000000000431</v>
      </c>
      <c r="AC274">
        <v>695.41</v>
      </c>
      <c r="AD274" s="2">
        <v>231.80333333332999</v>
      </c>
      <c r="AE274" s="2">
        <v>45.26</v>
      </c>
      <c r="AF274" s="2">
        <v>4.9400000000000004</v>
      </c>
      <c r="AG274" s="2">
        <v>745.62</v>
      </c>
      <c r="AH274">
        <v>0</v>
      </c>
      <c r="AI274">
        <v>248.54</v>
      </c>
      <c r="AJ274">
        <v>3.7281</v>
      </c>
      <c r="AK274" t="s">
        <v>54</v>
      </c>
      <c r="AL274">
        <v>2.16</v>
      </c>
      <c r="AM274" s="4">
        <f t="shared" si="33"/>
        <v>248.53999999999644</v>
      </c>
      <c r="AN274" s="4">
        <f t="shared" si="34"/>
        <v>434.63124999999371</v>
      </c>
      <c r="AO274" s="4">
        <f t="shared" si="35"/>
        <v>482.87531874999303</v>
      </c>
      <c r="AP274" s="4">
        <f t="shared" si="36"/>
        <v>704.05916187498974</v>
      </c>
      <c r="AQ274" s="10">
        <f t="shared" si="37"/>
        <v>432.23591399999384</v>
      </c>
      <c r="AR274" s="10">
        <f t="shared" si="38"/>
        <v>480.25732404539315</v>
      </c>
      <c r="AS274" s="10">
        <f t="shared" si="39"/>
        <v>672.90487091519037</v>
      </c>
    </row>
    <row r="275" spans="1:45" x14ac:dyDescent="0.3">
      <c r="A275">
        <v>2025</v>
      </c>
      <c r="B275">
        <v>6</v>
      </c>
      <c r="C275" t="s">
        <v>55</v>
      </c>
      <c r="D275">
        <v>10</v>
      </c>
      <c r="E275" t="s">
        <v>36</v>
      </c>
      <c r="F275" t="s">
        <v>37</v>
      </c>
      <c r="G275" t="s">
        <v>38</v>
      </c>
      <c r="H275" t="s">
        <v>78</v>
      </c>
      <c r="I275" t="s">
        <v>190</v>
      </c>
      <c r="J275" t="s">
        <v>58</v>
      </c>
      <c r="K275" t="s">
        <v>59</v>
      </c>
      <c r="M275" t="s">
        <v>730</v>
      </c>
      <c r="N275" t="s">
        <v>731</v>
      </c>
      <c r="O275" t="s">
        <v>36</v>
      </c>
      <c r="Q275" t="s">
        <v>62</v>
      </c>
      <c r="R275" t="s">
        <v>732</v>
      </c>
      <c r="S275" t="s">
        <v>732</v>
      </c>
      <c r="T275" t="s">
        <v>47</v>
      </c>
      <c r="U275" t="s">
        <v>118</v>
      </c>
      <c r="V275" t="s">
        <v>49</v>
      </c>
      <c r="W275" t="s">
        <v>714</v>
      </c>
      <c r="X275" t="s">
        <v>686</v>
      </c>
      <c r="Y275" t="s">
        <v>107</v>
      </c>
      <c r="Z275" t="s">
        <v>107</v>
      </c>
      <c r="AA275" t="s">
        <v>808</v>
      </c>
      <c r="AB275" s="3">
        <f t="shared" si="32"/>
        <v>29.999999999999705</v>
      </c>
      <c r="AC275">
        <v>1006.61</v>
      </c>
      <c r="AD275" s="2">
        <v>33.553666666666999</v>
      </c>
      <c r="AE275" s="2">
        <v>212.83</v>
      </c>
      <c r="AF275" s="2">
        <v>7.45</v>
      </c>
      <c r="AG275" s="2">
        <v>1226.8900000000001</v>
      </c>
      <c r="AH275">
        <v>0</v>
      </c>
      <c r="AI275">
        <v>40.896333333332997</v>
      </c>
      <c r="AJ275">
        <v>6.1344500000000002</v>
      </c>
      <c r="AK275" t="s">
        <v>54</v>
      </c>
      <c r="AL275">
        <v>7.28</v>
      </c>
      <c r="AM275" s="4">
        <f t="shared" si="33"/>
        <v>40.896333333333736</v>
      </c>
      <c r="AN275" s="4">
        <f t="shared" si="34"/>
        <v>62.913125000000619</v>
      </c>
      <c r="AO275" s="4">
        <f t="shared" si="35"/>
        <v>69.896481875000688</v>
      </c>
      <c r="AP275" s="4">
        <f t="shared" si="36"/>
        <v>101.912971187501</v>
      </c>
      <c r="AQ275" s="10">
        <f t="shared" si="37"/>
        <v>71.122813300000701</v>
      </c>
      <c r="AR275" s="10">
        <f t="shared" si="38"/>
        <v>79.024557857630782</v>
      </c>
      <c r="AS275" s="10">
        <f t="shared" si="39"/>
        <v>110.72399574544109</v>
      </c>
    </row>
    <row r="276" spans="1:45" x14ac:dyDescent="0.3">
      <c r="A276">
        <v>2025</v>
      </c>
      <c r="B276">
        <v>6</v>
      </c>
      <c r="C276" t="s">
        <v>55</v>
      </c>
      <c r="D276">
        <v>10</v>
      </c>
      <c r="E276" t="s">
        <v>36</v>
      </c>
      <c r="F276" t="s">
        <v>37</v>
      </c>
      <c r="G276" t="s">
        <v>38</v>
      </c>
      <c r="H276" t="s">
        <v>132</v>
      </c>
      <c r="I276" t="s">
        <v>190</v>
      </c>
      <c r="J276" t="s">
        <v>58</v>
      </c>
      <c r="K276" t="s">
        <v>59</v>
      </c>
      <c r="M276" t="s">
        <v>730</v>
      </c>
      <c r="N276" t="s">
        <v>731</v>
      </c>
      <c r="O276" t="s">
        <v>36</v>
      </c>
      <c r="Q276" t="s">
        <v>62</v>
      </c>
      <c r="R276" t="s">
        <v>732</v>
      </c>
      <c r="S276" t="s">
        <v>732</v>
      </c>
      <c r="T276" t="s">
        <v>47</v>
      </c>
      <c r="U276" t="s">
        <v>118</v>
      </c>
      <c r="V276" t="s">
        <v>49</v>
      </c>
      <c r="W276" t="s">
        <v>714</v>
      </c>
      <c r="X276" t="s">
        <v>686</v>
      </c>
      <c r="Y276" t="s">
        <v>822</v>
      </c>
      <c r="Z276" t="s">
        <v>822</v>
      </c>
      <c r="AA276" t="s">
        <v>823</v>
      </c>
      <c r="AB276" s="3">
        <f t="shared" si="32"/>
        <v>1</v>
      </c>
      <c r="AC276">
        <v>82.65</v>
      </c>
      <c r="AD276" s="2">
        <v>82.65</v>
      </c>
      <c r="AE276" s="2">
        <v>17.48</v>
      </c>
      <c r="AF276" s="2">
        <v>0.61</v>
      </c>
      <c r="AG276" s="2">
        <v>100.74</v>
      </c>
      <c r="AH276">
        <v>0</v>
      </c>
      <c r="AI276">
        <v>100.74</v>
      </c>
      <c r="AJ276">
        <v>0.50370000000000004</v>
      </c>
      <c r="AK276" t="s">
        <v>54</v>
      </c>
      <c r="AL276">
        <v>0.6</v>
      </c>
      <c r="AM276" s="4">
        <f t="shared" si="33"/>
        <v>100.74</v>
      </c>
      <c r="AN276" s="4">
        <f t="shared" si="34"/>
        <v>154.96875</v>
      </c>
      <c r="AO276" s="4">
        <f t="shared" si="35"/>
        <v>172.17028124999999</v>
      </c>
      <c r="AP276" s="4">
        <f t="shared" si="36"/>
        <v>251.03387812499997</v>
      </c>
      <c r="AQ276" s="10">
        <f t="shared" si="37"/>
        <v>175.196934</v>
      </c>
      <c r="AR276" s="10">
        <f t="shared" si="38"/>
        <v>194.6613133674</v>
      </c>
      <c r="AS276" s="10">
        <f t="shared" si="39"/>
        <v>272.74658685119999</v>
      </c>
    </row>
    <row r="277" spans="1:45" x14ac:dyDescent="0.3">
      <c r="A277">
        <v>2025</v>
      </c>
      <c r="B277">
        <v>1</v>
      </c>
      <c r="C277" t="s">
        <v>55</v>
      </c>
      <c r="D277">
        <v>10</v>
      </c>
      <c r="E277" t="s">
        <v>36</v>
      </c>
      <c r="F277" t="s">
        <v>37</v>
      </c>
      <c r="G277" t="s">
        <v>38</v>
      </c>
      <c r="H277" t="s">
        <v>78</v>
      </c>
      <c r="I277" t="s">
        <v>57</v>
      </c>
      <c r="J277" t="s">
        <v>58</v>
      </c>
      <c r="K277" t="s">
        <v>59</v>
      </c>
      <c r="M277" t="s">
        <v>60</v>
      </c>
      <c r="N277" t="s">
        <v>61</v>
      </c>
      <c r="O277" t="s">
        <v>43</v>
      </c>
      <c r="Q277" t="s">
        <v>62</v>
      </c>
      <c r="R277" t="s">
        <v>63</v>
      </c>
      <c r="S277" t="s">
        <v>63</v>
      </c>
      <c r="T277" t="s">
        <v>47</v>
      </c>
      <c r="U277" t="s">
        <v>105</v>
      </c>
      <c r="V277" t="s">
        <v>49</v>
      </c>
      <c r="W277" t="s">
        <v>106</v>
      </c>
      <c r="X277" t="s">
        <v>51</v>
      </c>
      <c r="Y277" t="s">
        <v>832</v>
      </c>
      <c r="Z277" t="s">
        <v>832</v>
      </c>
      <c r="AA277" t="s">
        <v>833</v>
      </c>
      <c r="AB277" s="3">
        <f t="shared" si="32"/>
        <v>29.999999999999996</v>
      </c>
      <c r="AC277">
        <v>831.3</v>
      </c>
      <c r="AD277" s="2">
        <v>27.71</v>
      </c>
      <c r="AE277" s="2">
        <v>175.77</v>
      </c>
      <c r="AF277" s="2">
        <v>6.15</v>
      </c>
      <c r="AG277" s="2">
        <v>1013.22</v>
      </c>
      <c r="AH277">
        <v>0</v>
      </c>
      <c r="AI277">
        <v>33.774000000000001</v>
      </c>
      <c r="AJ277">
        <v>5.0660999999999996</v>
      </c>
      <c r="AK277" t="s">
        <v>54</v>
      </c>
      <c r="AL277">
        <v>6.1</v>
      </c>
      <c r="AM277" s="4">
        <f t="shared" si="33"/>
        <v>33.774000000000008</v>
      </c>
      <c r="AN277" s="4">
        <f t="shared" si="34"/>
        <v>51.956250000000004</v>
      </c>
      <c r="AO277" s="4">
        <f t="shared" si="35"/>
        <v>57.723393750000007</v>
      </c>
      <c r="AP277" s="4">
        <f t="shared" si="36"/>
        <v>84.163929374999995</v>
      </c>
      <c r="AQ277" s="10">
        <f t="shared" si="37"/>
        <v>58.736363400000016</v>
      </c>
      <c r="AR277" s="10">
        <f t="shared" si="38"/>
        <v>65.26197337374002</v>
      </c>
      <c r="AS277" s="10">
        <f t="shared" si="39"/>
        <v>91.440770541120017</v>
      </c>
    </row>
    <row r="278" spans="1:45" x14ac:dyDescent="0.3">
      <c r="A278">
        <v>2025</v>
      </c>
      <c r="B278">
        <v>3</v>
      </c>
      <c r="C278" t="s">
        <v>55</v>
      </c>
      <c r="D278">
        <v>10</v>
      </c>
      <c r="E278" t="s">
        <v>36</v>
      </c>
      <c r="F278" t="s">
        <v>37</v>
      </c>
      <c r="G278" t="s">
        <v>38</v>
      </c>
      <c r="H278" t="s">
        <v>78</v>
      </c>
      <c r="I278" t="s">
        <v>190</v>
      </c>
      <c r="J278" t="s">
        <v>58</v>
      </c>
      <c r="K278" t="s">
        <v>59</v>
      </c>
      <c r="M278" t="s">
        <v>209</v>
      </c>
      <c r="N278" t="s">
        <v>61</v>
      </c>
      <c r="O278" t="s">
        <v>43</v>
      </c>
      <c r="Q278" t="s">
        <v>62</v>
      </c>
      <c r="R278" t="s">
        <v>210</v>
      </c>
      <c r="S278" t="s">
        <v>211</v>
      </c>
      <c r="T278" t="s">
        <v>47</v>
      </c>
      <c r="U278" t="s">
        <v>105</v>
      </c>
      <c r="V278" t="s">
        <v>49</v>
      </c>
      <c r="W278" t="s">
        <v>106</v>
      </c>
      <c r="X278" t="s">
        <v>51</v>
      </c>
      <c r="Y278" t="s">
        <v>107</v>
      </c>
      <c r="Z278" t="s">
        <v>64</v>
      </c>
      <c r="AA278" t="s">
        <v>113</v>
      </c>
      <c r="AB278" s="3">
        <f t="shared" si="32"/>
        <v>15</v>
      </c>
      <c r="AC278">
        <v>642.48</v>
      </c>
      <c r="AD278" s="2">
        <v>42.832000000000001</v>
      </c>
      <c r="AE278" s="2">
        <v>154.36000000000001</v>
      </c>
      <c r="AF278" s="2">
        <v>4.4400000000000004</v>
      </c>
      <c r="AG278" s="2">
        <v>801.27</v>
      </c>
      <c r="AH278">
        <v>0</v>
      </c>
      <c r="AI278">
        <v>53.417999999999999</v>
      </c>
      <c r="AJ278">
        <v>4.0063500000000003</v>
      </c>
      <c r="AK278" t="s">
        <v>54</v>
      </c>
      <c r="AL278">
        <v>45.08</v>
      </c>
      <c r="AM278" s="4">
        <f t="shared" si="33"/>
        <v>53.417999999999999</v>
      </c>
      <c r="AN278" s="4">
        <f t="shared" si="34"/>
        <v>80.31</v>
      </c>
      <c r="AO278" s="4">
        <f t="shared" si="35"/>
        <v>89.224410000000006</v>
      </c>
      <c r="AP278" s="4">
        <f t="shared" si="36"/>
        <v>130.09416899999999</v>
      </c>
      <c r="AQ278" s="10">
        <f t="shared" si="37"/>
        <v>92.899243800000008</v>
      </c>
      <c r="AR278" s="10">
        <f t="shared" si="38"/>
        <v>103.22034978618001</v>
      </c>
      <c r="AS278" s="10">
        <f t="shared" si="39"/>
        <v>144.62554274784</v>
      </c>
    </row>
    <row r="279" spans="1:45" x14ac:dyDescent="0.3">
      <c r="A279">
        <v>2025</v>
      </c>
      <c r="B279">
        <v>3</v>
      </c>
      <c r="C279" t="s">
        <v>55</v>
      </c>
      <c r="D279">
        <v>10</v>
      </c>
      <c r="E279" t="s">
        <v>36</v>
      </c>
      <c r="F279" t="s">
        <v>37</v>
      </c>
      <c r="G279" t="s">
        <v>38</v>
      </c>
      <c r="H279" t="s">
        <v>78</v>
      </c>
      <c r="I279" t="s">
        <v>190</v>
      </c>
      <c r="J279" t="s">
        <v>58</v>
      </c>
      <c r="K279" t="s">
        <v>59</v>
      </c>
      <c r="M279" t="s">
        <v>213</v>
      </c>
      <c r="N279" t="s">
        <v>61</v>
      </c>
      <c r="O279" t="s">
        <v>43</v>
      </c>
      <c r="Q279" t="s">
        <v>62</v>
      </c>
      <c r="R279" t="s">
        <v>214</v>
      </c>
      <c r="S279" t="s">
        <v>215</v>
      </c>
      <c r="T279" t="s">
        <v>47</v>
      </c>
      <c r="U279" t="s">
        <v>105</v>
      </c>
      <c r="V279" t="s">
        <v>49</v>
      </c>
      <c r="W279" t="s">
        <v>106</v>
      </c>
      <c r="X279" t="s">
        <v>51</v>
      </c>
      <c r="Y279" t="s">
        <v>107</v>
      </c>
      <c r="Z279" t="s">
        <v>64</v>
      </c>
      <c r="AA279" t="s">
        <v>113</v>
      </c>
      <c r="AB279" s="3">
        <f t="shared" si="32"/>
        <v>20</v>
      </c>
      <c r="AC279">
        <v>845.99</v>
      </c>
      <c r="AD279" s="2">
        <v>42.299500000000002</v>
      </c>
      <c r="AE279" s="2">
        <v>188.97</v>
      </c>
      <c r="AF279" s="2">
        <v>6.2</v>
      </c>
      <c r="AG279" s="2">
        <v>1041.1500000000001</v>
      </c>
      <c r="AH279">
        <v>0</v>
      </c>
      <c r="AI279">
        <v>52.057499999999997</v>
      </c>
      <c r="AJ279">
        <v>5.2057500000000001</v>
      </c>
      <c r="AK279" t="s">
        <v>54</v>
      </c>
      <c r="AL279">
        <v>44.04</v>
      </c>
      <c r="AM279" s="4">
        <f t="shared" si="33"/>
        <v>52.057500000000005</v>
      </c>
      <c r="AN279" s="4">
        <f t="shared" si="34"/>
        <v>79.311562500000008</v>
      </c>
      <c r="AO279" s="4">
        <f t="shared" si="35"/>
        <v>88.115145937500003</v>
      </c>
      <c r="AP279" s="4">
        <f t="shared" si="36"/>
        <v>128.47680009375</v>
      </c>
      <c r="AQ279" s="10">
        <f t="shared" si="37"/>
        <v>90.533198250000012</v>
      </c>
      <c r="AR279" s="10">
        <f t="shared" si="38"/>
        <v>100.59143657557502</v>
      </c>
      <c r="AS279" s="10">
        <f t="shared" si="39"/>
        <v>140.94208303560001</v>
      </c>
    </row>
    <row r="280" spans="1:45" x14ac:dyDescent="0.3">
      <c r="A280">
        <v>2025</v>
      </c>
      <c r="B280">
        <v>4</v>
      </c>
      <c r="C280" t="s">
        <v>55</v>
      </c>
      <c r="D280">
        <v>10</v>
      </c>
      <c r="E280" t="s">
        <v>36</v>
      </c>
      <c r="F280" t="s">
        <v>37</v>
      </c>
      <c r="G280" t="s">
        <v>38</v>
      </c>
      <c r="H280" t="s">
        <v>78</v>
      </c>
      <c r="I280" t="s">
        <v>375</v>
      </c>
      <c r="J280" t="s">
        <v>376</v>
      </c>
      <c r="K280" t="s">
        <v>59</v>
      </c>
      <c r="M280">
        <v>2503061</v>
      </c>
      <c r="N280" t="s">
        <v>377</v>
      </c>
      <c r="O280" t="s">
        <v>36</v>
      </c>
      <c r="Q280" t="s">
        <v>62</v>
      </c>
      <c r="R280" t="s">
        <v>378</v>
      </c>
      <c r="S280" t="s">
        <v>378</v>
      </c>
      <c r="T280" t="s">
        <v>47</v>
      </c>
      <c r="U280" t="s">
        <v>105</v>
      </c>
      <c r="V280" t="s">
        <v>49</v>
      </c>
      <c r="W280" t="s">
        <v>106</v>
      </c>
      <c r="X280" t="s">
        <v>51</v>
      </c>
      <c r="Y280" t="s">
        <v>107</v>
      </c>
      <c r="Z280" t="s">
        <v>64</v>
      </c>
      <c r="AA280" t="s">
        <v>113</v>
      </c>
      <c r="AB280" s="3">
        <f t="shared" si="32"/>
        <v>14.999999999999883</v>
      </c>
      <c r="AC280">
        <v>644.41</v>
      </c>
      <c r="AD280" s="2">
        <v>42.960666666667002</v>
      </c>
      <c r="AE280" s="2">
        <v>135.22999999999999</v>
      </c>
      <c r="AF280" s="2">
        <v>4.7699999999999996</v>
      </c>
      <c r="AG280" s="2">
        <v>784.41</v>
      </c>
      <c r="AH280">
        <v>0</v>
      </c>
      <c r="AI280">
        <v>52.293999999999997</v>
      </c>
      <c r="AJ280">
        <v>3.92205</v>
      </c>
      <c r="AK280" t="s">
        <v>54</v>
      </c>
      <c r="AL280">
        <v>29.16</v>
      </c>
      <c r="AM280" s="4">
        <f t="shared" si="33"/>
        <v>52.294000000000409</v>
      </c>
      <c r="AN280" s="4">
        <f t="shared" si="34"/>
        <v>80.551250000000636</v>
      </c>
      <c r="AO280" s="4">
        <f t="shared" si="35"/>
        <v>89.492438750000701</v>
      </c>
      <c r="AP280" s="4">
        <f t="shared" si="36"/>
        <v>130.48496987500101</v>
      </c>
      <c r="AQ280" s="10">
        <f t="shared" si="37"/>
        <v>90.944495400000719</v>
      </c>
      <c r="AR280" s="10">
        <f t="shared" si="38"/>
        <v>101.04842883894079</v>
      </c>
      <c r="AS280" s="10">
        <f t="shared" si="39"/>
        <v>141.58239043872112</v>
      </c>
    </row>
    <row r="281" spans="1:45" x14ac:dyDescent="0.3">
      <c r="A281">
        <v>2025</v>
      </c>
      <c r="B281">
        <v>4</v>
      </c>
      <c r="C281" t="s">
        <v>55</v>
      </c>
      <c r="D281">
        <v>10</v>
      </c>
      <c r="E281" t="s">
        <v>36</v>
      </c>
      <c r="F281" t="s">
        <v>37</v>
      </c>
      <c r="G281" t="s">
        <v>38</v>
      </c>
      <c r="H281" t="s">
        <v>78</v>
      </c>
      <c r="I281" t="s">
        <v>375</v>
      </c>
      <c r="J281" t="s">
        <v>376</v>
      </c>
      <c r="K281" t="s">
        <v>59</v>
      </c>
      <c r="M281">
        <v>2503061</v>
      </c>
      <c r="N281" t="s">
        <v>377</v>
      </c>
      <c r="O281" t="s">
        <v>36</v>
      </c>
      <c r="Q281" t="s">
        <v>62</v>
      </c>
      <c r="R281" t="s">
        <v>378</v>
      </c>
      <c r="S281" t="s">
        <v>378</v>
      </c>
      <c r="T281" t="s">
        <v>47</v>
      </c>
      <c r="U281" t="s">
        <v>105</v>
      </c>
      <c r="V281" t="s">
        <v>49</v>
      </c>
      <c r="W281" t="s">
        <v>106</v>
      </c>
      <c r="X281" t="s">
        <v>51</v>
      </c>
      <c r="Y281" t="s">
        <v>107</v>
      </c>
      <c r="Z281" t="s">
        <v>107</v>
      </c>
      <c r="AA281" t="s">
        <v>113</v>
      </c>
      <c r="AB281" s="3">
        <f t="shared" si="32"/>
        <v>25</v>
      </c>
      <c r="AC281">
        <v>1107.49</v>
      </c>
      <c r="AD281" s="2">
        <v>44.299599999999998</v>
      </c>
      <c r="AE281" s="2">
        <v>590.07000000000005</v>
      </c>
      <c r="AF281" s="2">
        <v>7.4</v>
      </c>
      <c r="AG281" s="2">
        <v>1704.96</v>
      </c>
      <c r="AH281">
        <v>0</v>
      </c>
      <c r="AI281">
        <v>68.198400000000007</v>
      </c>
      <c r="AJ281">
        <v>8.5248000000000008</v>
      </c>
      <c r="AK281" t="s">
        <v>54</v>
      </c>
      <c r="AL281">
        <v>28.16</v>
      </c>
      <c r="AM281" s="4">
        <f t="shared" si="33"/>
        <v>68.198400000000007</v>
      </c>
      <c r="AN281" s="4">
        <f t="shared" si="34"/>
        <v>83.061749999999989</v>
      </c>
      <c r="AO281" s="4">
        <f t="shared" si="35"/>
        <v>92.281604249999987</v>
      </c>
      <c r="AP281" s="4">
        <f t="shared" si="36"/>
        <v>134.55172882499997</v>
      </c>
      <c r="AQ281" s="10">
        <f t="shared" si="37"/>
        <v>118.60383744000002</v>
      </c>
      <c r="AR281" s="10">
        <f t="shared" si="38"/>
        <v>131.78072377958401</v>
      </c>
      <c r="AS281" s="10">
        <f t="shared" si="39"/>
        <v>184.64245412659201</v>
      </c>
    </row>
    <row r="282" spans="1:45" x14ac:dyDescent="0.3">
      <c r="A282">
        <v>2025</v>
      </c>
      <c r="B282">
        <v>5</v>
      </c>
      <c r="C282" t="s">
        <v>55</v>
      </c>
      <c r="D282">
        <v>10</v>
      </c>
      <c r="E282" t="s">
        <v>36</v>
      </c>
      <c r="F282" t="s">
        <v>37</v>
      </c>
      <c r="G282" t="s">
        <v>38</v>
      </c>
      <c r="H282" t="s">
        <v>78</v>
      </c>
      <c r="I282" t="s">
        <v>190</v>
      </c>
      <c r="J282" t="s">
        <v>58</v>
      </c>
      <c r="K282" t="s">
        <v>59</v>
      </c>
      <c r="M282" t="s">
        <v>682</v>
      </c>
      <c r="N282" t="s">
        <v>384</v>
      </c>
      <c r="O282" t="s">
        <v>36</v>
      </c>
      <c r="Q282" t="s">
        <v>62</v>
      </c>
      <c r="R282" t="s">
        <v>683</v>
      </c>
      <c r="S282" t="s">
        <v>683</v>
      </c>
      <c r="T282" t="s">
        <v>47</v>
      </c>
      <c r="U282" t="s">
        <v>105</v>
      </c>
      <c r="V282" t="s">
        <v>49</v>
      </c>
      <c r="W282" t="s">
        <v>708</v>
      </c>
      <c r="X282" t="s">
        <v>686</v>
      </c>
      <c r="Y282" t="s">
        <v>107</v>
      </c>
      <c r="Z282" t="s">
        <v>107</v>
      </c>
      <c r="AA282" t="s">
        <v>113</v>
      </c>
      <c r="AB282" s="3">
        <f t="shared" si="32"/>
        <v>20</v>
      </c>
      <c r="AC282">
        <v>863.7</v>
      </c>
      <c r="AD282" s="2">
        <v>43.185000000000002</v>
      </c>
      <c r="AE282" s="2">
        <v>301.74</v>
      </c>
      <c r="AF282" s="2">
        <v>5.91</v>
      </c>
      <c r="AG282" s="2">
        <v>1171.3499999999999</v>
      </c>
      <c r="AH282">
        <v>0</v>
      </c>
      <c r="AI282">
        <v>58.567500000000003</v>
      </c>
      <c r="AJ282">
        <v>5.8567499999999999</v>
      </c>
      <c r="AK282" t="s">
        <v>54</v>
      </c>
      <c r="AL282">
        <v>14.4</v>
      </c>
      <c r="AM282" s="4">
        <f t="shared" si="33"/>
        <v>58.567499999999995</v>
      </c>
      <c r="AN282" s="4">
        <f t="shared" si="34"/>
        <v>80.971875000000011</v>
      </c>
      <c r="AO282" s="4">
        <f t="shared" si="35"/>
        <v>89.959753125000006</v>
      </c>
      <c r="AP282" s="4">
        <f t="shared" si="36"/>
        <v>131.16634031250001</v>
      </c>
      <c r="AQ282" s="10">
        <f t="shared" si="37"/>
        <v>101.85473924999999</v>
      </c>
      <c r="AR282" s="10">
        <f t="shared" si="38"/>
        <v>113.17080078067499</v>
      </c>
      <c r="AS282" s="10">
        <f t="shared" si="39"/>
        <v>158.5674580644</v>
      </c>
    </row>
    <row r="283" spans="1:45" x14ac:dyDescent="0.3">
      <c r="A283">
        <v>2025</v>
      </c>
      <c r="B283">
        <v>7</v>
      </c>
      <c r="C283" t="s">
        <v>55</v>
      </c>
      <c r="D283">
        <v>10</v>
      </c>
      <c r="E283" t="s">
        <v>36</v>
      </c>
      <c r="F283" t="s">
        <v>37</v>
      </c>
      <c r="G283" t="s">
        <v>38</v>
      </c>
      <c r="H283" t="s">
        <v>78</v>
      </c>
      <c r="I283" t="s">
        <v>190</v>
      </c>
      <c r="J283" t="s">
        <v>58</v>
      </c>
      <c r="K283" t="s">
        <v>41</v>
      </c>
      <c r="L283" t="s">
        <v>953</v>
      </c>
      <c r="M283" t="s">
        <v>954</v>
      </c>
      <c r="N283" t="s">
        <v>731</v>
      </c>
      <c r="O283" t="s">
        <v>36</v>
      </c>
      <c r="Q283" t="s">
        <v>62</v>
      </c>
      <c r="R283" t="s">
        <v>955</v>
      </c>
      <c r="S283" t="s">
        <v>956</v>
      </c>
      <c r="T283" t="s">
        <v>47</v>
      </c>
      <c r="U283" t="s">
        <v>114</v>
      </c>
      <c r="V283" t="s">
        <v>49</v>
      </c>
      <c r="W283" t="s">
        <v>710</v>
      </c>
      <c r="X283" t="s">
        <v>51</v>
      </c>
      <c r="Y283" t="s">
        <v>107</v>
      </c>
      <c r="Z283" t="s">
        <v>107</v>
      </c>
      <c r="AA283" t="s">
        <v>113</v>
      </c>
      <c r="AB283" s="3">
        <f t="shared" si="32"/>
        <v>5.9999999999999574</v>
      </c>
      <c r="AC283">
        <v>279.19</v>
      </c>
      <c r="AD283" s="2">
        <v>46.531666666667</v>
      </c>
      <c r="AE283" s="2">
        <v>568.92999999999995</v>
      </c>
      <c r="AF283" s="2">
        <v>1.88</v>
      </c>
      <c r="AG283" s="2">
        <v>850</v>
      </c>
      <c r="AH283">
        <v>0</v>
      </c>
      <c r="AI283">
        <v>141.66666666667001</v>
      </c>
      <c r="AJ283">
        <v>4.25</v>
      </c>
      <c r="AK283" t="s">
        <v>54</v>
      </c>
      <c r="AL283">
        <v>18.670000000000002</v>
      </c>
      <c r="AM283" s="4">
        <f t="shared" si="33"/>
        <v>141.66666666666768</v>
      </c>
      <c r="AN283" s="4">
        <f t="shared" si="34"/>
        <v>87.246875000000628</v>
      </c>
      <c r="AO283" s="4">
        <f t="shared" si="35"/>
        <v>96.931278125000702</v>
      </c>
      <c r="AP283" s="4">
        <f t="shared" si="36"/>
        <v>141.33121281250101</v>
      </c>
      <c r="AQ283" s="10">
        <f t="shared" si="37"/>
        <v>246.37250000000176</v>
      </c>
      <c r="AR283" s="10">
        <f t="shared" si="38"/>
        <v>273.74448475000196</v>
      </c>
      <c r="AS283" s="10">
        <f t="shared" si="39"/>
        <v>383.55270800000272</v>
      </c>
    </row>
    <row r="284" spans="1:45" x14ac:dyDescent="0.3">
      <c r="A284">
        <v>2025</v>
      </c>
      <c r="B284">
        <v>8</v>
      </c>
      <c r="C284" t="s">
        <v>55</v>
      </c>
      <c r="D284">
        <v>10</v>
      </c>
      <c r="E284" t="s">
        <v>36</v>
      </c>
      <c r="F284" t="s">
        <v>37</v>
      </c>
      <c r="G284" t="s">
        <v>38</v>
      </c>
      <c r="H284" t="s">
        <v>78</v>
      </c>
      <c r="I284" t="s">
        <v>190</v>
      </c>
      <c r="J284" t="s">
        <v>58</v>
      </c>
      <c r="K284" t="s">
        <v>59</v>
      </c>
      <c r="L284" t="s">
        <v>1194</v>
      </c>
      <c r="M284" t="s">
        <v>1195</v>
      </c>
      <c r="N284" t="s">
        <v>1196</v>
      </c>
      <c r="O284" t="s">
        <v>1197</v>
      </c>
      <c r="Q284" t="s">
        <v>62</v>
      </c>
      <c r="R284" t="s">
        <v>1198</v>
      </c>
      <c r="S284" t="s">
        <v>1198</v>
      </c>
      <c r="T284" t="s">
        <v>47</v>
      </c>
      <c r="U284" t="s">
        <v>105</v>
      </c>
      <c r="V284" t="s">
        <v>49</v>
      </c>
      <c r="W284" t="s">
        <v>708</v>
      </c>
      <c r="X284" t="s">
        <v>388</v>
      </c>
      <c r="Y284" t="s">
        <v>1069</v>
      </c>
      <c r="Z284" t="s">
        <v>1069</v>
      </c>
      <c r="AA284" t="s">
        <v>113</v>
      </c>
      <c r="AB284" s="3">
        <f t="shared" si="32"/>
        <v>34.999999999999865</v>
      </c>
      <c r="AC284">
        <v>1263.4000000000001</v>
      </c>
      <c r="AD284" s="2">
        <v>36.097142857142998</v>
      </c>
      <c r="AE284" s="2">
        <v>1016.46</v>
      </c>
      <c r="AF284" s="2">
        <v>8.8000000000000007</v>
      </c>
      <c r="AG284" s="2">
        <v>2287.59</v>
      </c>
      <c r="AH284">
        <v>0</v>
      </c>
      <c r="AI284">
        <v>65.359714285714006</v>
      </c>
      <c r="AJ284">
        <v>11.437950000000001</v>
      </c>
      <c r="AK284" t="s">
        <v>54</v>
      </c>
      <c r="AL284">
        <v>76.900000000000006</v>
      </c>
      <c r="AM284" s="4">
        <f t="shared" si="33"/>
        <v>65.359714285714546</v>
      </c>
      <c r="AN284" s="4">
        <f t="shared" si="34"/>
        <v>67.68214285714312</v>
      </c>
      <c r="AO284" s="4">
        <f t="shared" si="35"/>
        <v>75.194860714286008</v>
      </c>
      <c r="AP284" s="4">
        <f t="shared" si="36"/>
        <v>109.63830321428614</v>
      </c>
      <c r="AQ284" s="10">
        <f t="shared" si="37"/>
        <v>113.66707911428617</v>
      </c>
      <c r="AR284" s="10">
        <f t="shared" si="38"/>
        <v>126.29549160388336</v>
      </c>
      <c r="AS284" s="10">
        <f t="shared" si="39"/>
        <v>176.95690876512069</v>
      </c>
    </row>
    <row r="285" spans="1:45" x14ac:dyDescent="0.3">
      <c r="A285">
        <v>2025</v>
      </c>
      <c r="B285">
        <v>11</v>
      </c>
      <c r="C285" t="s">
        <v>55</v>
      </c>
      <c r="D285">
        <v>10</v>
      </c>
      <c r="E285" t="s">
        <v>36</v>
      </c>
      <c r="F285" t="s">
        <v>37</v>
      </c>
      <c r="G285" t="s">
        <v>38</v>
      </c>
      <c r="H285" t="s">
        <v>78</v>
      </c>
      <c r="I285" t="s">
        <v>375</v>
      </c>
      <c r="J285" t="s">
        <v>376</v>
      </c>
      <c r="K285" t="s">
        <v>51</v>
      </c>
      <c r="L285" t="s">
        <v>1622</v>
      </c>
      <c r="M285" t="s">
        <v>1623</v>
      </c>
      <c r="N285" t="s">
        <v>1485</v>
      </c>
      <c r="O285" t="s">
        <v>1197</v>
      </c>
      <c r="Q285" t="s">
        <v>62</v>
      </c>
      <c r="R285" t="s">
        <v>1624</v>
      </c>
      <c r="S285" t="s">
        <v>1624</v>
      </c>
      <c r="T285" t="s">
        <v>47</v>
      </c>
      <c r="U285" t="s">
        <v>105</v>
      </c>
      <c r="V285" t="s">
        <v>49</v>
      </c>
      <c r="W285" t="s">
        <v>708</v>
      </c>
      <c r="X285" t="s">
        <v>51</v>
      </c>
      <c r="Y285" t="s">
        <v>1069</v>
      </c>
      <c r="Z285" t="s">
        <v>1069</v>
      </c>
      <c r="AA285" t="s">
        <v>113</v>
      </c>
      <c r="AB285" s="3">
        <f t="shared" si="32"/>
        <v>29.999999999999716</v>
      </c>
      <c r="AC285">
        <v>1063.6099999999999</v>
      </c>
      <c r="AD285" s="2">
        <v>35.453666666666997</v>
      </c>
      <c r="AE285" s="2">
        <v>76.22</v>
      </c>
      <c r="AF285" s="2">
        <v>6.88</v>
      </c>
      <c r="AG285" s="2">
        <v>1146.72</v>
      </c>
      <c r="AH285">
        <v>0</v>
      </c>
      <c r="AI285">
        <v>38.223999999999997</v>
      </c>
      <c r="AJ285">
        <v>5.7336</v>
      </c>
      <c r="AK285" t="s">
        <v>54</v>
      </c>
      <c r="AL285">
        <v>8.9600000000000009</v>
      </c>
      <c r="AM285" s="4">
        <f t="shared" si="33"/>
        <v>38.224000000000366</v>
      </c>
      <c r="AN285" s="4">
        <f t="shared" si="34"/>
        <v>66.475625000000619</v>
      </c>
      <c r="AO285" s="4">
        <f t="shared" si="35"/>
        <v>73.854419375000688</v>
      </c>
      <c r="AP285" s="4">
        <f t="shared" si="36"/>
        <v>107.683864937501</v>
      </c>
      <c r="AQ285" s="10">
        <f t="shared" si="37"/>
        <v>66.475358400000644</v>
      </c>
      <c r="AR285" s="10">
        <f t="shared" si="38"/>
        <v>73.860770718240715</v>
      </c>
      <c r="AS285" s="10">
        <f t="shared" si="39"/>
        <v>103.48883795712101</v>
      </c>
    </row>
    <row r="286" spans="1:45" x14ac:dyDescent="0.3">
      <c r="A286">
        <v>2025</v>
      </c>
      <c r="B286">
        <v>11</v>
      </c>
      <c r="C286" t="s">
        <v>55</v>
      </c>
      <c r="D286">
        <v>10</v>
      </c>
      <c r="E286" t="s">
        <v>36</v>
      </c>
      <c r="F286" t="s">
        <v>37</v>
      </c>
      <c r="G286" t="s">
        <v>38</v>
      </c>
      <c r="H286" t="s">
        <v>78</v>
      </c>
      <c r="I286" t="s">
        <v>375</v>
      </c>
      <c r="J286" t="s">
        <v>376</v>
      </c>
      <c r="K286" t="s">
        <v>59</v>
      </c>
      <c r="L286" t="s">
        <v>1647</v>
      </c>
      <c r="M286" t="s">
        <v>1633</v>
      </c>
      <c r="N286" t="s">
        <v>1485</v>
      </c>
      <c r="O286" t="s">
        <v>1197</v>
      </c>
      <c r="Q286" t="s">
        <v>62</v>
      </c>
      <c r="R286" t="s">
        <v>1648</v>
      </c>
      <c r="S286" t="s">
        <v>1648</v>
      </c>
      <c r="T286" t="s">
        <v>47</v>
      </c>
      <c r="U286" t="s">
        <v>105</v>
      </c>
      <c r="V286" t="s">
        <v>49</v>
      </c>
      <c r="W286" t="s">
        <v>708</v>
      </c>
      <c r="X286" t="s">
        <v>51</v>
      </c>
      <c r="Y286" t="s">
        <v>1691</v>
      </c>
      <c r="Z286" t="s">
        <v>1691</v>
      </c>
      <c r="AA286" t="s">
        <v>113</v>
      </c>
      <c r="AB286" s="3">
        <f t="shared" si="32"/>
        <v>20</v>
      </c>
      <c r="AC286">
        <v>681.49</v>
      </c>
      <c r="AD286" s="2">
        <v>34.0745</v>
      </c>
      <c r="AE286" s="2">
        <v>95.43</v>
      </c>
      <c r="AF286" s="2">
        <v>4.72</v>
      </c>
      <c r="AG286" s="2">
        <v>781.63</v>
      </c>
      <c r="AH286">
        <v>0</v>
      </c>
      <c r="AI286">
        <v>39.081499999999998</v>
      </c>
      <c r="AJ286">
        <v>3.90815</v>
      </c>
      <c r="AK286" t="s">
        <v>54</v>
      </c>
      <c r="AL286">
        <v>3.58</v>
      </c>
      <c r="AM286" s="4">
        <f t="shared" si="33"/>
        <v>39.081499999999998</v>
      </c>
      <c r="AN286" s="4">
        <f t="shared" si="34"/>
        <v>63.889687500000001</v>
      </c>
      <c r="AO286" s="4">
        <f t="shared" si="35"/>
        <v>70.981442812500006</v>
      </c>
      <c r="AP286" s="4">
        <f t="shared" si="36"/>
        <v>103.49490478125</v>
      </c>
      <c r="AQ286" s="10">
        <f t="shared" si="37"/>
        <v>67.966636649999998</v>
      </c>
      <c r="AR286" s="10">
        <f t="shared" si="38"/>
        <v>75.517729981814995</v>
      </c>
      <c r="AS286" s="10">
        <f t="shared" si="39"/>
        <v>105.81045993671999</v>
      </c>
    </row>
    <row r="287" spans="1:45" x14ac:dyDescent="0.3">
      <c r="A287">
        <v>2025</v>
      </c>
      <c r="B287">
        <v>8</v>
      </c>
      <c r="C287" t="s">
        <v>55</v>
      </c>
      <c r="D287">
        <v>10</v>
      </c>
      <c r="E287" t="s">
        <v>36</v>
      </c>
      <c r="F287" t="s">
        <v>37</v>
      </c>
      <c r="G287" t="s">
        <v>38</v>
      </c>
      <c r="H287" t="s">
        <v>341</v>
      </c>
      <c r="I287" t="s">
        <v>190</v>
      </c>
      <c r="J287" t="s">
        <v>58</v>
      </c>
      <c r="K287" t="s">
        <v>59</v>
      </c>
      <c r="L287" t="s">
        <v>1194</v>
      </c>
      <c r="M287" t="s">
        <v>1195</v>
      </c>
      <c r="N287" t="s">
        <v>1196</v>
      </c>
      <c r="O287" t="s">
        <v>1197</v>
      </c>
      <c r="Q287" t="s">
        <v>62</v>
      </c>
      <c r="R287" t="s">
        <v>1198</v>
      </c>
      <c r="S287" t="s">
        <v>1198</v>
      </c>
      <c r="T287" t="s">
        <v>47</v>
      </c>
      <c r="U287" t="s">
        <v>178</v>
      </c>
      <c r="V287" t="s">
        <v>49</v>
      </c>
      <c r="W287" t="s">
        <v>179</v>
      </c>
      <c r="X287" t="s">
        <v>388</v>
      </c>
      <c r="Y287" t="s">
        <v>1069</v>
      </c>
      <c r="Z287" t="s">
        <v>1069</v>
      </c>
      <c r="AA287" t="s">
        <v>113</v>
      </c>
      <c r="AB287" s="3">
        <f t="shared" si="32"/>
        <v>30.000000000000281</v>
      </c>
      <c r="AC287">
        <v>1068.97</v>
      </c>
      <c r="AD287" s="2">
        <v>35.632333333333001</v>
      </c>
      <c r="AE287" s="2">
        <v>359.22</v>
      </c>
      <c r="AF287" s="2">
        <v>8.4600000000000009</v>
      </c>
      <c r="AG287" s="2">
        <v>1436.65</v>
      </c>
      <c r="AH287">
        <v>0</v>
      </c>
      <c r="AI287">
        <v>47.888333333333001</v>
      </c>
      <c r="AJ287">
        <v>7.1832500000000001</v>
      </c>
      <c r="AK287" t="s">
        <v>54</v>
      </c>
      <c r="AL287">
        <v>9.24</v>
      </c>
      <c r="AM287" s="4">
        <f t="shared" si="33"/>
        <v>47.888333333332888</v>
      </c>
      <c r="AN287" s="4">
        <f t="shared" si="34"/>
        <v>66.810624999999376</v>
      </c>
      <c r="AO287" s="4">
        <f t="shared" si="35"/>
        <v>74.226604374999312</v>
      </c>
      <c r="AP287" s="4">
        <f t="shared" si="36"/>
        <v>108.22653143749898</v>
      </c>
      <c r="AQ287" s="10">
        <f t="shared" si="37"/>
        <v>83.282600499999234</v>
      </c>
      <c r="AR287" s="10">
        <f t="shared" si="38"/>
        <v>92.535297415549152</v>
      </c>
      <c r="AS287" s="10">
        <f t="shared" si="39"/>
        <v>129.65435245839879</v>
      </c>
    </row>
    <row r="288" spans="1:45" x14ac:dyDescent="0.3">
      <c r="A288">
        <v>2025</v>
      </c>
      <c r="B288">
        <v>11</v>
      </c>
      <c r="C288" t="s">
        <v>55</v>
      </c>
      <c r="D288">
        <v>10</v>
      </c>
      <c r="E288" t="s">
        <v>36</v>
      </c>
      <c r="F288" t="s">
        <v>37</v>
      </c>
      <c r="G288" t="s">
        <v>38</v>
      </c>
      <c r="H288" t="s">
        <v>341</v>
      </c>
      <c r="I288" t="s">
        <v>375</v>
      </c>
      <c r="J288" t="s">
        <v>376</v>
      </c>
      <c r="K288" t="s">
        <v>59</v>
      </c>
      <c r="L288" t="s">
        <v>1647</v>
      </c>
      <c r="M288" t="s">
        <v>1633</v>
      </c>
      <c r="N288" t="s">
        <v>1485</v>
      </c>
      <c r="O288" t="s">
        <v>1197</v>
      </c>
      <c r="Q288" t="s">
        <v>62</v>
      </c>
      <c r="R288" t="s">
        <v>1648</v>
      </c>
      <c r="S288" t="s">
        <v>1648</v>
      </c>
      <c r="T288" t="s">
        <v>47</v>
      </c>
      <c r="U288" t="s">
        <v>178</v>
      </c>
      <c r="V288" t="s">
        <v>49</v>
      </c>
      <c r="W288" t="s">
        <v>179</v>
      </c>
      <c r="X288" t="s">
        <v>51</v>
      </c>
      <c r="Y288" t="s">
        <v>1455</v>
      </c>
      <c r="Z288" t="s">
        <v>1455</v>
      </c>
      <c r="AA288" t="s">
        <v>1456</v>
      </c>
      <c r="AB288" s="3">
        <f t="shared" si="32"/>
        <v>2</v>
      </c>
      <c r="AC288">
        <v>102.54</v>
      </c>
      <c r="AD288" s="2">
        <v>51.27</v>
      </c>
      <c r="AE288" s="2">
        <v>7.35</v>
      </c>
      <c r="AF288" s="2">
        <v>0.66</v>
      </c>
      <c r="AG288" s="2">
        <v>110.55</v>
      </c>
      <c r="AH288">
        <v>0</v>
      </c>
      <c r="AI288">
        <v>55.274999999999999</v>
      </c>
      <c r="AJ288">
        <v>0.55274999999999996</v>
      </c>
      <c r="AK288" t="s">
        <v>54</v>
      </c>
      <c r="AL288">
        <v>0.86</v>
      </c>
      <c r="AM288" s="4">
        <f t="shared" si="33"/>
        <v>55.274999999999999</v>
      </c>
      <c r="AN288" s="4">
        <f t="shared" si="34"/>
        <v>96.131250000000009</v>
      </c>
      <c r="AO288" s="4">
        <f t="shared" si="35"/>
        <v>106.80181875000001</v>
      </c>
      <c r="AP288" s="4">
        <f t="shared" si="36"/>
        <v>155.723011875</v>
      </c>
      <c r="AQ288" s="10">
        <f t="shared" si="37"/>
        <v>96.128752500000004</v>
      </c>
      <c r="AR288" s="10">
        <f t="shared" si="38"/>
        <v>106.80865690275</v>
      </c>
      <c r="AS288" s="10">
        <f t="shared" si="39"/>
        <v>149.65324189200001</v>
      </c>
    </row>
    <row r="289" spans="1:45" x14ac:dyDescent="0.3">
      <c r="A289">
        <v>2025</v>
      </c>
      <c r="B289">
        <v>8</v>
      </c>
      <c r="C289" t="s">
        <v>55</v>
      </c>
      <c r="D289">
        <v>10</v>
      </c>
      <c r="E289" t="s">
        <v>36</v>
      </c>
      <c r="F289" t="s">
        <v>37</v>
      </c>
      <c r="G289" t="s">
        <v>38</v>
      </c>
      <c r="H289" t="s">
        <v>83</v>
      </c>
      <c r="I289" t="s">
        <v>190</v>
      </c>
      <c r="J289" t="s">
        <v>58</v>
      </c>
      <c r="K289" t="s">
        <v>59</v>
      </c>
      <c r="L289" t="s">
        <v>1194</v>
      </c>
      <c r="M289" t="s">
        <v>1195</v>
      </c>
      <c r="N289" t="s">
        <v>1196</v>
      </c>
      <c r="O289" t="s">
        <v>1197</v>
      </c>
      <c r="Q289" t="s">
        <v>62</v>
      </c>
      <c r="R289" t="s">
        <v>1198</v>
      </c>
      <c r="S289" t="s">
        <v>1198</v>
      </c>
      <c r="T289" t="s">
        <v>47</v>
      </c>
      <c r="U289" t="s">
        <v>178</v>
      </c>
      <c r="V289" t="s">
        <v>49</v>
      </c>
      <c r="W289" t="s">
        <v>179</v>
      </c>
      <c r="X289" t="s">
        <v>388</v>
      </c>
      <c r="Y289" t="s">
        <v>1455</v>
      </c>
      <c r="Z289" t="s">
        <v>1455</v>
      </c>
      <c r="AA289" t="s">
        <v>1456</v>
      </c>
      <c r="AB289" s="3">
        <f t="shared" si="32"/>
        <v>2</v>
      </c>
      <c r="AC289">
        <v>103.5</v>
      </c>
      <c r="AD289" s="2">
        <v>51.75</v>
      </c>
      <c r="AE289" s="2">
        <v>34.6</v>
      </c>
      <c r="AF289" s="2">
        <v>0.82</v>
      </c>
      <c r="AG289" s="2">
        <v>138.47</v>
      </c>
      <c r="AH289">
        <v>0</v>
      </c>
      <c r="AI289">
        <v>69.234999999999999</v>
      </c>
      <c r="AJ289">
        <v>0.69235000000000002</v>
      </c>
      <c r="AK289" t="s">
        <v>54</v>
      </c>
      <c r="AL289">
        <v>0.89</v>
      </c>
      <c r="AM289" s="4">
        <f t="shared" si="33"/>
        <v>69.234999999999999</v>
      </c>
      <c r="AN289" s="4">
        <f t="shared" si="34"/>
        <v>97.03125</v>
      </c>
      <c r="AO289" s="4">
        <f t="shared" si="35"/>
        <v>107.80171874999999</v>
      </c>
      <c r="AP289" s="4">
        <f t="shared" si="36"/>
        <v>157.180921875</v>
      </c>
      <c r="AQ289" s="10">
        <f t="shared" si="37"/>
        <v>120.40658850000001</v>
      </c>
      <c r="AR289" s="10">
        <f t="shared" si="38"/>
        <v>133.78376048235</v>
      </c>
      <c r="AS289" s="10">
        <f t="shared" si="39"/>
        <v>187.44897697680003</v>
      </c>
    </row>
    <row r="290" spans="1:45" x14ac:dyDescent="0.3">
      <c r="A290">
        <v>2025</v>
      </c>
      <c r="B290">
        <v>4</v>
      </c>
      <c r="C290" t="s">
        <v>55</v>
      </c>
      <c r="D290">
        <v>10</v>
      </c>
      <c r="E290" t="s">
        <v>36</v>
      </c>
      <c r="F290" t="s">
        <v>37</v>
      </c>
      <c r="G290" t="s">
        <v>38</v>
      </c>
      <c r="H290" t="s">
        <v>78</v>
      </c>
      <c r="I290" t="s">
        <v>375</v>
      </c>
      <c r="J290" t="s">
        <v>376</v>
      </c>
      <c r="K290" t="s">
        <v>59</v>
      </c>
      <c r="M290">
        <v>2503061</v>
      </c>
      <c r="N290" t="s">
        <v>377</v>
      </c>
      <c r="O290" t="s">
        <v>36</v>
      </c>
      <c r="Q290" t="s">
        <v>62</v>
      </c>
      <c r="R290" t="s">
        <v>378</v>
      </c>
      <c r="S290" t="s">
        <v>378</v>
      </c>
      <c r="T290" t="s">
        <v>47</v>
      </c>
      <c r="U290" t="s">
        <v>453</v>
      </c>
      <c r="V290" t="s">
        <v>49</v>
      </c>
      <c r="W290" t="s">
        <v>454</v>
      </c>
      <c r="X290" t="s">
        <v>51</v>
      </c>
      <c r="Y290" t="s">
        <v>1453</v>
      </c>
      <c r="Z290" t="s">
        <v>1453</v>
      </c>
      <c r="AA290" t="s">
        <v>1454</v>
      </c>
      <c r="AB290" s="3">
        <f t="shared" si="32"/>
        <v>2</v>
      </c>
      <c r="AC290">
        <v>102.54</v>
      </c>
      <c r="AD290" s="2">
        <v>51.27</v>
      </c>
      <c r="AE290" s="2">
        <v>7.35</v>
      </c>
      <c r="AF290" s="2">
        <v>0.66</v>
      </c>
      <c r="AG290" s="2">
        <v>110.55</v>
      </c>
      <c r="AH290">
        <v>0</v>
      </c>
      <c r="AI290">
        <v>55.274999999999999</v>
      </c>
      <c r="AJ290">
        <v>0.55274999999999996</v>
      </c>
      <c r="AK290" t="s">
        <v>54</v>
      </c>
      <c r="AL290">
        <v>0.86</v>
      </c>
      <c r="AM290" s="4">
        <f t="shared" si="33"/>
        <v>55.274999999999999</v>
      </c>
      <c r="AN290" s="4">
        <f t="shared" si="34"/>
        <v>96.131250000000009</v>
      </c>
      <c r="AO290" s="4">
        <f t="shared" si="35"/>
        <v>106.80181875000001</v>
      </c>
      <c r="AP290" s="4">
        <f t="shared" si="36"/>
        <v>155.723011875</v>
      </c>
      <c r="AQ290" s="10">
        <f t="shared" si="37"/>
        <v>96.128752500000004</v>
      </c>
      <c r="AR290" s="10">
        <f t="shared" si="38"/>
        <v>106.80865690275</v>
      </c>
      <c r="AS290" s="10">
        <f t="shared" si="39"/>
        <v>149.65324189200001</v>
      </c>
    </row>
    <row r="291" spans="1:45" x14ac:dyDescent="0.3">
      <c r="A291">
        <v>2025</v>
      </c>
      <c r="B291">
        <v>7</v>
      </c>
      <c r="C291" t="s">
        <v>55</v>
      </c>
      <c r="D291">
        <v>10</v>
      </c>
      <c r="E291" t="s">
        <v>36</v>
      </c>
      <c r="F291" t="s">
        <v>37</v>
      </c>
      <c r="G291" t="s">
        <v>38</v>
      </c>
      <c r="H291" t="s">
        <v>141</v>
      </c>
      <c r="I291" t="s">
        <v>190</v>
      </c>
      <c r="J291" t="s">
        <v>58</v>
      </c>
      <c r="K291" t="s">
        <v>41</v>
      </c>
      <c r="L291" t="s">
        <v>953</v>
      </c>
      <c r="M291" t="s">
        <v>954</v>
      </c>
      <c r="N291" t="s">
        <v>731</v>
      </c>
      <c r="O291" t="s">
        <v>36</v>
      </c>
      <c r="Q291" t="s">
        <v>62</v>
      </c>
      <c r="R291" t="s">
        <v>955</v>
      </c>
      <c r="S291" t="s">
        <v>956</v>
      </c>
      <c r="T291" t="s">
        <v>47</v>
      </c>
      <c r="U291" t="s">
        <v>167</v>
      </c>
      <c r="V291" t="s">
        <v>49</v>
      </c>
      <c r="W291" t="s">
        <v>168</v>
      </c>
      <c r="X291" t="s">
        <v>51</v>
      </c>
      <c r="Y291" t="s">
        <v>457</v>
      </c>
      <c r="Z291" t="s">
        <v>457</v>
      </c>
      <c r="AA291" t="s">
        <v>458</v>
      </c>
      <c r="AB291" s="3">
        <f t="shared" si="32"/>
        <v>1</v>
      </c>
      <c r="AC291">
        <v>492.71</v>
      </c>
      <c r="AD291" s="2">
        <v>492.71</v>
      </c>
      <c r="AE291" s="2">
        <v>23.68</v>
      </c>
      <c r="AF291" s="2">
        <v>3.52</v>
      </c>
      <c r="AG291" s="2">
        <v>519.91</v>
      </c>
      <c r="AH291">
        <v>0</v>
      </c>
      <c r="AI291">
        <v>519.91</v>
      </c>
      <c r="AJ291">
        <v>2.5995499999999998</v>
      </c>
      <c r="AK291" t="s">
        <v>54</v>
      </c>
      <c r="AL291">
        <v>1.1299999999999999</v>
      </c>
      <c r="AM291" s="4">
        <f t="shared" si="33"/>
        <v>519.91</v>
      </c>
      <c r="AN291" s="4">
        <f t="shared" si="34"/>
        <v>923.83124999999995</v>
      </c>
      <c r="AO291" s="4">
        <f t="shared" si="35"/>
        <v>1026.3765187499998</v>
      </c>
      <c r="AP291" s="4">
        <f t="shared" si="36"/>
        <v>1496.5142418749999</v>
      </c>
      <c r="AQ291" s="10">
        <f t="shared" si="37"/>
        <v>904.17548099999999</v>
      </c>
      <c r="AR291" s="10">
        <f t="shared" si="38"/>
        <v>1004.6293769391</v>
      </c>
      <c r="AS291" s="10">
        <f t="shared" si="39"/>
        <v>1407.6203888207999</v>
      </c>
    </row>
    <row r="292" spans="1:45" x14ac:dyDescent="0.3">
      <c r="A292">
        <v>2025</v>
      </c>
      <c r="B292">
        <v>4</v>
      </c>
      <c r="C292" t="s">
        <v>55</v>
      </c>
      <c r="D292">
        <v>10</v>
      </c>
      <c r="E292" t="s">
        <v>36</v>
      </c>
      <c r="F292" t="s">
        <v>37</v>
      </c>
      <c r="G292" t="s">
        <v>38</v>
      </c>
      <c r="H292" t="s">
        <v>78</v>
      </c>
      <c r="I292" t="s">
        <v>190</v>
      </c>
      <c r="J292" t="s">
        <v>58</v>
      </c>
      <c r="K292" t="s">
        <v>59</v>
      </c>
      <c r="M292" t="s">
        <v>383</v>
      </c>
      <c r="N292" t="s">
        <v>384</v>
      </c>
      <c r="O292" t="s">
        <v>36</v>
      </c>
      <c r="Q292" t="s">
        <v>62</v>
      </c>
      <c r="R292" t="s">
        <v>385</v>
      </c>
      <c r="S292" t="s">
        <v>385</v>
      </c>
      <c r="T292" t="s">
        <v>47</v>
      </c>
      <c r="U292" t="s">
        <v>118</v>
      </c>
      <c r="V292" t="s">
        <v>49</v>
      </c>
      <c r="W292" t="s">
        <v>119</v>
      </c>
      <c r="X292" t="s">
        <v>388</v>
      </c>
      <c r="Y292" t="s">
        <v>1131</v>
      </c>
      <c r="Z292" t="s">
        <v>1131</v>
      </c>
      <c r="AA292" t="s">
        <v>1132</v>
      </c>
      <c r="AB292" s="3">
        <f t="shared" si="32"/>
        <v>1</v>
      </c>
      <c r="AC292">
        <v>29.1</v>
      </c>
      <c r="AD292" s="2">
        <v>29.1</v>
      </c>
      <c r="AE292" s="2">
        <v>29.4</v>
      </c>
      <c r="AF292" s="2">
        <v>0.18</v>
      </c>
      <c r="AG292" s="2">
        <v>58.32</v>
      </c>
      <c r="AH292">
        <v>0</v>
      </c>
      <c r="AI292">
        <v>58.32</v>
      </c>
      <c r="AJ292">
        <v>0.29160000000000003</v>
      </c>
      <c r="AK292" t="s">
        <v>54</v>
      </c>
      <c r="AL292">
        <v>2.17</v>
      </c>
      <c r="AM292" s="4">
        <f t="shared" si="33"/>
        <v>58.32</v>
      </c>
      <c r="AN292" s="4">
        <f t="shared" si="34"/>
        <v>54.5625</v>
      </c>
      <c r="AO292" s="4">
        <f t="shared" si="35"/>
        <v>60.618937500000001</v>
      </c>
      <c r="AP292" s="4">
        <f t="shared" si="36"/>
        <v>88.385793749999991</v>
      </c>
      <c r="AQ292" s="10">
        <f t="shared" si="37"/>
        <v>101.424312</v>
      </c>
      <c r="AR292" s="10">
        <f t="shared" si="38"/>
        <v>112.69255306319999</v>
      </c>
      <c r="AS292" s="10">
        <f t="shared" si="39"/>
        <v>157.89736892159999</v>
      </c>
    </row>
    <row r="293" spans="1:45" x14ac:dyDescent="0.3">
      <c r="A293">
        <v>2025</v>
      </c>
      <c r="B293">
        <v>11</v>
      </c>
      <c r="C293" t="s">
        <v>55</v>
      </c>
      <c r="D293">
        <v>10</v>
      </c>
      <c r="E293" t="s">
        <v>36</v>
      </c>
      <c r="F293" t="s">
        <v>37</v>
      </c>
      <c r="G293" t="s">
        <v>38</v>
      </c>
      <c r="H293" t="s">
        <v>83</v>
      </c>
      <c r="I293" t="s">
        <v>375</v>
      </c>
      <c r="J293" t="s">
        <v>376</v>
      </c>
      <c r="K293" t="s">
        <v>51</v>
      </c>
      <c r="L293" t="s">
        <v>1622</v>
      </c>
      <c r="M293" t="s">
        <v>1623</v>
      </c>
      <c r="N293" t="s">
        <v>1485</v>
      </c>
      <c r="O293" t="s">
        <v>1197</v>
      </c>
      <c r="Q293" t="s">
        <v>62</v>
      </c>
      <c r="R293" t="s">
        <v>1624</v>
      </c>
      <c r="S293" t="s">
        <v>1624</v>
      </c>
      <c r="T293" t="s">
        <v>47</v>
      </c>
      <c r="U293" t="s">
        <v>1277</v>
      </c>
      <c r="V293" t="s">
        <v>49</v>
      </c>
      <c r="W293" t="s">
        <v>1278</v>
      </c>
      <c r="X293" t="s">
        <v>51</v>
      </c>
      <c r="Y293" t="s">
        <v>516</v>
      </c>
      <c r="Z293" t="s">
        <v>516</v>
      </c>
      <c r="AA293" t="s">
        <v>517</v>
      </c>
      <c r="AB293" s="3">
        <f t="shared" si="32"/>
        <v>1</v>
      </c>
      <c r="AC293">
        <v>204.32</v>
      </c>
      <c r="AD293" s="2">
        <v>204.32</v>
      </c>
      <c r="AE293" s="2">
        <v>15.32</v>
      </c>
      <c r="AF293" s="2">
        <v>1.37</v>
      </c>
      <c r="AG293" s="2">
        <v>221.01</v>
      </c>
      <c r="AH293">
        <v>0</v>
      </c>
      <c r="AI293">
        <v>221.01</v>
      </c>
      <c r="AJ293">
        <v>1.1050500000000001</v>
      </c>
      <c r="AK293" t="s">
        <v>54</v>
      </c>
      <c r="AL293">
        <v>0.78</v>
      </c>
      <c r="AM293" s="4">
        <f t="shared" si="33"/>
        <v>221.01</v>
      </c>
      <c r="AN293" s="4">
        <f t="shared" si="34"/>
        <v>383.09999999999997</v>
      </c>
      <c r="AO293" s="4">
        <f t="shared" si="35"/>
        <v>425.62409999999994</v>
      </c>
      <c r="AP293" s="4">
        <f t="shared" si="36"/>
        <v>620.58368999999993</v>
      </c>
      <c r="AQ293" s="10">
        <f t="shared" si="37"/>
        <v>384.35849100000001</v>
      </c>
      <c r="AR293" s="10">
        <f t="shared" si="38"/>
        <v>427.06071935009999</v>
      </c>
      <c r="AS293" s="10">
        <f t="shared" si="39"/>
        <v>598.36929878880005</v>
      </c>
    </row>
    <row r="294" spans="1:45" x14ac:dyDescent="0.3">
      <c r="A294">
        <v>2025</v>
      </c>
      <c r="B294">
        <v>4</v>
      </c>
      <c r="C294" t="s">
        <v>55</v>
      </c>
      <c r="D294">
        <v>10</v>
      </c>
      <c r="E294" t="s">
        <v>36</v>
      </c>
      <c r="F294" t="s">
        <v>37</v>
      </c>
      <c r="G294" t="s">
        <v>38</v>
      </c>
      <c r="H294" t="s">
        <v>78</v>
      </c>
      <c r="I294" t="s">
        <v>190</v>
      </c>
      <c r="J294" t="s">
        <v>58</v>
      </c>
      <c r="K294" t="s">
        <v>59</v>
      </c>
      <c r="M294" t="s">
        <v>383</v>
      </c>
      <c r="N294" t="s">
        <v>384</v>
      </c>
      <c r="O294" t="s">
        <v>36</v>
      </c>
      <c r="Q294" t="s">
        <v>62</v>
      </c>
      <c r="R294" t="s">
        <v>385</v>
      </c>
      <c r="S294" t="s">
        <v>385</v>
      </c>
      <c r="T294" t="s">
        <v>47</v>
      </c>
      <c r="U294" t="s">
        <v>386</v>
      </c>
      <c r="V294" t="s">
        <v>49</v>
      </c>
      <c r="W294" t="s">
        <v>387</v>
      </c>
      <c r="X294" t="s">
        <v>388</v>
      </c>
      <c r="Y294" t="s">
        <v>1658</v>
      </c>
      <c r="Z294" t="s">
        <v>1658</v>
      </c>
      <c r="AA294" t="s">
        <v>1659</v>
      </c>
      <c r="AB294" s="3">
        <f t="shared" si="32"/>
        <v>1</v>
      </c>
      <c r="AC294">
        <v>6.99</v>
      </c>
      <c r="AD294" s="2">
        <v>6.99</v>
      </c>
      <c r="AE294" s="2">
        <v>0.98</v>
      </c>
      <c r="AF294" s="2">
        <v>0.5</v>
      </c>
      <c r="AG294" s="2">
        <v>8.1999999999999993</v>
      </c>
      <c r="AH294">
        <v>0</v>
      </c>
      <c r="AI294">
        <v>8.1999999999999993</v>
      </c>
      <c r="AJ294">
        <v>4.1000000000000002E-2</v>
      </c>
      <c r="AK294" t="s">
        <v>54</v>
      </c>
      <c r="AL294">
        <v>0.4</v>
      </c>
      <c r="AM294" s="4">
        <f t="shared" si="33"/>
        <v>8.1999999999999993</v>
      </c>
      <c r="AN294" s="4">
        <f t="shared" si="34"/>
        <v>13.106250000000001</v>
      </c>
      <c r="AO294" s="4">
        <f t="shared" si="35"/>
        <v>14.561043750000001</v>
      </c>
      <c r="AP294" s="4">
        <f t="shared" si="36"/>
        <v>21.230814375000001</v>
      </c>
      <c r="AQ294" s="10">
        <f t="shared" si="37"/>
        <v>14.260619999999999</v>
      </c>
      <c r="AR294" s="10">
        <f t="shared" si="38"/>
        <v>15.844974881999999</v>
      </c>
      <c r="AS294" s="10">
        <f t="shared" si="39"/>
        <v>22.200933215999999</v>
      </c>
    </row>
    <row r="295" spans="1:45" x14ac:dyDescent="0.3">
      <c r="A295">
        <v>2025</v>
      </c>
      <c r="B295">
        <v>1</v>
      </c>
      <c r="C295" t="s">
        <v>55</v>
      </c>
      <c r="D295">
        <v>10</v>
      </c>
      <c r="E295" t="s">
        <v>36</v>
      </c>
      <c r="F295" t="s">
        <v>37</v>
      </c>
      <c r="G295" t="s">
        <v>38</v>
      </c>
      <c r="H295" t="s">
        <v>132</v>
      </c>
      <c r="I295" t="s">
        <v>57</v>
      </c>
      <c r="J295" t="s">
        <v>58</v>
      </c>
      <c r="K295" t="s">
        <v>59</v>
      </c>
      <c r="M295" t="s">
        <v>60</v>
      </c>
      <c r="N295" t="s">
        <v>61</v>
      </c>
      <c r="O295" t="s">
        <v>43</v>
      </c>
      <c r="Q295" t="s">
        <v>62</v>
      </c>
      <c r="R295" t="s">
        <v>63</v>
      </c>
      <c r="S295" t="s">
        <v>63</v>
      </c>
      <c r="T295" t="s">
        <v>47</v>
      </c>
      <c r="U295" t="s">
        <v>118</v>
      </c>
      <c r="V295" t="s">
        <v>49</v>
      </c>
      <c r="W295" t="s">
        <v>119</v>
      </c>
      <c r="X295" t="s">
        <v>51</v>
      </c>
      <c r="Y295" t="s">
        <v>389</v>
      </c>
      <c r="Z295" t="s">
        <v>389</v>
      </c>
      <c r="AA295" t="s">
        <v>390</v>
      </c>
      <c r="AB295" s="3">
        <f t="shared" si="32"/>
        <v>1.36</v>
      </c>
      <c r="AC295">
        <v>112.54</v>
      </c>
      <c r="AD295" s="2">
        <v>82.75</v>
      </c>
      <c r="AE295" s="2">
        <v>15.32</v>
      </c>
      <c r="AF295" s="2">
        <v>0.74</v>
      </c>
      <c r="AG295" s="2">
        <v>128.6</v>
      </c>
      <c r="AH295">
        <v>0</v>
      </c>
      <c r="AI295">
        <v>94.558823529411995</v>
      </c>
      <c r="AJ295">
        <v>0.64300000000000002</v>
      </c>
      <c r="AK295" t="s">
        <v>54</v>
      </c>
      <c r="AL295">
        <v>0.78</v>
      </c>
      <c r="AM295" s="4">
        <f t="shared" si="33"/>
        <v>94.558823529411754</v>
      </c>
      <c r="AN295" s="4">
        <f t="shared" si="34"/>
        <v>155.15625</v>
      </c>
      <c r="AO295" s="4">
        <f t="shared" si="35"/>
        <v>172.37859374999999</v>
      </c>
      <c r="AP295" s="4">
        <f t="shared" si="36"/>
        <v>251.33760937499997</v>
      </c>
      <c r="AQ295" s="10">
        <f t="shared" si="37"/>
        <v>164.44725</v>
      </c>
      <c r="AR295" s="10">
        <f t="shared" si="38"/>
        <v>182.71733947499999</v>
      </c>
      <c r="AS295" s="10">
        <f t="shared" si="39"/>
        <v>256.01147879999996</v>
      </c>
    </row>
    <row r="296" spans="1:45" x14ac:dyDescent="0.3">
      <c r="A296">
        <v>2025</v>
      </c>
      <c r="B296">
        <v>3</v>
      </c>
      <c r="C296" t="s">
        <v>55</v>
      </c>
      <c r="D296">
        <v>10</v>
      </c>
      <c r="E296" t="s">
        <v>36</v>
      </c>
      <c r="F296" t="s">
        <v>37</v>
      </c>
      <c r="G296" t="s">
        <v>38</v>
      </c>
      <c r="H296" t="s">
        <v>132</v>
      </c>
      <c r="I296" t="s">
        <v>190</v>
      </c>
      <c r="J296" t="s">
        <v>58</v>
      </c>
      <c r="K296" t="s">
        <v>59</v>
      </c>
      <c r="M296" t="s">
        <v>209</v>
      </c>
      <c r="N296" t="s">
        <v>61</v>
      </c>
      <c r="O296" t="s">
        <v>43</v>
      </c>
      <c r="Q296" t="s">
        <v>62</v>
      </c>
      <c r="R296" t="s">
        <v>210</v>
      </c>
      <c r="S296" t="s">
        <v>211</v>
      </c>
      <c r="T296" t="s">
        <v>47</v>
      </c>
      <c r="U296" t="s">
        <v>118</v>
      </c>
      <c r="V296" t="s">
        <v>49</v>
      </c>
      <c r="W296" t="s">
        <v>119</v>
      </c>
      <c r="X296" t="s">
        <v>51</v>
      </c>
      <c r="Y296" t="s">
        <v>133</v>
      </c>
      <c r="Z296" t="s">
        <v>64</v>
      </c>
      <c r="AA296" t="s">
        <v>134</v>
      </c>
      <c r="AB296" s="3">
        <f t="shared" si="32"/>
        <v>15</v>
      </c>
      <c r="AC296">
        <v>400.05</v>
      </c>
      <c r="AD296" s="2">
        <v>26.67</v>
      </c>
      <c r="AE296" s="2">
        <v>96.11</v>
      </c>
      <c r="AF296" s="2">
        <v>2.76</v>
      </c>
      <c r="AG296" s="2">
        <v>498.93</v>
      </c>
      <c r="AH296">
        <v>0</v>
      </c>
      <c r="AI296">
        <v>33.262</v>
      </c>
      <c r="AJ296">
        <v>2.49465</v>
      </c>
      <c r="AK296" t="s">
        <v>54</v>
      </c>
      <c r="AL296">
        <v>45.08</v>
      </c>
      <c r="AM296" s="4">
        <f t="shared" si="33"/>
        <v>33.262</v>
      </c>
      <c r="AN296" s="4">
        <f t="shared" si="34"/>
        <v>50.006250000000001</v>
      </c>
      <c r="AO296" s="4">
        <f t="shared" si="35"/>
        <v>55.556943750000002</v>
      </c>
      <c r="AP296" s="4">
        <f t="shared" si="36"/>
        <v>81.005124374999994</v>
      </c>
      <c r="AQ296" s="10">
        <f t="shared" si="37"/>
        <v>57.845944200000005</v>
      </c>
      <c r="AR296" s="10">
        <f t="shared" si="38"/>
        <v>64.27262860062001</v>
      </c>
      <c r="AS296" s="10">
        <f t="shared" si="39"/>
        <v>90.054565930560003</v>
      </c>
    </row>
    <row r="297" spans="1:45" x14ac:dyDescent="0.3">
      <c r="A297">
        <v>2025</v>
      </c>
      <c r="B297">
        <v>3</v>
      </c>
      <c r="C297" t="s">
        <v>55</v>
      </c>
      <c r="D297">
        <v>10</v>
      </c>
      <c r="E297" t="s">
        <v>36</v>
      </c>
      <c r="F297" t="s">
        <v>37</v>
      </c>
      <c r="G297" t="s">
        <v>38</v>
      </c>
      <c r="H297" t="s">
        <v>132</v>
      </c>
      <c r="I297" t="s">
        <v>190</v>
      </c>
      <c r="J297" t="s">
        <v>58</v>
      </c>
      <c r="K297" t="s">
        <v>59</v>
      </c>
      <c r="M297" t="s">
        <v>213</v>
      </c>
      <c r="N297" t="s">
        <v>61</v>
      </c>
      <c r="O297" t="s">
        <v>43</v>
      </c>
      <c r="Q297" t="s">
        <v>62</v>
      </c>
      <c r="R297" t="s">
        <v>214</v>
      </c>
      <c r="S297" t="s">
        <v>215</v>
      </c>
      <c r="T297" t="s">
        <v>47</v>
      </c>
      <c r="U297" t="s">
        <v>118</v>
      </c>
      <c r="V297" t="s">
        <v>49</v>
      </c>
      <c r="W297" t="s">
        <v>119</v>
      </c>
      <c r="X297" t="s">
        <v>51</v>
      </c>
      <c r="Y297" t="s">
        <v>133</v>
      </c>
      <c r="Z297" t="s">
        <v>64</v>
      </c>
      <c r="AA297" t="s">
        <v>134</v>
      </c>
      <c r="AB297" s="3">
        <f t="shared" si="32"/>
        <v>20.000000000000004</v>
      </c>
      <c r="AC297">
        <v>593.69000000000005</v>
      </c>
      <c r="AD297" s="2">
        <v>29.6845</v>
      </c>
      <c r="AE297" s="2">
        <v>132.61000000000001</v>
      </c>
      <c r="AF297" s="2">
        <v>4.3499999999999996</v>
      </c>
      <c r="AG297" s="2">
        <v>730.65</v>
      </c>
      <c r="AH297">
        <v>0</v>
      </c>
      <c r="AI297">
        <v>36.532499999999999</v>
      </c>
      <c r="AJ297">
        <v>3.6532499999999999</v>
      </c>
      <c r="AK297" t="s">
        <v>54</v>
      </c>
      <c r="AL297">
        <v>44.04</v>
      </c>
      <c r="AM297" s="4">
        <f t="shared" si="33"/>
        <v>36.532499999999992</v>
      </c>
      <c r="AN297" s="4">
        <f t="shared" si="34"/>
        <v>55.658437499999998</v>
      </c>
      <c r="AO297" s="4">
        <f t="shared" si="35"/>
        <v>61.836524062499997</v>
      </c>
      <c r="AP297" s="4">
        <f t="shared" si="36"/>
        <v>90.161102906249994</v>
      </c>
      <c r="AQ297" s="10">
        <f t="shared" si="37"/>
        <v>63.533670749999992</v>
      </c>
      <c r="AR297" s="10">
        <f t="shared" si="38"/>
        <v>70.592261570324993</v>
      </c>
      <c r="AS297" s="10">
        <f t="shared" si="39"/>
        <v>98.909218623599983</v>
      </c>
    </row>
    <row r="298" spans="1:45" x14ac:dyDescent="0.3">
      <c r="A298">
        <v>2025</v>
      </c>
      <c r="B298">
        <v>4</v>
      </c>
      <c r="C298" t="s">
        <v>55</v>
      </c>
      <c r="D298">
        <v>10</v>
      </c>
      <c r="E298" t="s">
        <v>36</v>
      </c>
      <c r="F298" t="s">
        <v>37</v>
      </c>
      <c r="G298" t="s">
        <v>38</v>
      </c>
      <c r="H298" t="s">
        <v>132</v>
      </c>
      <c r="I298" t="s">
        <v>375</v>
      </c>
      <c r="J298" t="s">
        <v>376</v>
      </c>
      <c r="K298" t="s">
        <v>59</v>
      </c>
      <c r="M298">
        <v>2503061</v>
      </c>
      <c r="N298" t="s">
        <v>377</v>
      </c>
      <c r="O298" t="s">
        <v>36</v>
      </c>
      <c r="Q298" t="s">
        <v>62</v>
      </c>
      <c r="R298" t="s">
        <v>378</v>
      </c>
      <c r="S298" t="s">
        <v>378</v>
      </c>
      <c r="T298" t="s">
        <v>47</v>
      </c>
      <c r="U298" t="s">
        <v>118</v>
      </c>
      <c r="V298" t="s">
        <v>49</v>
      </c>
      <c r="W298" t="s">
        <v>119</v>
      </c>
      <c r="X298" t="s">
        <v>51</v>
      </c>
      <c r="Y298" t="s">
        <v>133</v>
      </c>
      <c r="Z298" t="s">
        <v>64</v>
      </c>
      <c r="AA298" t="s">
        <v>134</v>
      </c>
      <c r="AB298" s="3">
        <f t="shared" si="32"/>
        <v>14.999999999999835</v>
      </c>
      <c r="AC298">
        <v>452.23</v>
      </c>
      <c r="AD298" s="2">
        <v>30.148666666667001</v>
      </c>
      <c r="AE298" s="2">
        <v>94.9</v>
      </c>
      <c r="AF298" s="2">
        <v>3.35</v>
      </c>
      <c r="AG298" s="2">
        <v>550.47</v>
      </c>
      <c r="AH298">
        <v>0</v>
      </c>
      <c r="AI298">
        <v>36.698</v>
      </c>
      <c r="AJ298">
        <v>2.7523499999999999</v>
      </c>
      <c r="AK298" t="s">
        <v>54</v>
      </c>
      <c r="AL298">
        <v>29.16</v>
      </c>
      <c r="AM298" s="4">
        <f t="shared" si="33"/>
        <v>36.698000000000405</v>
      </c>
      <c r="AN298" s="4">
        <f t="shared" si="34"/>
        <v>56.528750000000628</v>
      </c>
      <c r="AO298" s="4">
        <f t="shared" si="35"/>
        <v>62.803441250000695</v>
      </c>
      <c r="AP298" s="4">
        <f t="shared" si="36"/>
        <v>91.570922125001005</v>
      </c>
      <c r="AQ298" s="10">
        <f t="shared" si="37"/>
        <v>63.821491800000707</v>
      </c>
      <c r="AR298" s="10">
        <f t="shared" si="38"/>
        <v>70.912059538980785</v>
      </c>
      <c r="AS298" s="10">
        <f t="shared" si="39"/>
        <v>99.357298434241102</v>
      </c>
    </row>
    <row r="299" spans="1:45" x14ac:dyDescent="0.3">
      <c r="A299">
        <v>2025</v>
      </c>
      <c r="B299">
        <v>4</v>
      </c>
      <c r="C299" t="s">
        <v>55</v>
      </c>
      <c r="D299">
        <v>10</v>
      </c>
      <c r="E299" t="s">
        <v>36</v>
      </c>
      <c r="F299" t="s">
        <v>37</v>
      </c>
      <c r="G299" t="s">
        <v>38</v>
      </c>
      <c r="H299" t="s">
        <v>132</v>
      </c>
      <c r="I299" t="s">
        <v>375</v>
      </c>
      <c r="J299" t="s">
        <v>376</v>
      </c>
      <c r="K299" t="s">
        <v>59</v>
      </c>
      <c r="M299">
        <v>2503061</v>
      </c>
      <c r="N299" t="s">
        <v>377</v>
      </c>
      <c r="O299" t="s">
        <v>36</v>
      </c>
      <c r="Q299" t="s">
        <v>62</v>
      </c>
      <c r="R299" t="s">
        <v>378</v>
      </c>
      <c r="S299" t="s">
        <v>378</v>
      </c>
      <c r="T299" t="s">
        <v>47</v>
      </c>
      <c r="U299" t="s">
        <v>118</v>
      </c>
      <c r="V299" t="s">
        <v>49</v>
      </c>
      <c r="W299" t="s">
        <v>119</v>
      </c>
      <c r="X299" t="s">
        <v>51</v>
      </c>
      <c r="Y299" t="s">
        <v>483</v>
      </c>
      <c r="Z299" t="s">
        <v>483</v>
      </c>
      <c r="AA299" t="s">
        <v>134</v>
      </c>
      <c r="AB299" s="3">
        <f t="shared" si="32"/>
        <v>25</v>
      </c>
      <c r="AC299">
        <v>800.24</v>
      </c>
      <c r="AD299" s="2">
        <v>32.009599999999999</v>
      </c>
      <c r="AE299" s="2">
        <v>590.07000000000005</v>
      </c>
      <c r="AF299" s="2">
        <v>5.19</v>
      </c>
      <c r="AG299" s="2">
        <v>1395.5</v>
      </c>
      <c r="AH299">
        <v>0</v>
      </c>
      <c r="AI299">
        <v>55.82</v>
      </c>
      <c r="AJ299">
        <v>6.9775</v>
      </c>
      <c r="AK299" t="s">
        <v>54</v>
      </c>
      <c r="AL299">
        <v>28.16</v>
      </c>
      <c r="AM299" s="4">
        <f t="shared" si="33"/>
        <v>55.82</v>
      </c>
      <c r="AN299" s="4">
        <f t="shared" si="34"/>
        <v>60.018000000000001</v>
      </c>
      <c r="AO299" s="4">
        <f t="shared" si="35"/>
        <v>66.679997999999998</v>
      </c>
      <c r="AP299" s="4">
        <f t="shared" si="36"/>
        <v>97.2231582</v>
      </c>
      <c r="AQ299" s="10">
        <f t="shared" si="37"/>
        <v>97.07656200000001</v>
      </c>
      <c r="AR299" s="10">
        <f t="shared" si="38"/>
        <v>107.86176803820001</v>
      </c>
      <c r="AS299" s="10">
        <f t="shared" si="39"/>
        <v>151.12879172160001</v>
      </c>
    </row>
    <row r="300" spans="1:45" x14ac:dyDescent="0.3">
      <c r="A300">
        <v>2025</v>
      </c>
      <c r="B300">
        <v>7</v>
      </c>
      <c r="C300" t="s">
        <v>55</v>
      </c>
      <c r="D300">
        <v>10</v>
      </c>
      <c r="E300" t="s">
        <v>36</v>
      </c>
      <c r="F300" t="s">
        <v>37</v>
      </c>
      <c r="G300" t="s">
        <v>38</v>
      </c>
      <c r="H300" t="s">
        <v>132</v>
      </c>
      <c r="I300" t="s">
        <v>190</v>
      </c>
      <c r="J300" t="s">
        <v>58</v>
      </c>
      <c r="K300" t="s">
        <v>41</v>
      </c>
      <c r="L300" t="s">
        <v>953</v>
      </c>
      <c r="M300" t="s">
        <v>954</v>
      </c>
      <c r="N300" t="s">
        <v>731</v>
      </c>
      <c r="O300" t="s">
        <v>36</v>
      </c>
      <c r="Q300" t="s">
        <v>62</v>
      </c>
      <c r="R300" t="s">
        <v>955</v>
      </c>
      <c r="S300" t="s">
        <v>956</v>
      </c>
      <c r="T300" t="s">
        <v>47</v>
      </c>
      <c r="U300" t="s">
        <v>118</v>
      </c>
      <c r="V300" t="s">
        <v>49</v>
      </c>
      <c r="W300" t="s">
        <v>714</v>
      </c>
      <c r="X300" t="s">
        <v>51</v>
      </c>
      <c r="Y300" t="s">
        <v>133</v>
      </c>
      <c r="Z300" t="s">
        <v>133</v>
      </c>
      <c r="AA300" t="s">
        <v>134</v>
      </c>
      <c r="AB300" s="3">
        <f t="shared" si="32"/>
        <v>20</v>
      </c>
      <c r="AC300">
        <v>579.5</v>
      </c>
      <c r="AD300" s="2">
        <v>28.975000000000001</v>
      </c>
      <c r="AE300" s="2">
        <v>301.74</v>
      </c>
      <c r="AF300" s="2">
        <v>3.87</v>
      </c>
      <c r="AG300" s="2">
        <v>885.11</v>
      </c>
      <c r="AH300">
        <v>0</v>
      </c>
      <c r="AI300">
        <v>44.255499999999998</v>
      </c>
      <c r="AJ300">
        <v>4.4255500000000003</v>
      </c>
      <c r="AK300" t="s">
        <v>54</v>
      </c>
      <c r="AL300">
        <v>14.4</v>
      </c>
      <c r="AM300" s="4">
        <f t="shared" si="33"/>
        <v>44.255499999999998</v>
      </c>
      <c r="AN300" s="4">
        <f t="shared" si="34"/>
        <v>54.328125</v>
      </c>
      <c r="AO300" s="4">
        <f t="shared" si="35"/>
        <v>60.358546875000002</v>
      </c>
      <c r="AP300" s="4">
        <f t="shared" si="36"/>
        <v>88.006129687499993</v>
      </c>
      <c r="AQ300" s="10">
        <f t="shared" si="37"/>
        <v>76.964740050000003</v>
      </c>
      <c r="AR300" s="10">
        <f t="shared" si="38"/>
        <v>85.515522669554997</v>
      </c>
      <c r="AS300" s="10">
        <f t="shared" si="39"/>
        <v>119.81870730984001</v>
      </c>
    </row>
    <row r="301" spans="1:45" x14ac:dyDescent="0.3">
      <c r="A301">
        <v>2025</v>
      </c>
      <c r="B301">
        <v>8</v>
      </c>
      <c r="C301" t="s">
        <v>55</v>
      </c>
      <c r="D301">
        <v>10</v>
      </c>
      <c r="E301" t="s">
        <v>36</v>
      </c>
      <c r="F301" t="s">
        <v>37</v>
      </c>
      <c r="G301" t="s">
        <v>38</v>
      </c>
      <c r="H301" t="s">
        <v>132</v>
      </c>
      <c r="I301" t="s">
        <v>190</v>
      </c>
      <c r="J301" t="s">
        <v>58</v>
      </c>
      <c r="K301" t="s">
        <v>59</v>
      </c>
      <c r="L301" t="s">
        <v>1194</v>
      </c>
      <c r="M301" t="s">
        <v>1195</v>
      </c>
      <c r="N301" t="s">
        <v>1196</v>
      </c>
      <c r="O301" t="s">
        <v>1197</v>
      </c>
      <c r="Q301" t="s">
        <v>62</v>
      </c>
      <c r="R301" t="s">
        <v>1198</v>
      </c>
      <c r="S301" t="s">
        <v>1198</v>
      </c>
      <c r="T301" t="s">
        <v>47</v>
      </c>
      <c r="U301" t="s">
        <v>118</v>
      </c>
      <c r="V301" t="s">
        <v>49</v>
      </c>
      <c r="W301" t="s">
        <v>714</v>
      </c>
      <c r="X301" t="s">
        <v>388</v>
      </c>
      <c r="Y301" t="s">
        <v>1086</v>
      </c>
      <c r="Z301" t="s">
        <v>1086</v>
      </c>
      <c r="AA301" t="s">
        <v>134</v>
      </c>
      <c r="AB301" s="3">
        <f t="shared" si="32"/>
        <v>34.999999999999837</v>
      </c>
      <c r="AC301">
        <v>1064.46</v>
      </c>
      <c r="AD301" s="2">
        <v>30.413142857143001</v>
      </c>
      <c r="AE301" s="2">
        <v>1016.46</v>
      </c>
      <c r="AF301" s="2">
        <v>6.68</v>
      </c>
      <c r="AG301" s="2">
        <v>2087.6</v>
      </c>
      <c r="AH301">
        <v>0</v>
      </c>
      <c r="AI301">
        <v>59.645714285714</v>
      </c>
      <c r="AJ301">
        <v>10.438000000000001</v>
      </c>
      <c r="AK301" t="s">
        <v>54</v>
      </c>
      <c r="AL301">
        <v>76.900000000000006</v>
      </c>
      <c r="AM301" s="4">
        <f t="shared" si="33"/>
        <v>59.645714285714561</v>
      </c>
      <c r="AN301" s="4">
        <f t="shared" si="34"/>
        <v>57.024642857143128</v>
      </c>
      <c r="AO301" s="4">
        <f t="shared" si="35"/>
        <v>63.354378214286015</v>
      </c>
      <c r="AP301" s="4">
        <f t="shared" si="36"/>
        <v>92.374218964286143</v>
      </c>
      <c r="AQ301" s="10">
        <f t="shared" si="37"/>
        <v>103.7298617142862</v>
      </c>
      <c r="AR301" s="10">
        <f t="shared" si="38"/>
        <v>115.25424935074339</v>
      </c>
      <c r="AS301" s="10">
        <f t="shared" si="39"/>
        <v>161.48664871680074</v>
      </c>
    </row>
    <row r="302" spans="1:45" x14ac:dyDescent="0.3">
      <c r="A302">
        <v>2025</v>
      </c>
      <c r="B302">
        <v>11</v>
      </c>
      <c r="C302" t="s">
        <v>55</v>
      </c>
      <c r="D302">
        <v>10</v>
      </c>
      <c r="E302" t="s">
        <v>36</v>
      </c>
      <c r="F302" t="s">
        <v>37</v>
      </c>
      <c r="G302" t="s">
        <v>38</v>
      </c>
      <c r="H302" t="s">
        <v>132</v>
      </c>
      <c r="I302" t="s">
        <v>375</v>
      </c>
      <c r="J302" t="s">
        <v>376</v>
      </c>
      <c r="K302" t="s">
        <v>51</v>
      </c>
      <c r="L302" t="s">
        <v>1622</v>
      </c>
      <c r="M302" t="s">
        <v>1623</v>
      </c>
      <c r="N302" t="s">
        <v>1485</v>
      </c>
      <c r="O302" t="s">
        <v>1197</v>
      </c>
      <c r="Q302" t="s">
        <v>62</v>
      </c>
      <c r="R302" t="s">
        <v>1624</v>
      </c>
      <c r="S302" t="s">
        <v>1624</v>
      </c>
      <c r="T302" t="s">
        <v>47</v>
      </c>
      <c r="U302" t="s">
        <v>118</v>
      </c>
      <c r="V302" t="s">
        <v>49</v>
      </c>
      <c r="W302" t="s">
        <v>714</v>
      </c>
      <c r="X302" t="s">
        <v>51</v>
      </c>
      <c r="Y302" t="s">
        <v>1086</v>
      </c>
      <c r="Z302" t="s">
        <v>1086</v>
      </c>
      <c r="AA302" t="s">
        <v>134</v>
      </c>
      <c r="AB302" s="3">
        <f t="shared" si="32"/>
        <v>30</v>
      </c>
      <c r="AC302">
        <v>878.13</v>
      </c>
      <c r="AD302" s="2">
        <v>29.271000000000001</v>
      </c>
      <c r="AE302" s="2">
        <v>62.93</v>
      </c>
      <c r="AF302" s="2">
        <v>5.68</v>
      </c>
      <c r="AG302" s="2">
        <v>946.74</v>
      </c>
      <c r="AH302">
        <v>0</v>
      </c>
      <c r="AI302">
        <v>31.558</v>
      </c>
      <c r="AJ302">
        <v>4.7336999999999998</v>
      </c>
      <c r="AK302" t="s">
        <v>54</v>
      </c>
      <c r="AL302">
        <v>7.39</v>
      </c>
      <c r="AM302" s="4">
        <f t="shared" si="33"/>
        <v>31.558</v>
      </c>
      <c r="AN302" s="4">
        <f t="shared" si="34"/>
        <v>54.883125</v>
      </c>
      <c r="AO302" s="4">
        <f t="shared" si="35"/>
        <v>60.975151875000002</v>
      </c>
      <c r="AP302" s="4">
        <f t="shared" si="36"/>
        <v>88.905174187499995</v>
      </c>
      <c r="AQ302" s="10">
        <f t="shared" si="37"/>
        <v>54.882517800000002</v>
      </c>
      <c r="AR302" s="10">
        <f t="shared" si="38"/>
        <v>60.979965527579999</v>
      </c>
      <c r="AS302" s="10">
        <f t="shared" si="39"/>
        <v>85.44110371104</v>
      </c>
    </row>
    <row r="303" spans="1:45" x14ac:dyDescent="0.3">
      <c r="A303">
        <v>2025</v>
      </c>
      <c r="B303">
        <v>11</v>
      </c>
      <c r="C303" t="s">
        <v>55</v>
      </c>
      <c r="D303">
        <v>10</v>
      </c>
      <c r="E303" t="s">
        <v>36</v>
      </c>
      <c r="F303" t="s">
        <v>37</v>
      </c>
      <c r="G303" t="s">
        <v>38</v>
      </c>
      <c r="H303" t="s">
        <v>132</v>
      </c>
      <c r="I303" t="s">
        <v>375</v>
      </c>
      <c r="J303" t="s">
        <v>376</v>
      </c>
      <c r="K303" t="s">
        <v>59</v>
      </c>
      <c r="L303" t="s">
        <v>1647</v>
      </c>
      <c r="M303" t="s">
        <v>1633</v>
      </c>
      <c r="N303" t="s">
        <v>1485</v>
      </c>
      <c r="O303" t="s">
        <v>1197</v>
      </c>
      <c r="Q303" t="s">
        <v>62</v>
      </c>
      <c r="R303" t="s">
        <v>1648</v>
      </c>
      <c r="S303" t="s">
        <v>1648</v>
      </c>
      <c r="T303" t="s">
        <v>47</v>
      </c>
      <c r="U303" t="s">
        <v>118</v>
      </c>
      <c r="V303" t="s">
        <v>49</v>
      </c>
      <c r="W303" t="s">
        <v>714</v>
      </c>
      <c r="X303" t="s">
        <v>51</v>
      </c>
      <c r="Y303" t="s">
        <v>1349</v>
      </c>
      <c r="Z303" t="s">
        <v>1349</v>
      </c>
      <c r="AA303" t="s">
        <v>134</v>
      </c>
      <c r="AB303" s="3">
        <f t="shared" si="32"/>
        <v>20</v>
      </c>
      <c r="AC303">
        <v>562.65</v>
      </c>
      <c r="AD303" s="2">
        <v>28.1325</v>
      </c>
      <c r="AE303" s="2">
        <v>78.78</v>
      </c>
      <c r="AF303" s="2">
        <v>3.9</v>
      </c>
      <c r="AG303" s="2">
        <v>645.33000000000004</v>
      </c>
      <c r="AH303">
        <v>0</v>
      </c>
      <c r="AI303">
        <v>32.266500000000001</v>
      </c>
      <c r="AJ303">
        <v>3.2266499999999998</v>
      </c>
      <c r="AK303" t="s">
        <v>54</v>
      </c>
      <c r="AL303">
        <v>2.96</v>
      </c>
      <c r="AM303" s="4">
        <f t="shared" si="33"/>
        <v>32.266500000000001</v>
      </c>
      <c r="AN303" s="4">
        <f t="shared" si="34"/>
        <v>52.748437500000001</v>
      </c>
      <c r="AO303" s="4">
        <f t="shared" si="35"/>
        <v>58.603514062500004</v>
      </c>
      <c r="AP303" s="4">
        <f t="shared" si="36"/>
        <v>85.447193906249993</v>
      </c>
      <c r="AQ303" s="10">
        <f t="shared" si="37"/>
        <v>56.114670150000002</v>
      </c>
      <c r="AR303" s="10">
        <f t="shared" si="38"/>
        <v>62.349010003665001</v>
      </c>
      <c r="AS303" s="10">
        <f t="shared" si="39"/>
        <v>87.359318489520007</v>
      </c>
    </row>
    <row r="304" spans="1:45" x14ac:dyDescent="0.3">
      <c r="A304">
        <v>2025</v>
      </c>
      <c r="B304">
        <v>9</v>
      </c>
      <c r="C304" t="s">
        <v>55</v>
      </c>
      <c r="D304">
        <v>10</v>
      </c>
      <c r="E304" t="s">
        <v>36</v>
      </c>
      <c r="F304" t="s">
        <v>37</v>
      </c>
      <c r="G304" t="s">
        <v>38</v>
      </c>
      <c r="H304" t="s">
        <v>78</v>
      </c>
      <c r="I304" t="s">
        <v>375</v>
      </c>
      <c r="J304" t="s">
        <v>376</v>
      </c>
      <c r="K304" t="s">
        <v>41</v>
      </c>
      <c r="L304" t="s">
        <v>1503</v>
      </c>
      <c r="M304" t="s">
        <v>1504</v>
      </c>
      <c r="N304" t="s">
        <v>377</v>
      </c>
      <c r="O304" t="s">
        <v>1197</v>
      </c>
      <c r="Q304" t="s">
        <v>62</v>
      </c>
      <c r="R304" t="s">
        <v>1505</v>
      </c>
      <c r="S304" t="s">
        <v>1505</v>
      </c>
      <c r="T304" t="s">
        <v>47</v>
      </c>
      <c r="U304" t="s">
        <v>118</v>
      </c>
      <c r="V304" t="s">
        <v>49</v>
      </c>
      <c r="W304" t="s">
        <v>714</v>
      </c>
      <c r="X304" t="s">
        <v>388</v>
      </c>
      <c r="Y304" t="s">
        <v>1086</v>
      </c>
      <c r="Z304" t="s">
        <v>1086</v>
      </c>
      <c r="AA304" t="s">
        <v>134</v>
      </c>
      <c r="AB304" s="3">
        <f t="shared" si="32"/>
        <v>30</v>
      </c>
      <c r="AC304">
        <v>882.54</v>
      </c>
      <c r="AD304" s="2">
        <v>29.417999999999999</v>
      </c>
      <c r="AE304" s="2">
        <v>296.63</v>
      </c>
      <c r="AF304" s="2">
        <v>6.98</v>
      </c>
      <c r="AG304" s="2">
        <v>1186.1600000000001</v>
      </c>
      <c r="AH304">
        <v>0</v>
      </c>
      <c r="AI304">
        <v>39.538666666666998</v>
      </c>
      <c r="AJ304">
        <v>5.9307999999999996</v>
      </c>
      <c r="AK304" t="s">
        <v>54</v>
      </c>
      <c r="AL304">
        <v>7.63</v>
      </c>
      <c r="AM304" s="4">
        <f t="shared" si="33"/>
        <v>39.538666666666671</v>
      </c>
      <c r="AN304" s="4">
        <f t="shared" si="34"/>
        <v>55.158749999999998</v>
      </c>
      <c r="AO304" s="4">
        <f t="shared" si="35"/>
        <v>61.281371249999999</v>
      </c>
      <c r="AP304" s="4">
        <f t="shared" si="36"/>
        <v>89.351659124999998</v>
      </c>
      <c r="AQ304" s="10">
        <f t="shared" si="37"/>
        <v>68.761695200000005</v>
      </c>
      <c r="AR304" s="10">
        <f t="shared" si="38"/>
        <v>76.401119536720003</v>
      </c>
      <c r="AS304" s="10">
        <f t="shared" si="39"/>
        <v>107.04820708736001</v>
      </c>
    </row>
    <row r="305" spans="1:45" x14ac:dyDescent="0.3">
      <c r="A305">
        <v>2025</v>
      </c>
      <c r="B305">
        <v>3</v>
      </c>
      <c r="C305" t="s">
        <v>55</v>
      </c>
      <c r="D305">
        <v>10</v>
      </c>
      <c r="E305" t="s">
        <v>36</v>
      </c>
      <c r="F305" t="s">
        <v>37</v>
      </c>
      <c r="G305" t="s">
        <v>38</v>
      </c>
      <c r="H305" t="s">
        <v>132</v>
      </c>
      <c r="I305" t="s">
        <v>190</v>
      </c>
      <c r="J305" t="s">
        <v>58</v>
      </c>
      <c r="K305" t="s">
        <v>59</v>
      </c>
      <c r="M305" t="s">
        <v>209</v>
      </c>
      <c r="N305" t="s">
        <v>61</v>
      </c>
      <c r="O305" t="s">
        <v>43</v>
      </c>
      <c r="Q305" t="s">
        <v>62</v>
      </c>
      <c r="R305" t="s">
        <v>210</v>
      </c>
      <c r="S305" t="s">
        <v>211</v>
      </c>
      <c r="T305" t="s">
        <v>47</v>
      </c>
      <c r="U305" t="s">
        <v>118</v>
      </c>
      <c r="V305" t="s">
        <v>49</v>
      </c>
      <c r="W305" t="s">
        <v>119</v>
      </c>
      <c r="X305" t="s">
        <v>51</v>
      </c>
      <c r="Y305" t="s">
        <v>1358</v>
      </c>
      <c r="Z305" t="s">
        <v>1358</v>
      </c>
      <c r="AA305" t="s">
        <v>1523</v>
      </c>
      <c r="AB305" s="3">
        <f t="shared" si="32"/>
        <v>20</v>
      </c>
      <c r="AC305">
        <v>467.18</v>
      </c>
      <c r="AD305" s="2">
        <v>23.359000000000002</v>
      </c>
      <c r="AE305" s="2">
        <v>169.86</v>
      </c>
      <c r="AF305" s="2">
        <v>3.91</v>
      </c>
      <c r="AG305" s="2">
        <v>640.95000000000005</v>
      </c>
      <c r="AH305">
        <v>0</v>
      </c>
      <c r="AI305">
        <v>32.047499999999999</v>
      </c>
      <c r="AJ305">
        <v>3.2047500000000002</v>
      </c>
      <c r="AK305" t="s">
        <v>54</v>
      </c>
      <c r="AL305">
        <v>44.5</v>
      </c>
      <c r="AM305" s="4">
        <f t="shared" si="33"/>
        <v>32.047499999999999</v>
      </c>
      <c r="AN305" s="4">
        <f t="shared" si="34"/>
        <v>43.798125000000006</v>
      </c>
      <c r="AO305" s="4">
        <f t="shared" si="35"/>
        <v>48.659716875000008</v>
      </c>
      <c r="AP305" s="4">
        <f t="shared" si="36"/>
        <v>70.948582687500007</v>
      </c>
      <c r="AQ305" s="10">
        <f t="shared" si="37"/>
        <v>55.733807250000005</v>
      </c>
      <c r="AR305" s="10">
        <f t="shared" si="38"/>
        <v>61.925833235475004</v>
      </c>
      <c r="AS305" s="10">
        <f t="shared" si="39"/>
        <v>86.766391126800002</v>
      </c>
    </row>
    <row r="306" spans="1:45" x14ac:dyDescent="0.3">
      <c r="A306">
        <v>2025</v>
      </c>
      <c r="B306">
        <v>3</v>
      </c>
      <c r="C306" t="s">
        <v>55</v>
      </c>
      <c r="D306">
        <v>10</v>
      </c>
      <c r="E306" t="s">
        <v>36</v>
      </c>
      <c r="F306" t="s">
        <v>37</v>
      </c>
      <c r="G306" t="s">
        <v>38</v>
      </c>
      <c r="H306" t="s">
        <v>132</v>
      </c>
      <c r="I306" t="s">
        <v>190</v>
      </c>
      <c r="J306" t="s">
        <v>58</v>
      </c>
      <c r="K306" t="s">
        <v>59</v>
      </c>
      <c r="M306" t="s">
        <v>213</v>
      </c>
      <c r="N306" t="s">
        <v>61</v>
      </c>
      <c r="O306" t="s">
        <v>43</v>
      </c>
      <c r="Q306" t="s">
        <v>62</v>
      </c>
      <c r="R306" t="s">
        <v>214</v>
      </c>
      <c r="S306" t="s">
        <v>215</v>
      </c>
      <c r="T306" t="s">
        <v>47</v>
      </c>
      <c r="U306" t="s">
        <v>118</v>
      </c>
      <c r="V306" t="s">
        <v>49</v>
      </c>
      <c r="W306" t="s">
        <v>119</v>
      </c>
      <c r="X306" t="s">
        <v>51</v>
      </c>
      <c r="Y306" t="s">
        <v>280</v>
      </c>
      <c r="Z306" t="s">
        <v>64</v>
      </c>
      <c r="AA306" t="s">
        <v>321</v>
      </c>
      <c r="AB306" s="3">
        <f t="shared" si="32"/>
        <v>20.000000000000004</v>
      </c>
      <c r="AC306">
        <v>573.57000000000005</v>
      </c>
      <c r="AD306" s="2">
        <v>28.6785</v>
      </c>
      <c r="AE306" s="2">
        <v>128.12</v>
      </c>
      <c r="AF306" s="2">
        <v>4.2</v>
      </c>
      <c r="AG306" s="2">
        <v>705.89</v>
      </c>
      <c r="AH306">
        <v>0</v>
      </c>
      <c r="AI306">
        <v>35.294499999999999</v>
      </c>
      <c r="AJ306">
        <v>3.5294500000000002</v>
      </c>
      <c r="AK306" t="s">
        <v>54</v>
      </c>
      <c r="AL306">
        <v>44.04</v>
      </c>
      <c r="AM306" s="4">
        <f t="shared" si="33"/>
        <v>35.294499999999992</v>
      </c>
      <c r="AN306" s="4">
        <f t="shared" si="34"/>
        <v>53.772187500000001</v>
      </c>
      <c r="AO306" s="4">
        <f t="shared" si="35"/>
        <v>59.740900312500003</v>
      </c>
      <c r="AP306" s="4">
        <f t="shared" si="36"/>
        <v>87.105566531249991</v>
      </c>
      <c r="AQ306" s="10">
        <f t="shared" si="37"/>
        <v>61.380664949999989</v>
      </c>
      <c r="AR306" s="10">
        <f t="shared" si="38"/>
        <v>68.200056825944984</v>
      </c>
      <c r="AS306" s="10">
        <f t="shared" si="39"/>
        <v>95.557419194159976</v>
      </c>
    </row>
    <row r="307" spans="1:45" x14ac:dyDescent="0.3">
      <c r="A307">
        <v>2025</v>
      </c>
      <c r="B307">
        <v>4</v>
      </c>
      <c r="C307" t="s">
        <v>55</v>
      </c>
      <c r="D307">
        <v>10</v>
      </c>
      <c r="E307" t="s">
        <v>36</v>
      </c>
      <c r="F307" t="s">
        <v>37</v>
      </c>
      <c r="G307" t="s">
        <v>38</v>
      </c>
      <c r="H307" t="s">
        <v>132</v>
      </c>
      <c r="I307" t="s">
        <v>375</v>
      </c>
      <c r="J307" t="s">
        <v>376</v>
      </c>
      <c r="K307" t="s">
        <v>59</v>
      </c>
      <c r="M307">
        <v>2503061</v>
      </c>
      <c r="N307" t="s">
        <v>377</v>
      </c>
      <c r="O307" t="s">
        <v>36</v>
      </c>
      <c r="Q307" t="s">
        <v>62</v>
      </c>
      <c r="R307" t="s">
        <v>378</v>
      </c>
      <c r="S307" t="s">
        <v>378</v>
      </c>
      <c r="T307" t="s">
        <v>47</v>
      </c>
      <c r="U307" t="s">
        <v>118</v>
      </c>
      <c r="V307" t="s">
        <v>49</v>
      </c>
      <c r="W307" t="s">
        <v>119</v>
      </c>
      <c r="X307" t="s">
        <v>51</v>
      </c>
      <c r="Y307" t="s">
        <v>280</v>
      </c>
      <c r="Z307" t="s">
        <v>64</v>
      </c>
      <c r="AA307" t="s">
        <v>321</v>
      </c>
      <c r="AB307" s="3">
        <f t="shared" si="32"/>
        <v>14.999999999999828</v>
      </c>
      <c r="AC307">
        <v>436.9</v>
      </c>
      <c r="AD307" s="2">
        <v>29.126666666666999</v>
      </c>
      <c r="AE307" s="2">
        <v>91.69</v>
      </c>
      <c r="AF307" s="2">
        <v>3.23</v>
      </c>
      <c r="AG307" s="2">
        <v>531.82000000000005</v>
      </c>
      <c r="AH307">
        <v>0</v>
      </c>
      <c r="AI307">
        <v>35.454666666667002</v>
      </c>
      <c r="AJ307">
        <v>2.6591</v>
      </c>
      <c r="AK307" t="s">
        <v>54</v>
      </c>
      <c r="AL307">
        <v>29.16</v>
      </c>
      <c r="AM307" s="4">
        <f t="shared" si="33"/>
        <v>35.45466666666708</v>
      </c>
      <c r="AN307" s="4">
        <f t="shared" si="34"/>
        <v>54.612500000000622</v>
      </c>
      <c r="AO307" s="4">
        <f t="shared" si="35"/>
        <v>60.674487500000694</v>
      </c>
      <c r="AP307" s="4">
        <f t="shared" si="36"/>
        <v>88.466788750001001</v>
      </c>
      <c r="AQ307" s="10">
        <f t="shared" si="37"/>
        <v>61.659210800000722</v>
      </c>
      <c r="AR307" s="10">
        <f t="shared" si="38"/>
        <v>68.509549119880802</v>
      </c>
      <c r="AS307" s="10">
        <f t="shared" si="39"/>
        <v>95.991059373441118</v>
      </c>
    </row>
    <row r="308" spans="1:45" x14ac:dyDescent="0.3">
      <c r="A308">
        <v>2025</v>
      </c>
      <c r="B308">
        <v>8</v>
      </c>
      <c r="C308" t="s">
        <v>55</v>
      </c>
      <c r="D308">
        <v>10</v>
      </c>
      <c r="E308" t="s">
        <v>36</v>
      </c>
      <c r="F308" t="s">
        <v>37</v>
      </c>
      <c r="G308" t="s">
        <v>38</v>
      </c>
      <c r="H308" t="s">
        <v>78</v>
      </c>
      <c r="I308" t="s">
        <v>190</v>
      </c>
      <c r="J308" t="s">
        <v>58</v>
      </c>
      <c r="K308" t="s">
        <v>59</v>
      </c>
      <c r="L308" t="s">
        <v>1194</v>
      </c>
      <c r="M308" t="s">
        <v>1195</v>
      </c>
      <c r="N308" t="s">
        <v>1196</v>
      </c>
      <c r="O308" t="s">
        <v>1197</v>
      </c>
      <c r="Q308" t="s">
        <v>62</v>
      </c>
      <c r="R308" t="s">
        <v>1198</v>
      </c>
      <c r="S308" t="s">
        <v>1198</v>
      </c>
      <c r="T308" t="s">
        <v>47</v>
      </c>
      <c r="U308" t="s">
        <v>118</v>
      </c>
      <c r="V308" t="s">
        <v>49</v>
      </c>
      <c r="W308" t="s">
        <v>714</v>
      </c>
      <c r="X308" t="s">
        <v>388</v>
      </c>
      <c r="Y308" t="s">
        <v>280</v>
      </c>
      <c r="Z308" t="s">
        <v>280</v>
      </c>
      <c r="AA308" t="s">
        <v>321</v>
      </c>
      <c r="AB308" s="3">
        <f t="shared" si="32"/>
        <v>20.000000000000004</v>
      </c>
      <c r="AC308">
        <v>620.59</v>
      </c>
      <c r="AD308" s="2">
        <v>31.029499999999999</v>
      </c>
      <c r="AE308" s="2">
        <v>472.1</v>
      </c>
      <c r="AF308" s="2">
        <v>4.0199999999999996</v>
      </c>
      <c r="AG308" s="2">
        <v>1096.71</v>
      </c>
      <c r="AH308">
        <v>0</v>
      </c>
      <c r="AI308">
        <v>54.835500000000003</v>
      </c>
      <c r="AJ308">
        <v>5.4835500000000001</v>
      </c>
      <c r="AK308" t="s">
        <v>54</v>
      </c>
      <c r="AL308">
        <v>22.53</v>
      </c>
      <c r="AM308" s="4">
        <f t="shared" si="33"/>
        <v>54.835499999999989</v>
      </c>
      <c r="AN308" s="4">
        <f t="shared" si="34"/>
        <v>58.180312499999999</v>
      </c>
      <c r="AO308" s="4">
        <f t="shared" si="35"/>
        <v>64.638327187499996</v>
      </c>
      <c r="AP308" s="4">
        <f t="shared" si="36"/>
        <v>94.246288218749996</v>
      </c>
      <c r="AQ308" s="10">
        <f t="shared" si="37"/>
        <v>95.364418049999983</v>
      </c>
      <c r="AR308" s="10">
        <f t="shared" si="38"/>
        <v>105.95940489535498</v>
      </c>
      <c r="AS308" s="10">
        <f t="shared" si="39"/>
        <v>148.46332602023998</v>
      </c>
    </row>
    <row r="309" spans="1:45" x14ac:dyDescent="0.3">
      <c r="A309">
        <v>2025</v>
      </c>
      <c r="B309">
        <v>3</v>
      </c>
      <c r="C309" t="s">
        <v>55</v>
      </c>
      <c r="D309">
        <v>10</v>
      </c>
      <c r="E309" t="s">
        <v>36</v>
      </c>
      <c r="F309" t="s">
        <v>37</v>
      </c>
      <c r="G309" t="s">
        <v>38</v>
      </c>
      <c r="H309" t="s">
        <v>83</v>
      </c>
      <c r="I309" t="s">
        <v>190</v>
      </c>
      <c r="J309" t="s">
        <v>58</v>
      </c>
      <c r="K309" t="s">
        <v>59</v>
      </c>
      <c r="M309" t="s">
        <v>209</v>
      </c>
      <c r="N309" t="s">
        <v>61</v>
      </c>
      <c r="O309" t="s">
        <v>43</v>
      </c>
      <c r="Q309" t="s">
        <v>62</v>
      </c>
      <c r="R309" t="s">
        <v>210</v>
      </c>
      <c r="S309" t="s">
        <v>211</v>
      </c>
      <c r="T309" t="s">
        <v>47</v>
      </c>
      <c r="U309" t="s">
        <v>371</v>
      </c>
      <c r="V309" t="s">
        <v>49</v>
      </c>
      <c r="W309" t="s">
        <v>372</v>
      </c>
      <c r="X309" t="s">
        <v>51</v>
      </c>
      <c r="Y309" t="s">
        <v>1358</v>
      </c>
      <c r="Z309" t="s">
        <v>1358</v>
      </c>
      <c r="AA309" t="s">
        <v>321</v>
      </c>
      <c r="AB309" s="3">
        <f t="shared" si="32"/>
        <v>25</v>
      </c>
      <c r="AC309">
        <v>596.66</v>
      </c>
      <c r="AD309" s="2">
        <v>23.866399999999999</v>
      </c>
      <c r="AE309" s="2">
        <v>42.76</v>
      </c>
      <c r="AF309" s="2">
        <v>3.86</v>
      </c>
      <c r="AG309" s="2">
        <v>643.28</v>
      </c>
      <c r="AH309">
        <v>0</v>
      </c>
      <c r="AI309">
        <v>25.731200000000001</v>
      </c>
      <c r="AJ309">
        <v>3.2164000000000001</v>
      </c>
      <c r="AK309" t="s">
        <v>54</v>
      </c>
      <c r="AL309">
        <v>5.2</v>
      </c>
      <c r="AM309" s="4">
        <f t="shared" si="33"/>
        <v>25.731199999999998</v>
      </c>
      <c r="AN309" s="4">
        <f t="shared" si="34"/>
        <v>44.749499999999998</v>
      </c>
      <c r="AO309" s="4">
        <f t="shared" si="35"/>
        <v>49.716694499999996</v>
      </c>
      <c r="AP309" s="4">
        <f t="shared" si="36"/>
        <v>72.489715049999987</v>
      </c>
      <c r="AQ309" s="10">
        <f t="shared" si="37"/>
        <v>44.749129920000001</v>
      </c>
      <c r="AR309" s="10">
        <f t="shared" si="38"/>
        <v>49.720758254111999</v>
      </c>
      <c r="AS309" s="10">
        <f t="shared" si="39"/>
        <v>69.665445459455995</v>
      </c>
    </row>
    <row r="310" spans="1:45" x14ac:dyDescent="0.3">
      <c r="A310">
        <v>2025</v>
      </c>
      <c r="B310">
        <v>3</v>
      </c>
      <c r="C310" t="s">
        <v>55</v>
      </c>
      <c r="D310">
        <v>10</v>
      </c>
      <c r="E310" t="s">
        <v>36</v>
      </c>
      <c r="F310" t="s">
        <v>37</v>
      </c>
      <c r="G310" t="s">
        <v>38</v>
      </c>
      <c r="H310" t="s">
        <v>78</v>
      </c>
      <c r="I310" t="s">
        <v>190</v>
      </c>
      <c r="J310" t="s">
        <v>58</v>
      </c>
      <c r="K310" t="s">
        <v>59</v>
      </c>
      <c r="M310" t="s">
        <v>209</v>
      </c>
      <c r="N310" t="s">
        <v>61</v>
      </c>
      <c r="O310" t="s">
        <v>43</v>
      </c>
      <c r="Q310" t="s">
        <v>62</v>
      </c>
      <c r="R310" t="s">
        <v>210</v>
      </c>
      <c r="S310" t="s">
        <v>211</v>
      </c>
      <c r="T310" t="s">
        <v>47</v>
      </c>
      <c r="U310" t="s">
        <v>118</v>
      </c>
      <c r="V310" t="s">
        <v>49</v>
      </c>
      <c r="W310" t="s">
        <v>119</v>
      </c>
      <c r="X310" t="s">
        <v>51</v>
      </c>
      <c r="Y310" t="s">
        <v>373</v>
      </c>
      <c r="Z310" t="s">
        <v>64</v>
      </c>
      <c r="AA310" t="s">
        <v>374</v>
      </c>
      <c r="AB310" s="3">
        <f t="shared" si="32"/>
        <v>2</v>
      </c>
      <c r="AC310">
        <v>202.37</v>
      </c>
      <c r="AD310" s="2">
        <v>101.185</v>
      </c>
      <c r="AE310" s="2">
        <v>45.2</v>
      </c>
      <c r="AF310" s="2">
        <v>1.48</v>
      </c>
      <c r="AG310" s="2">
        <v>249.06</v>
      </c>
      <c r="AH310">
        <v>0</v>
      </c>
      <c r="AI310">
        <v>124.53</v>
      </c>
      <c r="AJ310">
        <v>1.2453000000000001</v>
      </c>
      <c r="AK310" t="s">
        <v>54</v>
      </c>
      <c r="AL310">
        <v>4.4000000000000004</v>
      </c>
      <c r="AM310" s="4">
        <f t="shared" si="33"/>
        <v>124.53</v>
      </c>
      <c r="AN310" s="4">
        <f t="shared" si="34"/>
        <v>189.72187500000001</v>
      </c>
      <c r="AO310" s="4">
        <f t="shared" si="35"/>
        <v>210.78100312500001</v>
      </c>
      <c r="AP310" s="4">
        <f t="shared" si="36"/>
        <v>307.3304653125</v>
      </c>
      <c r="AQ310" s="10">
        <f t="shared" si="37"/>
        <v>216.57012300000002</v>
      </c>
      <c r="AR310" s="10">
        <f t="shared" si="38"/>
        <v>240.63106366530002</v>
      </c>
      <c r="AS310" s="10">
        <f t="shared" si="39"/>
        <v>337.15636748640003</v>
      </c>
    </row>
    <row r="311" spans="1:45" x14ac:dyDescent="0.3">
      <c r="A311">
        <v>2025</v>
      </c>
      <c r="B311">
        <v>3</v>
      </c>
      <c r="C311" t="s">
        <v>55</v>
      </c>
      <c r="D311">
        <v>10</v>
      </c>
      <c r="E311" t="s">
        <v>36</v>
      </c>
      <c r="F311" t="s">
        <v>37</v>
      </c>
      <c r="G311" t="s">
        <v>38</v>
      </c>
      <c r="H311" t="s">
        <v>78</v>
      </c>
      <c r="I311" t="s">
        <v>190</v>
      </c>
      <c r="J311" t="s">
        <v>58</v>
      </c>
      <c r="K311" t="s">
        <v>59</v>
      </c>
      <c r="M311" t="s">
        <v>213</v>
      </c>
      <c r="N311" t="s">
        <v>61</v>
      </c>
      <c r="O311" t="s">
        <v>43</v>
      </c>
      <c r="Q311" t="s">
        <v>62</v>
      </c>
      <c r="R311" t="s">
        <v>214</v>
      </c>
      <c r="S311" t="s">
        <v>215</v>
      </c>
      <c r="T311" t="s">
        <v>47</v>
      </c>
      <c r="U311" t="s">
        <v>118</v>
      </c>
      <c r="V311" t="s">
        <v>49</v>
      </c>
      <c r="W311" t="s">
        <v>119</v>
      </c>
      <c r="X311" t="s">
        <v>51</v>
      </c>
      <c r="Y311" t="s">
        <v>133</v>
      </c>
      <c r="Z311" t="s">
        <v>64</v>
      </c>
      <c r="AA311" t="s">
        <v>302</v>
      </c>
      <c r="AB311" s="3">
        <f t="shared" si="32"/>
        <v>10.000000000000002</v>
      </c>
      <c r="AC311">
        <v>1280.69</v>
      </c>
      <c r="AD311" s="2">
        <v>128.06899999999999</v>
      </c>
      <c r="AE311" s="2">
        <v>286.06</v>
      </c>
      <c r="AF311" s="2">
        <v>9.3800000000000008</v>
      </c>
      <c r="AG311" s="2">
        <v>1576.13</v>
      </c>
      <c r="AH311">
        <v>0</v>
      </c>
      <c r="AI311">
        <v>157.613</v>
      </c>
      <c r="AJ311">
        <v>7.8806500000000002</v>
      </c>
      <c r="AK311" t="s">
        <v>54</v>
      </c>
      <c r="AL311">
        <v>22.02</v>
      </c>
      <c r="AM311" s="4">
        <f t="shared" si="33"/>
        <v>157.61299999999997</v>
      </c>
      <c r="AN311" s="4">
        <f t="shared" si="34"/>
        <v>240.12937499999998</v>
      </c>
      <c r="AO311" s="4">
        <f t="shared" si="35"/>
        <v>266.78373562499996</v>
      </c>
      <c r="AP311" s="4">
        <f t="shared" si="36"/>
        <v>388.98557456249995</v>
      </c>
      <c r="AQ311" s="10">
        <f t="shared" si="37"/>
        <v>274.10476829999999</v>
      </c>
      <c r="AR311" s="10">
        <f t="shared" si="38"/>
        <v>304.55780805812998</v>
      </c>
      <c r="AS311" s="10">
        <f t="shared" si="39"/>
        <v>426.72630328943995</v>
      </c>
    </row>
    <row r="312" spans="1:45" x14ac:dyDescent="0.3">
      <c r="A312">
        <v>2025</v>
      </c>
      <c r="B312">
        <v>4</v>
      </c>
      <c r="C312" t="s">
        <v>55</v>
      </c>
      <c r="D312">
        <v>10</v>
      </c>
      <c r="E312" t="s">
        <v>36</v>
      </c>
      <c r="F312" t="s">
        <v>37</v>
      </c>
      <c r="G312" t="s">
        <v>38</v>
      </c>
      <c r="H312" t="s">
        <v>78</v>
      </c>
      <c r="I312" t="s">
        <v>375</v>
      </c>
      <c r="J312" t="s">
        <v>376</v>
      </c>
      <c r="K312" t="s">
        <v>59</v>
      </c>
      <c r="M312">
        <v>2503061</v>
      </c>
      <c r="N312" t="s">
        <v>377</v>
      </c>
      <c r="O312" t="s">
        <v>36</v>
      </c>
      <c r="Q312" t="s">
        <v>62</v>
      </c>
      <c r="R312" t="s">
        <v>378</v>
      </c>
      <c r="S312" t="s">
        <v>378</v>
      </c>
      <c r="T312" t="s">
        <v>47</v>
      </c>
      <c r="U312" t="s">
        <v>118</v>
      </c>
      <c r="V312" t="s">
        <v>49</v>
      </c>
      <c r="W312" t="s">
        <v>119</v>
      </c>
      <c r="X312" t="s">
        <v>51</v>
      </c>
      <c r="Y312" t="s">
        <v>133</v>
      </c>
      <c r="Z312" t="s">
        <v>64</v>
      </c>
      <c r="AA312" t="s">
        <v>302</v>
      </c>
      <c r="AB312" s="3">
        <f t="shared" si="32"/>
        <v>8</v>
      </c>
      <c r="AC312">
        <v>1040.56</v>
      </c>
      <c r="AD312" s="2">
        <v>130.07</v>
      </c>
      <c r="AE312" s="2">
        <v>218.37</v>
      </c>
      <c r="AF312" s="2">
        <v>7.7</v>
      </c>
      <c r="AG312" s="2">
        <v>1266.6300000000001</v>
      </c>
      <c r="AH312">
        <v>0</v>
      </c>
      <c r="AI312">
        <v>158.32875000000001</v>
      </c>
      <c r="AJ312">
        <v>6.3331499999999998</v>
      </c>
      <c r="AK312" t="s">
        <v>54</v>
      </c>
      <c r="AL312">
        <v>15.55</v>
      </c>
      <c r="AM312" s="4">
        <f t="shared" si="33"/>
        <v>158.32875000000001</v>
      </c>
      <c r="AN312" s="4">
        <f t="shared" si="34"/>
        <v>243.88124999999999</v>
      </c>
      <c r="AO312" s="4">
        <f t="shared" si="35"/>
        <v>270.95206874999997</v>
      </c>
      <c r="AP312" s="4">
        <f t="shared" si="36"/>
        <v>395.06323687499997</v>
      </c>
      <c r="AQ312" s="10">
        <f t="shared" si="37"/>
        <v>275.34952912500006</v>
      </c>
      <c r="AR312" s="10">
        <f t="shared" si="38"/>
        <v>305.94086181078757</v>
      </c>
      <c r="AS312" s="10">
        <f t="shared" si="39"/>
        <v>428.66414694180008</v>
      </c>
    </row>
    <row r="313" spans="1:45" x14ac:dyDescent="0.3">
      <c r="A313">
        <v>2025</v>
      </c>
      <c r="B313">
        <v>4</v>
      </c>
      <c r="C313" t="s">
        <v>55</v>
      </c>
      <c r="D313">
        <v>10</v>
      </c>
      <c r="E313" t="s">
        <v>36</v>
      </c>
      <c r="F313" t="s">
        <v>37</v>
      </c>
      <c r="G313" t="s">
        <v>38</v>
      </c>
      <c r="H313" t="s">
        <v>78</v>
      </c>
      <c r="I313" t="s">
        <v>375</v>
      </c>
      <c r="J313" t="s">
        <v>376</v>
      </c>
      <c r="K313" t="s">
        <v>59</v>
      </c>
      <c r="M313">
        <v>2503061</v>
      </c>
      <c r="N313" t="s">
        <v>377</v>
      </c>
      <c r="O313" t="s">
        <v>36</v>
      </c>
      <c r="Q313" t="s">
        <v>62</v>
      </c>
      <c r="R313" t="s">
        <v>378</v>
      </c>
      <c r="S313" t="s">
        <v>378</v>
      </c>
      <c r="T313" t="s">
        <v>47</v>
      </c>
      <c r="U313" t="s">
        <v>118</v>
      </c>
      <c r="V313" t="s">
        <v>49</v>
      </c>
      <c r="W313" t="s">
        <v>119</v>
      </c>
      <c r="X313" t="s">
        <v>51</v>
      </c>
      <c r="Y313" t="s">
        <v>483</v>
      </c>
      <c r="Z313" t="s">
        <v>483</v>
      </c>
      <c r="AA313" t="s">
        <v>302</v>
      </c>
      <c r="AB313" s="3">
        <f t="shared" si="32"/>
        <v>8</v>
      </c>
      <c r="AC313">
        <v>1022.87</v>
      </c>
      <c r="AD313" s="2">
        <v>127.85875</v>
      </c>
      <c r="AE313" s="2">
        <v>188.8</v>
      </c>
      <c r="AF313" s="2">
        <v>7.17</v>
      </c>
      <c r="AG313" s="2">
        <v>1218.8399999999999</v>
      </c>
      <c r="AH313">
        <v>0</v>
      </c>
      <c r="AI313">
        <v>152.35499999999999</v>
      </c>
      <c r="AJ313">
        <v>6.0941999999999998</v>
      </c>
      <c r="AK313" t="s">
        <v>54</v>
      </c>
      <c r="AL313">
        <v>9.01</v>
      </c>
      <c r="AM313" s="4">
        <f t="shared" si="33"/>
        <v>152.35499999999999</v>
      </c>
      <c r="AN313" s="4">
        <f t="shared" si="34"/>
        <v>239.73515624999999</v>
      </c>
      <c r="AO313" s="4">
        <f t="shared" si="35"/>
        <v>266.34575859374996</v>
      </c>
      <c r="AP313" s="4">
        <f t="shared" si="36"/>
        <v>388.34697960937496</v>
      </c>
      <c r="AQ313" s="10">
        <f t="shared" si="37"/>
        <v>264.96058049999999</v>
      </c>
      <c r="AR313" s="10">
        <f t="shared" si="38"/>
        <v>294.39770099354996</v>
      </c>
      <c r="AS313" s="10">
        <f t="shared" si="39"/>
        <v>412.4906317224</v>
      </c>
    </row>
    <row r="314" spans="1:45" x14ac:dyDescent="0.3">
      <c r="A314">
        <v>2025</v>
      </c>
      <c r="B314">
        <v>4</v>
      </c>
      <c r="C314" t="s">
        <v>55</v>
      </c>
      <c r="D314">
        <v>10</v>
      </c>
      <c r="E314" t="s">
        <v>36</v>
      </c>
      <c r="F314" t="s">
        <v>37</v>
      </c>
      <c r="G314" t="s">
        <v>38</v>
      </c>
      <c r="H314" t="s">
        <v>410</v>
      </c>
      <c r="I314" t="s">
        <v>190</v>
      </c>
      <c r="J314" t="s">
        <v>58</v>
      </c>
      <c r="K314" t="s">
        <v>59</v>
      </c>
      <c r="M314" t="s">
        <v>383</v>
      </c>
      <c r="N314" t="s">
        <v>384</v>
      </c>
      <c r="O314" t="s">
        <v>36</v>
      </c>
      <c r="Q314" t="s">
        <v>62</v>
      </c>
      <c r="R314" t="s">
        <v>385</v>
      </c>
      <c r="S314" t="s">
        <v>385</v>
      </c>
      <c r="T314" t="s">
        <v>47</v>
      </c>
      <c r="U314" t="s">
        <v>411</v>
      </c>
      <c r="V314" t="s">
        <v>49</v>
      </c>
      <c r="W314" t="s">
        <v>412</v>
      </c>
      <c r="X314" t="s">
        <v>388</v>
      </c>
      <c r="Y314" t="s">
        <v>133</v>
      </c>
      <c r="Z314" t="s">
        <v>133</v>
      </c>
      <c r="AA314" t="s">
        <v>302</v>
      </c>
      <c r="AB314" s="3">
        <f t="shared" si="32"/>
        <v>10</v>
      </c>
      <c r="AC314">
        <v>1100.05</v>
      </c>
      <c r="AD314" s="2">
        <v>110.005</v>
      </c>
      <c r="AE314" s="2">
        <v>150.87</v>
      </c>
      <c r="AF314" s="2">
        <v>7.74</v>
      </c>
      <c r="AG314" s="2">
        <v>1258.6600000000001</v>
      </c>
      <c r="AH314">
        <v>0</v>
      </c>
      <c r="AI314">
        <v>125.866</v>
      </c>
      <c r="AJ314">
        <v>6.2933000000000003</v>
      </c>
      <c r="AK314" t="s">
        <v>54</v>
      </c>
      <c r="AL314">
        <v>7.2</v>
      </c>
      <c r="AM314" s="4">
        <f t="shared" si="33"/>
        <v>125.86600000000001</v>
      </c>
      <c r="AN314" s="4">
        <f t="shared" si="34"/>
        <v>206.25937499999998</v>
      </c>
      <c r="AO314" s="4">
        <f t="shared" si="35"/>
        <v>229.15416562499996</v>
      </c>
      <c r="AP314" s="4">
        <f t="shared" si="36"/>
        <v>334.11956156249994</v>
      </c>
      <c r="AQ314" s="10">
        <f t="shared" si="37"/>
        <v>218.89356060000003</v>
      </c>
      <c r="AR314" s="10">
        <f t="shared" si="38"/>
        <v>243.21263518266002</v>
      </c>
      <c r="AS314" s="10">
        <f t="shared" si="39"/>
        <v>340.77349514208004</v>
      </c>
    </row>
    <row r="315" spans="1:45" x14ac:dyDescent="0.3">
      <c r="A315">
        <v>2025</v>
      </c>
      <c r="B315">
        <v>6</v>
      </c>
      <c r="C315" t="s">
        <v>55</v>
      </c>
      <c r="D315">
        <v>10</v>
      </c>
      <c r="E315" t="s">
        <v>36</v>
      </c>
      <c r="F315" t="s">
        <v>37</v>
      </c>
      <c r="G315" t="s">
        <v>38</v>
      </c>
      <c r="H315" t="s">
        <v>78</v>
      </c>
      <c r="I315" t="s">
        <v>190</v>
      </c>
      <c r="J315" t="s">
        <v>58</v>
      </c>
      <c r="K315" t="s">
        <v>59</v>
      </c>
      <c r="M315" t="s">
        <v>730</v>
      </c>
      <c r="N315" t="s">
        <v>731</v>
      </c>
      <c r="O315" t="s">
        <v>36</v>
      </c>
      <c r="Q315" t="s">
        <v>62</v>
      </c>
      <c r="R315" t="s">
        <v>732</v>
      </c>
      <c r="S315" t="s">
        <v>732</v>
      </c>
      <c r="T315" t="s">
        <v>47</v>
      </c>
      <c r="U315" t="s">
        <v>367</v>
      </c>
      <c r="V315" t="s">
        <v>49</v>
      </c>
      <c r="W315" t="s">
        <v>935</v>
      </c>
      <c r="X315" t="s">
        <v>686</v>
      </c>
      <c r="Y315" t="s">
        <v>413</v>
      </c>
      <c r="Z315" t="s">
        <v>413</v>
      </c>
      <c r="AA315" t="s">
        <v>414</v>
      </c>
      <c r="AB315" s="3">
        <f t="shared" si="32"/>
        <v>8</v>
      </c>
      <c r="AC315">
        <v>137.18</v>
      </c>
      <c r="AD315" s="2">
        <v>17.147500000000001</v>
      </c>
      <c r="AE315" s="2">
        <v>122.59</v>
      </c>
      <c r="AF315" s="2">
        <v>0.64</v>
      </c>
      <c r="AG315" s="2">
        <v>260.42</v>
      </c>
      <c r="AH315">
        <v>0</v>
      </c>
      <c r="AI315">
        <v>32.552500000000002</v>
      </c>
      <c r="AJ315">
        <v>1.3021</v>
      </c>
      <c r="AK315" t="s">
        <v>54</v>
      </c>
      <c r="AL315">
        <v>6.24</v>
      </c>
      <c r="AM315" s="4">
        <f t="shared" si="33"/>
        <v>32.552500000000002</v>
      </c>
      <c r="AN315" s="4">
        <f t="shared" si="34"/>
        <v>32.151562500000004</v>
      </c>
      <c r="AO315" s="4">
        <f t="shared" si="35"/>
        <v>35.720385937500005</v>
      </c>
      <c r="AP315" s="4">
        <f t="shared" si="36"/>
        <v>52.082316093750002</v>
      </c>
      <c r="AQ315" s="10">
        <f t="shared" si="37"/>
        <v>56.612052750000004</v>
      </c>
      <c r="AR315" s="10">
        <f t="shared" si="38"/>
        <v>62.901651810525003</v>
      </c>
      <c r="AS315" s="10">
        <f t="shared" si="39"/>
        <v>88.133643721200002</v>
      </c>
    </row>
    <row r="316" spans="1:45" x14ac:dyDescent="0.3">
      <c r="A316">
        <v>2025</v>
      </c>
      <c r="B316">
        <v>7</v>
      </c>
      <c r="C316" t="s">
        <v>55</v>
      </c>
      <c r="D316">
        <v>10</v>
      </c>
      <c r="E316" t="s">
        <v>36</v>
      </c>
      <c r="F316" t="s">
        <v>37</v>
      </c>
      <c r="G316" t="s">
        <v>38</v>
      </c>
      <c r="H316" t="s">
        <v>83</v>
      </c>
      <c r="I316" t="s">
        <v>190</v>
      </c>
      <c r="J316" t="s">
        <v>58</v>
      </c>
      <c r="K316" t="s">
        <v>41</v>
      </c>
      <c r="L316" t="s">
        <v>953</v>
      </c>
      <c r="M316" t="s">
        <v>954</v>
      </c>
      <c r="N316" t="s">
        <v>731</v>
      </c>
      <c r="O316" t="s">
        <v>36</v>
      </c>
      <c r="Q316" t="s">
        <v>62</v>
      </c>
      <c r="R316" t="s">
        <v>955</v>
      </c>
      <c r="S316" t="s">
        <v>956</v>
      </c>
      <c r="T316" t="s">
        <v>47</v>
      </c>
      <c r="U316" t="s">
        <v>995</v>
      </c>
      <c r="V316" t="s">
        <v>49</v>
      </c>
      <c r="W316" t="s">
        <v>996</v>
      </c>
      <c r="X316" t="s">
        <v>51</v>
      </c>
      <c r="Y316" t="s">
        <v>369</v>
      </c>
      <c r="Z316" t="s">
        <v>369</v>
      </c>
      <c r="AA316" t="s">
        <v>937</v>
      </c>
      <c r="AB316" s="3">
        <f t="shared" si="32"/>
        <v>2.9500000000000082</v>
      </c>
      <c r="AC316">
        <v>291.55</v>
      </c>
      <c r="AD316" s="2">
        <v>98.830508474576007</v>
      </c>
      <c r="AE316" s="2">
        <v>61.64</v>
      </c>
      <c r="AF316" s="2">
        <v>2.16</v>
      </c>
      <c r="AG316" s="2">
        <v>355.35</v>
      </c>
      <c r="AH316">
        <v>0</v>
      </c>
      <c r="AI316">
        <v>120.45762711864</v>
      </c>
      <c r="AJ316">
        <v>1.7767500000000001</v>
      </c>
      <c r="AK316" t="s">
        <v>54</v>
      </c>
      <c r="AL316">
        <v>2.11</v>
      </c>
      <c r="AM316" s="4">
        <f t="shared" si="33"/>
        <v>120.45762711864374</v>
      </c>
      <c r="AN316" s="4">
        <f t="shared" si="34"/>
        <v>185.30720338983002</v>
      </c>
      <c r="AO316" s="4">
        <f t="shared" si="35"/>
        <v>205.87630296610115</v>
      </c>
      <c r="AP316" s="4">
        <f t="shared" si="36"/>
        <v>300.17913877118565</v>
      </c>
      <c r="AQ316" s="10">
        <f t="shared" si="37"/>
        <v>209.48785932203333</v>
      </c>
      <c r="AR316" s="10">
        <f t="shared" si="38"/>
        <v>232.76196049271124</v>
      </c>
      <c r="AS316" s="10">
        <f t="shared" si="39"/>
        <v>326.13069939254149</v>
      </c>
    </row>
    <row r="317" spans="1:45" x14ac:dyDescent="0.3">
      <c r="A317">
        <v>2025</v>
      </c>
      <c r="B317">
        <v>8</v>
      </c>
      <c r="C317" t="s">
        <v>55</v>
      </c>
      <c r="D317">
        <v>10</v>
      </c>
      <c r="E317" t="s">
        <v>36</v>
      </c>
      <c r="F317" t="s">
        <v>37</v>
      </c>
      <c r="G317" t="s">
        <v>38</v>
      </c>
      <c r="H317" t="s">
        <v>83</v>
      </c>
      <c r="I317" t="s">
        <v>190</v>
      </c>
      <c r="J317" t="s">
        <v>58</v>
      </c>
      <c r="K317" t="s">
        <v>59</v>
      </c>
      <c r="L317" t="s">
        <v>1194</v>
      </c>
      <c r="M317" t="s">
        <v>1195</v>
      </c>
      <c r="N317" t="s">
        <v>1196</v>
      </c>
      <c r="O317" t="s">
        <v>1197</v>
      </c>
      <c r="Q317" t="s">
        <v>62</v>
      </c>
      <c r="R317" t="s">
        <v>1198</v>
      </c>
      <c r="S317" t="s">
        <v>1198</v>
      </c>
      <c r="T317" t="s">
        <v>47</v>
      </c>
      <c r="U317" t="s">
        <v>995</v>
      </c>
      <c r="V317" t="s">
        <v>49</v>
      </c>
      <c r="W317" t="s">
        <v>996</v>
      </c>
      <c r="X317" t="s">
        <v>388</v>
      </c>
      <c r="Y317" t="s">
        <v>997</v>
      </c>
      <c r="Z317" t="s">
        <v>997</v>
      </c>
      <c r="AA317" t="s">
        <v>998</v>
      </c>
      <c r="AB317" s="3">
        <f t="shared" si="32"/>
        <v>2.1499999999999901</v>
      </c>
      <c r="AC317">
        <v>155.34</v>
      </c>
      <c r="AD317" s="2">
        <v>72.251162790698004</v>
      </c>
      <c r="AE317" s="2">
        <v>29.4</v>
      </c>
      <c r="AF317" s="2">
        <v>1.6</v>
      </c>
      <c r="AG317" s="2">
        <v>185.44</v>
      </c>
      <c r="AH317">
        <v>0</v>
      </c>
      <c r="AI317">
        <v>86.251162790698004</v>
      </c>
      <c r="AJ317">
        <v>0.92720000000000002</v>
      </c>
      <c r="AK317" t="s">
        <v>54</v>
      </c>
      <c r="AL317">
        <v>2.17</v>
      </c>
      <c r="AM317" s="4">
        <f t="shared" si="33"/>
        <v>86.251162790698075</v>
      </c>
      <c r="AN317" s="4">
        <f t="shared" si="34"/>
        <v>135.47093023255877</v>
      </c>
      <c r="AO317" s="4">
        <f t="shared" si="35"/>
        <v>150.5082034883728</v>
      </c>
      <c r="AP317" s="4">
        <f t="shared" si="36"/>
        <v>219.44935988372194</v>
      </c>
      <c r="AQ317" s="10">
        <f t="shared" si="37"/>
        <v>149.99939720930303</v>
      </c>
      <c r="AR317" s="10">
        <f t="shared" si="38"/>
        <v>166.6643302392566</v>
      </c>
      <c r="AS317" s="10">
        <f t="shared" si="39"/>
        <v>233.51906157544295</v>
      </c>
    </row>
    <row r="318" spans="1:45" x14ac:dyDescent="0.3">
      <c r="A318">
        <v>2025</v>
      </c>
      <c r="B318">
        <v>8</v>
      </c>
      <c r="C318" t="s">
        <v>55</v>
      </c>
      <c r="D318">
        <v>10</v>
      </c>
      <c r="E318" t="s">
        <v>36</v>
      </c>
      <c r="F318" t="s">
        <v>37</v>
      </c>
      <c r="G318" t="s">
        <v>38</v>
      </c>
      <c r="H318" t="s">
        <v>83</v>
      </c>
      <c r="I318" t="s">
        <v>190</v>
      </c>
      <c r="J318" t="s">
        <v>58</v>
      </c>
      <c r="K318" t="s">
        <v>59</v>
      </c>
      <c r="L318" t="s">
        <v>1194</v>
      </c>
      <c r="M318" t="s">
        <v>1195</v>
      </c>
      <c r="N318" t="s">
        <v>1196</v>
      </c>
      <c r="O318" t="s">
        <v>1197</v>
      </c>
      <c r="Q318" t="s">
        <v>62</v>
      </c>
      <c r="R318" t="s">
        <v>1198</v>
      </c>
      <c r="S318" t="s">
        <v>1198</v>
      </c>
      <c r="T318" t="s">
        <v>47</v>
      </c>
      <c r="U318" t="s">
        <v>995</v>
      </c>
      <c r="V318" t="s">
        <v>49</v>
      </c>
      <c r="W318" t="s">
        <v>996</v>
      </c>
      <c r="X318" t="s">
        <v>388</v>
      </c>
      <c r="Y318" t="s">
        <v>997</v>
      </c>
      <c r="Z318" t="s">
        <v>997</v>
      </c>
      <c r="AA318" t="s">
        <v>998</v>
      </c>
      <c r="AB318" s="3">
        <f t="shared" si="32"/>
        <v>1</v>
      </c>
      <c r="AC318">
        <v>165.42</v>
      </c>
      <c r="AD318" s="2">
        <v>165.42</v>
      </c>
      <c r="AE318" s="2">
        <v>11.86</v>
      </c>
      <c r="AF318" s="2">
        <v>1.7</v>
      </c>
      <c r="AG318" s="2">
        <v>178.35</v>
      </c>
      <c r="AH318">
        <v>0</v>
      </c>
      <c r="AI318">
        <v>178.35</v>
      </c>
      <c r="AJ318">
        <v>0.89175000000000004</v>
      </c>
      <c r="AK318" t="s">
        <v>54</v>
      </c>
      <c r="AL318">
        <v>1.39</v>
      </c>
      <c r="AM318" s="4">
        <f t="shared" si="33"/>
        <v>178.35</v>
      </c>
      <c r="AN318" s="4">
        <f t="shared" si="34"/>
        <v>310.16249999999997</v>
      </c>
      <c r="AO318" s="4">
        <f t="shared" si="35"/>
        <v>344.59053749999998</v>
      </c>
      <c r="AP318" s="4">
        <f t="shared" si="36"/>
        <v>502.43223374999991</v>
      </c>
      <c r="AQ318" s="10">
        <f t="shared" si="37"/>
        <v>310.16848500000003</v>
      </c>
      <c r="AR318" s="10">
        <f t="shared" si="38"/>
        <v>344.62820368350003</v>
      </c>
      <c r="AS318" s="10">
        <f t="shared" si="39"/>
        <v>482.87029744800003</v>
      </c>
    </row>
    <row r="319" spans="1:45" x14ac:dyDescent="0.3">
      <c r="A319">
        <v>2025</v>
      </c>
      <c r="B319">
        <v>12</v>
      </c>
      <c r="C319" t="s">
        <v>55</v>
      </c>
      <c r="D319">
        <v>10</v>
      </c>
      <c r="E319" t="s">
        <v>36</v>
      </c>
      <c r="F319" t="s">
        <v>37</v>
      </c>
      <c r="G319" t="s">
        <v>38</v>
      </c>
      <c r="H319" t="s">
        <v>67</v>
      </c>
      <c r="I319" t="s">
        <v>57</v>
      </c>
      <c r="J319" t="s">
        <v>58</v>
      </c>
      <c r="K319" t="s">
        <v>59</v>
      </c>
      <c r="L319" t="s">
        <v>1769</v>
      </c>
      <c r="M319" t="s">
        <v>1770</v>
      </c>
      <c r="N319" t="s">
        <v>1771</v>
      </c>
      <c r="O319" t="s">
        <v>1197</v>
      </c>
      <c r="Q319" t="s">
        <v>62</v>
      </c>
      <c r="R319" t="s">
        <v>1772</v>
      </c>
      <c r="S319" t="s">
        <v>1772</v>
      </c>
      <c r="T319" t="s">
        <v>47</v>
      </c>
      <c r="U319" t="s">
        <v>167</v>
      </c>
      <c r="V319" t="s">
        <v>49</v>
      </c>
      <c r="W319" t="s">
        <v>168</v>
      </c>
      <c r="X319" t="s">
        <v>51</v>
      </c>
      <c r="Y319" t="s">
        <v>997</v>
      </c>
      <c r="Z319" t="s">
        <v>997</v>
      </c>
      <c r="AA319" t="s">
        <v>998</v>
      </c>
      <c r="AB319" s="3">
        <f t="shared" si="32"/>
        <v>1</v>
      </c>
      <c r="AC319">
        <v>165.42</v>
      </c>
      <c r="AD319" s="2">
        <v>165.42</v>
      </c>
      <c r="AE319" s="2">
        <v>11.86</v>
      </c>
      <c r="AF319" s="2">
        <v>1.7</v>
      </c>
      <c r="AG319" s="2">
        <v>178.35</v>
      </c>
      <c r="AH319">
        <v>0</v>
      </c>
      <c r="AI319">
        <v>178.35</v>
      </c>
      <c r="AJ319">
        <v>0.89175000000000004</v>
      </c>
      <c r="AK319" t="s">
        <v>54</v>
      </c>
      <c r="AL319">
        <v>1.39</v>
      </c>
      <c r="AM319" s="4">
        <f t="shared" si="33"/>
        <v>178.35</v>
      </c>
      <c r="AN319" s="4">
        <f t="shared" si="34"/>
        <v>310.16249999999997</v>
      </c>
      <c r="AO319" s="4">
        <f t="shared" si="35"/>
        <v>344.59053749999998</v>
      </c>
      <c r="AP319" s="4">
        <f t="shared" si="36"/>
        <v>502.43223374999991</v>
      </c>
      <c r="AQ319" s="10">
        <f t="shared" si="37"/>
        <v>310.16848500000003</v>
      </c>
      <c r="AR319" s="10">
        <f t="shared" si="38"/>
        <v>344.62820368350003</v>
      </c>
      <c r="AS319" s="10">
        <f t="shared" si="39"/>
        <v>482.87029744800003</v>
      </c>
    </row>
    <row r="320" spans="1:45" x14ac:dyDescent="0.3">
      <c r="A320">
        <v>2025</v>
      </c>
      <c r="B320">
        <v>3</v>
      </c>
      <c r="C320" t="s">
        <v>55</v>
      </c>
      <c r="D320">
        <v>10</v>
      </c>
      <c r="E320" t="s">
        <v>36</v>
      </c>
      <c r="F320" t="s">
        <v>37</v>
      </c>
      <c r="G320" t="s">
        <v>38</v>
      </c>
      <c r="H320" t="s">
        <v>78</v>
      </c>
      <c r="I320" t="s">
        <v>190</v>
      </c>
      <c r="J320" t="s">
        <v>58</v>
      </c>
      <c r="K320" t="s">
        <v>59</v>
      </c>
      <c r="M320" t="s">
        <v>213</v>
      </c>
      <c r="N320" t="s">
        <v>61</v>
      </c>
      <c r="O320" t="s">
        <v>43</v>
      </c>
      <c r="Q320" t="s">
        <v>62</v>
      </c>
      <c r="R320" t="s">
        <v>214</v>
      </c>
      <c r="S320" t="s">
        <v>215</v>
      </c>
      <c r="T320" t="s">
        <v>47</v>
      </c>
      <c r="U320" t="s">
        <v>367</v>
      </c>
      <c r="V320" t="s">
        <v>89</v>
      </c>
      <c r="W320" t="s">
        <v>368</v>
      </c>
      <c r="X320" t="s">
        <v>51</v>
      </c>
      <c r="Y320" t="s">
        <v>1897</v>
      </c>
      <c r="Z320" t="s">
        <v>1897</v>
      </c>
      <c r="AA320" t="s">
        <v>1898</v>
      </c>
      <c r="AB320" s="3">
        <f t="shared" si="32"/>
        <v>1</v>
      </c>
      <c r="AC320">
        <v>431.89</v>
      </c>
      <c r="AD320" s="2">
        <v>431.89</v>
      </c>
      <c r="AE320" s="2">
        <v>128.21</v>
      </c>
      <c r="AF320" s="2">
        <v>3.24</v>
      </c>
      <c r="AG320" s="2">
        <v>563.34</v>
      </c>
      <c r="AH320">
        <v>0</v>
      </c>
      <c r="AI320">
        <v>563.34</v>
      </c>
      <c r="AJ320">
        <v>2.8167</v>
      </c>
      <c r="AK320" t="s">
        <v>54</v>
      </c>
      <c r="AL320">
        <v>3.21</v>
      </c>
      <c r="AM320" s="4">
        <f t="shared" si="33"/>
        <v>563.34</v>
      </c>
      <c r="AN320" s="4">
        <f t="shared" si="34"/>
        <v>809.79374999999993</v>
      </c>
      <c r="AO320" s="4">
        <f t="shared" si="35"/>
        <v>899.68085624999992</v>
      </c>
      <c r="AP320" s="4">
        <f t="shared" si="36"/>
        <v>1311.7848956249998</v>
      </c>
      <c r="AQ320" s="10">
        <f t="shared" si="37"/>
        <v>979.70459400000016</v>
      </c>
      <c r="AR320" s="10">
        <f t="shared" si="38"/>
        <v>1088.5497743934002</v>
      </c>
      <c r="AS320" s="10">
        <f t="shared" si="39"/>
        <v>1525.2041119392002</v>
      </c>
    </row>
    <row r="321" spans="1:45" x14ac:dyDescent="0.3">
      <c r="A321">
        <v>2025</v>
      </c>
      <c r="B321">
        <v>9</v>
      </c>
      <c r="C321" t="s">
        <v>55</v>
      </c>
      <c r="D321">
        <v>10</v>
      </c>
      <c r="E321" t="s">
        <v>36</v>
      </c>
      <c r="F321" t="s">
        <v>37</v>
      </c>
      <c r="G321" t="s">
        <v>38</v>
      </c>
      <c r="H321" t="s">
        <v>78</v>
      </c>
      <c r="I321" t="s">
        <v>375</v>
      </c>
      <c r="J321" t="s">
        <v>376</v>
      </c>
      <c r="K321" t="s">
        <v>41</v>
      </c>
      <c r="L321" t="s">
        <v>1503</v>
      </c>
      <c r="M321" t="s">
        <v>1504</v>
      </c>
      <c r="N321" t="s">
        <v>377</v>
      </c>
      <c r="O321" t="s">
        <v>1197</v>
      </c>
      <c r="Q321" t="s">
        <v>62</v>
      </c>
      <c r="R321" t="s">
        <v>1505</v>
      </c>
      <c r="S321" t="s">
        <v>1505</v>
      </c>
      <c r="T321" t="s">
        <v>47</v>
      </c>
      <c r="U321" t="s">
        <v>367</v>
      </c>
      <c r="V321" t="s">
        <v>49</v>
      </c>
      <c r="W321" t="s">
        <v>935</v>
      </c>
      <c r="X321" t="s">
        <v>388</v>
      </c>
      <c r="Y321" t="s">
        <v>369</v>
      </c>
      <c r="Z321" t="s">
        <v>64</v>
      </c>
      <c r="AA321" t="s">
        <v>370</v>
      </c>
      <c r="AB321" s="3">
        <f t="shared" si="32"/>
        <v>2</v>
      </c>
      <c r="AC321">
        <v>290.35000000000002</v>
      </c>
      <c r="AD321" s="2">
        <v>145.17500000000001</v>
      </c>
      <c r="AE321" s="2">
        <v>60.93</v>
      </c>
      <c r="AF321" s="2">
        <v>2.15</v>
      </c>
      <c r="AG321" s="2">
        <v>353.43</v>
      </c>
      <c r="AH321">
        <v>0</v>
      </c>
      <c r="AI321">
        <v>176.715</v>
      </c>
      <c r="AJ321">
        <v>1.76715</v>
      </c>
      <c r="AK321" t="s">
        <v>54</v>
      </c>
      <c r="AL321">
        <v>3.89</v>
      </c>
      <c r="AM321" s="4">
        <f t="shared" si="33"/>
        <v>176.715</v>
      </c>
      <c r="AN321" s="4">
        <f t="shared" si="34"/>
        <v>272.203125</v>
      </c>
      <c r="AO321" s="4">
        <f t="shared" si="35"/>
        <v>302.417671875</v>
      </c>
      <c r="AP321" s="4">
        <f t="shared" si="36"/>
        <v>440.94184218749996</v>
      </c>
      <c r="AQ321" s="10">
        <f t="shared" si="37"/>
        <v>307.32505650000002</v>
      </c>
      <c r="AR321" s="10">
        <f t="shared" si="38"/>
        <v>341.46887027715002</v>
      </c>
      <c r="AS321" s="10">
        <f t="shared" si="39"/>
        <v>478.44364795920001</v>
      </c>
    </row>
    <row r="322" spans="1:45" x14ac:dyDescent="0.3">
      <c r="A322">
        <v>2025</v>
      </c>
      <c r="B322">
        <v>11</v>
      </c>
      <c r="C322" t="s">
        <v>55</v>
      </c>
      <c r="D322">
        <v>10</v>
      </c>
      <c r="E322" t="s">
        <v>36</v>
      </c>
      <c r="F322" t="s">
        <v>37</v>
      </c>
      <c r="G322" t="s">
        <v>38</v>
      </c>
      <c r="H322" t="s">
        <v>78</v>
      </c>
      <c r="I322" t="s">
        <v>375</v>
      </c>
      <c r="J322" t="s">
        <v>376</v>
      </c>
      <c r="K322" t="s">
        <v>51</v>
      </c>
      <c r="L322" t="s">
        <v>1622</v>
      </c>
      <c r="M322" t="s">
        <v>1623</v>
      </c>
      <c r="N322" t="s">
        <v>1485</v>
      </c>
      <c r="O322" t="s">
        <v>1197</v>
      </c>
      <c r="Q322" t="s">
        <v>62</v>
      </c>
      <c r="R322" t="s">
        <v>1624</v>
      </c>
      <c r="S322" t="s">
        <v>1624</v>
      </c>
      <c r="T322" t="s">
        <v>47</v>
      </c>
      <c r="U322" t="s">
        <v>367</v>
      </c>
      <c r="V322" t="s">
        <v>89</v>
      </c>
      <c r="W322" t="s">
        <v>935</v>
      </c>
      <c r="X322" t="s">
        <v>51</v>
      </c>
      <c r="Y322" t="s">
        <v>369</v>
      </c>
      <c r="Z322" t="s">
        <v>369</v>
      </c>
      <c r="AA322" t="s">
        <v>370</v>
      </c>
      <c r="AB322" s="3">
        <f t="shared" si="32"/>
        <v>9.9999999999999982</v>
      </c>
      <c r="AC322">
        <v>754.8</v>
      </c>
      <c r="AD322" s="2">
        <v>75.48</v>
      </c>
      <c r="AE322" s="2">
        <v>274.18</v>
      </c>
      <c r="AF322" s="2">
        <v>6.31</v>
      </c>
      <c r="AG322" s="2">
        <v>1034.57</v>
      </c>
      <c r="AH322">
        <v>0</v>
      </c>
      <c r="AI322">
        <v>103.45699999999999</v>
      </c>
      <c r="AJ322">
        <v>5.1728500000000004</v>
      </c>
      <c r="AK322" t="s">
        <v>54</v>
      </c>
      <c r="AL322">
        <v>22.25</v>
      </c>
      <c r="AM322" s="4">
        <f t="shared" si="33"/>
        <v>103.45700000000001</v>
      </c>
      <c r="AN322" s="4">
        <f t="shared" si="34"/>
        <v>141.52500000000001</v>
      </c>
      <c r="AO322" s="4">
        <f t="shared" si="35"/>
        <v>157.234275</v>
      </c>
      <c r="AP322" s="4">
        <f t="shared" si="36"/>
        <v>229.2563475</v>
      </c>
      <c r="AQ322" s="10">
        <f t="shared" si="37"/>
        <v>179.92206870000001</v>
      </c>
      <c r="AR322" s="10">
        <f t="shared" si="38"/>
        <v>199.91141053257002</v>
      </c>
      <c r="AS322" s="10">
        <f t="shared" si="39"/>
        <v>280.10267655216001</v>
      </c>
    </row>
    <row r="323" spans="1:45" x14ac:dyDescent="0.3">
      <c r="A323">
        <v>2025</v>
      </c>
      <c r="B323">
        <v>12</v>
      </c>
      <c r="C323" t="s">
        <v>55</v>
      </c>
      <c r="D323">
        <v>10</v>
      </c>
      <c r="E323" t="s">
        <v>36</v>
      </c>
      <c r="F323" t="s">
        <v>37</v>
      </c>
      <c r="G323" t="s">
        <v>38</v>
      </c>
      <c r="H323" t="s">
        <v>67</v>
      </c>
      <c r="I323" t="s">
        <v>57</v>
      </c>
      <c r="J323" t="s">
        <v>58</v>
      </c>
      <c r="K323" t="s">
        <v>59</v>
      </c>
      <c r="L323" t="s">
        <v>1769</v>
      </c>
      <c r="M323" t="s">
        <v>1770</v>
      </c>
      <c r="N323" t="s">
        <v>1771</v>
      </c>
      <c r="O323" t="s">
        <v>1197</v>
      </c>
      <c r="Q323" t="s">
        <v>62</v>
      </c>
      <c r="R323" t="s">
        <v>1772</v>
      </c>
      <c r="S323" t="s">
        <v>1772</v>
      </c>
      <c r="T323" t="s">
        <v>47</v>
      </c>
      <c r="U323" t="s">
        <v>167</v>
      </c>
      <c r="V323" t="s">
        <v>49</v>
      </c>
      <c r="W323" t="s">
        <v>168</v>
      </c>
      <c r="X323" t="s">
        <v>51</v>
      </c>
      <c r="Y323" t="s">
        <v>1754</v>
      </c>
      <c r="Z323" t="s">
        <v>1754</v>
      </c>
      <c r="AA323" t="s">
        <v>370</v>
      </c>
      <c r="AB323" s="3">
        <f t="shared" ref="AB323:AB386" si="40">SUM(AC323/AD323)</f>
        <v>5.9999999999999725</v>
      </c>
      <c r="AC323">
        <v>445.45</v>
      </c>
      <c r="AD323" s="2">
        <v>74.241666666667001</v>
      </c>
      <c r="AE323" s="2">
        <v>62.37</v>
      </c>
      <c r="AF323" s="2">
        <v>3.8</v>
      </c>
      <c r="AG323" s="2">
        <v>510.91</v>
      </c>
      <c r="AH323">
        <v>0</v>
      </c>
      <c r="AI323">
        <v>85.151666666666998</v>
      </c>
      <c r="AJ323">
        <v>2.5545499999999999</v>
      </c>
      <c r="AK323" t="s">
        <v>54</v>
      </c>
      <c r="AL323">
        <v>3.39</v>
      </c>
      <c r="AM323" s="4">
        <f t="shared" ref="AM323:AM386" si="41">SUM(AG323/AB323)</f>
        <v>85.151666666667055</v>
      </c>
      <c r="AN323" s="4">
        <f t="shared" ref="AN323:AN386" si="42">SUM(AD323*1.875)</f>
        <v>139.20312500000063</v>
      </c>
      <c r="AO323" s="4">
        <f t="shared" si="35"/>
        <v>154.6546718750007</v>
      </c>
      <c r="AP323" s="4">
        <f t="shared" si="36"/>
        <v>225.49514218750099</v>
      </c>
      <c r="AQ323" s="10">
        <f t="shared" si="37"/>
        <v>148.08726350000069</v>
      </c>
      <c r="AR323" s="10">
        <f t="shared" si="38"/>
        <v>164.53975847485077</v>
      </c>
      <c r="AS323" s="10">
        <f t="shared" si="39"/>
        <v>230.54225181680107</v>
      </c>
    </row>
    <row r="324" spans="1:45" x14ac:dyDescent="0.3">
      <c r="A324">
        <v>2025</v>
      </c>
      <c r="B324">
        <v>12</v>
      </c>
      <c r="C324" t="s">
        <v>55</v>
      </c>
      <c r="D324">
        <v>10</v>
      </c>
      <c r="E324" t="s">
        <v>36</v>
      </c>
      <c r="F324" t="s">
        <v>37</v>
      </c>
      <c r="G324" t="s">
        <v>38</v>
      </c>
      <c r="H324" t="s">
        <v>67</v>
      </c>
      <c r="I324" t="s">
        <v>57</v>
      </c>
      <c r="J324" t="s">
        <v>58</v>
      </c>
      <c r="K324" t="s">
        <v>59</v>
      </c>
      <c r="L324" t="s">
        <v>1769</v>
      </c>
      <c r="M324" t="s">
        <v>1770</v>
      </c>
      <c r="N324" t="s">
        <v>1771</v>
      </c>
      <c r="O324" t="s">
        <v>1197</v>
      </c>
      <c r="Q324" t="s">
        <v>62</v>
      </c>
      <c r="R324" t="s">
        <v>1772</v>
      </c>
      <c r="S324" t="s">
        <v>1772</v>
      </c>
      <c r="T324" t="s">
        <v>47</v>
      </c>
      <c r="U324" t="s">
        <v>167</v>
      </c>
      <c r="V324" t="s">
        <v>49</v>
      </c>
      <c r="W324" t="s">
        <v>168</v>
      </c>
      <c r="X324" t="s">
        <v>51</v>
      </c>
      <c r="Y324" t="s">
        <v>1895</v>
      </c>
      <c r="Z324" t="s">
        <v>1895</v>
      </c>
      <c r="AA324" t="s">
        <v>1896</v>
      </c>
      <c r="AB324" s="3">
        <f t="shared" si="40"/>
        <v>2</v>
      </c>
      <c r="AC324">
        <v>172.64</v>
      </c>
      <c r="AD324" s="2">
        <v>86.32</v>
      </c>
      <c r="AE324" s="2">
        <v>51.25</v>
      </c>
      <c r="AF324" s="2">
        <v>1.3</v>
      </c>
      <c r="AG324" s="2">
        <v>225.18</v>
      </c>
      <c r="AH324">
        <v>0</v>
      </c>
      <c r="AI324">
        <v>112.59</v>
      </c>
      <c r="AJ324">
        <v>1.1258999999999999</v>
      </c>
      <c r="AK324" t="s">
        <v>54</v>
      </c>
      <c r="AL324">
        <v>1.28</v>
      </c>
      <c r="AM324" s="4">
        <f t="shared" si="41"/>
        <v>112.59</v>
      </c>
      <c r="AN324" s="4">
        <f t="shared" si="42"/>
        <v>161.85</v>
      </c>
      <c r="AO324" s="4">
        <f t="shared" ref="AO324:AO387" si="43">SUM(AN324)*1.111</f>
        <v>179.81535</v>
      </c>
      <c r="AP324" s="4">
        <f t="shared" ref="AP324:AP387" si="44">SUM(AN324)*1.6199</f>
        <v>262.180815</v>
      </c>
      <c r="AQ324" s="10">
        <f t="shared" ref="AQ324:AQ387" si="45">SUM(AM324)*1.7391</f>
        <v>195.80526900000001</v>
      </c>
      <c r="AR324" s="10">
        <f t="shared" ref="AR324:AR387" si="46">SUM(AQ324)*1.1111</f>
        <v>217.5592343859</v>
      </c>
      <c r="AS324" s="10">
        <f t="shared" ref="AS324:AS387" si="47">SUM(AQ324)*1.5568</f>
        <v>304.82964277920001</v>
      </c>
    </row>
    <row r="325" spans="1:45" x14ac:dyDescent="0.3">
      <c r="A325">
        <v>2025</v>
      </c>
      <c r="B325">
        <v>7</v>
      </c>
      <c r="C325" t="s">
        <v>55</v>
      </c>
      <c r="D325">
        <v>10</v>
      </c>
      <c r="E325" t="s">
        <v>36</v>
      </c>
      <c r="F325" t="s">
        <v>37</v>
      </c>
      <c r="G325" t="s">
        <v>38</v>
      </c>
      <c r="H325" t="s">
        <v>1162</v>
      </c>
      <c r="I325" t="s">
        <v>190</v>
      </c>
      <c r="J325" t="s">
        <v>58</v>
      </c>
      <c r="K325" t="s">
        <v>41</v>
      </c>
      <c r="L325" t="s">
        <v>953</v>
      </c>
      <c r="M325" t="s">
        <v>954</v>
      </c>
      <c r="N325" t="s">
        <v>731</v>
      </c>
      <c r="O325" t="s">
        <v>36</v>
      </c>
      <c r="Q325" t="s">
        <v>62</v>
      </c>
      <c r="R325" t="s">
        <v>955</v>
      </c>
      <c r="S325" t="s">
        <v>956</v>
      </c>
      <c r="T325" t="s">
        <v>47</v>
      </c>
      <c r="U325" t="s">
        <v>629</v>
      </c>
      <c r="V325" t="s">
        <v>49</v>
      </c>
      <c r="W325" t="s">
        <v>908</v>
      </c>
      <c r="X325" t="s">
        <v>51</v>
      </c>
      <c r="Y325" t="s">
        <v>1895</v>
      </c>
      <c r="Z325" t="s">
        <v>1895</v>
      </c>
      <c r="AA325" t="s">
        <v>1896</v>
      </c>
      <c r="AB325" s="3">
        <f t="shared" si="40"/>
        <v>2</v>
      </c>
      <c r="AC325">
        <v>172.64</v>
      </c>
      <c r="AD325" s="2">
        <v>86.32</v>
      </c>
      <c r="AE325" s="2">
        <v>51.25</v>
      </c>
      <c r="AF325" s="2">
        <v>1.3</v>
      </c>
      <c r="AG325" s="2">
        <v>225.18</v>
      </c>
      <c r="AH325">
        <v>0</v>
      </c>
      <c r="AI325">
        <v>112.59</v>
      </c>
      <c r="AJ325">
        <v>1.1258999999999999</v>
      </c>
      <c r="AK325" t="s">
        <v>54</v>
      </c>
      <c r="AL325">
        <v>1.28</v>
      </c>
      <c r="AM325" s="4">
        <f t="shared" si="41"/>
        <v>112.59</v>
      </c>
      <c r="AN325" s="4">
        <f t="shared" si="42"/>
        <v>161.85</v>
      </c>
      <c r="AO325" s="4">
        <f t="shared" si="43"/>
        <v>179.81535</v>
      </c>
      <c r="AP325" s="4">
        <f t="shared" si="44"/>
        <v>262.180815</v>
      </c>
      <c r="AQ325" s="10">
        <f t="shared" si="45"/>
        <v>195.80526900000001</v>
      </c>
      <c r="AR325" s="10">
        <f t="shared" si="46"/>
        <v>217.5592343859</v>
      </c>
      <c r="AS325" s="10">
        <f t="shared" si="47"/>
        <v>304.82964277920001</v>
      </c>
    </row>
    <row r="326" spans="1:45" x14ac:dyDescent="0.3">
      <c r="A326">
        <v>2025</v>
      </c>
      <c r="B326">
        <v>8</v>
      </c>
      <c r="C326" t="s">
        <v>55</v>
      </c>
      <c r="D326">
        <v>10</v>
      </c>
      <c r="E326" t="s">
        <v>36</v>
      </c>
      <c r="F326" t="s">
        <v>37</v>
      </c>
      <c r="G326" t="s">
        <v>38</v>
      </c>
      <c r="H326" t="s">
        <v>1162</v>
      </c>
      <c r="I326" t="s">
        <v>190</v>
      </c>
      <c r="J326" t="s">
        <v>58</v>
      </c>
      <c r="K326" t="s">
        <v>59</v>
      </c>
      <c r="L326" t="s">
        <v>1194</v>
      </c>
      <c r="M326" t="s">
        <v>1195</v>
      </c>
      <c r="N326" t="s">
        <v>1196</v>
      </c>
      <c r="O326" t="s">
        <v>1197</v>
      </c>
      <c r="Q326" t="s">
        <v>62</v>
      </c>
      <c r="R326" t="s">
        <v>1198</v>
      </c>
      <c r="S326" t="s">
        <v>1198</v>
      </c>
      <c r="T326" t="s">
        <v>47</v>
      </c>
      <c r="U326" t="s">
        <v>629</v>
      </c>
      <c r="V326" t="s">
        <v>49</v>
      </c>
      <c r="W326" t="s">
        <v>908</v>
      </c>
      <c r="X326" t="s">
        <v>388</v>
      </c>
      <c r="Y326" t="s">
        <v>1163</v>
      </c>
      <c r="Z326" t="s">
        <v>1163</v>
      </c>
      <c r="AA326" t="s">
        <v>1164</v>
      </c>
      <c r="AB326" s="3">
        <f t="shared" si="40"/>
        <v>1</v>
      </c>
      <c r="AC326">
        <v>389.12</v>
      </c>
      <c r="AD326" s="2">
        <v>389.12</v>
      </c>
      <c r="AE326" s="2">
        <v>29.4</v>
      </c>
      <c r="AF326" s="2">
        <v>2.7</v>
      </c>
      <c r="AG326" s="2">
        <v>420.86</v>
      </c>
      <c r="AH326">
        <v>0</v>
      </c>
      <c r="AI326">
        <v>420.86</v>
      </c>
      <c r="AJ326">
        <v>2.1042999999999998</v>
      </c>
      <c r="AK326" t="s">
        <v>54</v>
      </c>
      <c r="AL326">
        <v>2.17</v>
      </c>
      <c r="AM326" s="4">
        <f t="shared" si="41"/>
        <v>420.86</v>
      </c>
      <c r="AN326" s="4">
        <f t="shared" si="42"/>
        <v>729.6</v>
      </c>
      <c r="AO326" s="4">
        <f t="shared" si="43"/>
        <v>810.5856</v>
      </c>
      <c r="AP326" s="4">
        <f t="shared" si="44"/>
        <v>1181.87904</v>
      </c>
      <c r="AQ326" s="10">
        <f t="shared" si="45"/>
        <v>731.91762600000004</v>
      </c>
      <c r="AR326" s="10">
        <f t="shared" si="46"/>
        <v>813.23367424859998</v>
      </c>
      <c r="AS326" s="10">
        <f t="shared" si="47"/>
        <v>1139.4493601568001</v>
      </c>
    </row>
    <row r="327" spans="1:45" x14ac:dyDescent="0.3">
      <c r="A327">
        <v>2025</v>
      </c>
      <c r="B327">
        <v>8</v>
      </c>
      <c r="C327" t="s">
        <v>55</v>
      </c>
      <c r="D327">
        <v>10</v>
      </c>
      <c r="E327" t="s">
        <v>36</v>
      </c>
      <c r="F327" t="s">
        <v>37</v>
      </c>
      <c r="G327" t="s">
        <v>38</v>
      </c>
      <c r="H327" t="s">
        <v>39</v>
      </c>
      <c r="I327" t="s">
        <v>190</v>
      </c>
      <c r="J327" t="s">
        <v>58</v>
      </c>
      <c r="K327" t="s">
        <v>59</v>
      </c>
      <c r="L327" t="s">
        <v>1194</v>
      </c>
      <c r="M327" t="s">
        <v>1195</v>
      </c>
      <c r="N327" t="s">
        <v>1196</v>
      </c>
      <c r="O327" t="s">
        <v>1197</v>
      </c>
      <c r="Q327" t="s">
        <v>62</v>
      </c>
      <c r="R327" t="s">
        <v>1198</v>
      </c>
      <c r="S327" t="s">
        <v>1198</v>
      </c>
      <c r="T327" t="s">
        <v>47</v>
      </c>
      <c r="U327" t="s">
        <v>629</v>
      </c>
      <c r="V327" t="s">
        <v>49</v>
      </c>
      <c r="W327" t="s">
        <v>908</v>
      </c>
      <c r="X327" t="s">
        <v>388</v>
      </c>
      <c r="Y327" t="s">
        <v>1163</v>
      </c>
      <c r="Z327" t="s">
        <v>1163</v>
      </c>
      <c r="AA327" t="s">
        <v>1164</v>
      </c>
      <c r="AB327" s="3">
        <f t="shared" si="40"/>
        <v>1</v>
      </c>
      <c r="AC327">
        <v>420.15</v>
      </c>
      <c r="AD327" s="2">
        <v>420.15</v>
      </c>
      <c r="AE327" s="2">
        <v>30.11</v>
      </c>
      <c r="AF327" s="2">
        <v>2.72</v>
      </c>
      <c r="AG327" s="2">
        <v>452.98</v>
      </c>
      <c r="AH327">
        <v>0</v>
      </c>
      <c r="AI327">
        <v>452.98</v>
      </c>
      <c r="AJ327">
        <v>2.2648999999999999</v>
      </c>
      <c r="AK327" t="s">
        <v>54</v>
      </c>
      <c r="AL327">
        <v>3.54</v>
      </c>
      <c r="AM327" s="4">
        <f t="shared" si="41"/>
        <v>452.98</v>
      </c>
      <c r="AN327" s="4">
        <f t="shared" si="42"/>
        <v>787.78125</v>
      </c>
      <c r="AO327" s="4">
        <f t="shared" si="43"/>
        <v>875.22496875000002</v>
      </c>
      <c r="AP327" s="4">
        <f t="shared" si="44"/>
        <v>1276.126846875</v>
      </c>
      <c r="AQ327" s="10">
        <f t="shared" si="45"/>
        <v>787.7775180000001</v>
      </c>
      <c r="AR327" s="10">
        <f t="shared" si="46"/>
        <v>875.29960024980005</v>
      </c>
      <c r="AS327" s="10">
        <f t="shared" si="47"/>
        <v>1226.4120400224001</v>
      </c>
    </row>
    <row r="328" spans="1:45" x14ac:dyDescent="0.3">
      <c r="A328">
        <v>2025</v>
      </c>
      <c r="B328">
        <v>8</v>
      </c>
      <c r="C328" t="s">
        <v>55</v>
      </c>
      <c r="D328">
        <v>10</v>
      </c>
      <c r="E328" t="s">
        <v>36</v>
      </c>
      <c r="F328" t="s">
        <v>37</v>
      </c>
      <c r="G328" t="s">
        <v>38</v>
      </c>
      <c r="H328" t="s">
        <v>83</v>
      </c>
      <c r="I328" t="s">
        <v>190</v>
      </c>
      <c r="J328" t="s">
        <v>58</v>
      </c>
      <c r="K328" t="s">
        <v>59</v>
      </c>
      <c r="L328" t="s">
        <v>1194</v>
      </c>
      <c r="M328" t="s">
        <v>1195</v>
      </c>
      <c r="N328" t="s">
        <v>1196</v>
      </c>
      <c r="O328" t="s">
        <v>1197</v>
      </c>
      <c r="Q328" t="s">
        <v>62</v>
      </c>
      <c r="R328" t="s">
        <v>1198</v>
      </c>
      <c r="S328" t="s">
        <v>1198</v>
      </c>
      <c r="T328" t="s">
        <v>47</v>
      </c>
      <c r="U328" t="s">
        <v>428</v>
      </c>
      <c r="V328" t="s">
        <v>49</v>
      </c>
      <c r="W328" t="s">
        <v>425</v>
      </c>
      <c r="X328" t="s">
        <v>388</v>
      </c>
      <c r="Y328" t="s">
        <v>1163</v>
      </c>
      <c r="Z328" t="s">
        <v>1163</v>
      </c>
      <c r="AA328" t="s">
        <v>1444</v>
      </c>
      <c r="AB328" s="3">
        <f t="shared" si="40"/>
        <v>1</v>
      </c>
      <c r="AC328">
        <v>583.13</v>
      </c>
      <c r="AD328" s="2">
        <v>583.13</v>
      </c>
      <c r="AE328" s="2">
        <v>41.79</v>
      </c>
      <c r="AF328" s="2">
        <v>3.77</v>
      </c>
      <c r="AG328" s="2">
        <v>628.69000000000005</v>
      </c>
      <c r="AH328">
        <v>0</v>
      </c>
      <c r="AI328">
        <v>628.69000000000005</v>
      </c>
      <c r="AJ328">
        <v>3.1434500000000001</v>
      </c>
      <c r="AK328" t="s">
        <v>54</v>
      </c>
      <c r="AL328">
        <v>4.91</v>
      </c>
      <c r="AM328" s="4">
        <f t="shared" si="41"/>
        <v>628.69000000000005</v>
      </c>
      <c r="AN328" s="4">
        <f t="shared" si="42"/>
        <v>1093.3687500000001</v>
      </c>
      <c r="AO328" s="4">
        <f t="shared" si="43"/>
        <v>1214.73268125</v>
      </c>
      <c r="AP328" s="4">
        <f t="shared" si="44"/>
        <v>1771.1480381250001</v>
      </c>
      <c r="AQ328" s="10">
        <f t="shared" si="45"/>
        <v>1093.3547790000002</v>
      </c>
      <c r="AR328" s="10">
        <f t="shared" si="46"/>
        <v>1214.8264949469003</v>
      </c>
      <c r="AS328" s="10">
        <f t="shared" si="47"/>
        <v>1702.1347199472004</v>
      </c>
    </row>
    <row r="329" spans="1:45" x14ac:dyDescent="0.3">
      <c r="A329">
        <v>2025</v>
      </c>
      <c r="B329">
        <v>4</v>
      </c>
      <c r="C329" t="s">
        <v>55</v>
      </c>
      <c r="D329">
        <v>10</v>
      </c>
      <c r="E329" t="s">
        <v>36</v>
      </c>
      <c r="F329" t="s">
        <v>37</v>
      </c>
      <c r="G329" t="s">
        <v>38</v>
      </c>
      <c r="H329" t="s">
        <v>83</v>
      </c>
      <c r="I329" t="s">
        <v>190</v>
      </c>
      <c r="J329" t="s">
        <v>58</v>
      </c>
      <c r="K329" t="s">
        <v>59</v>
      </c>
      <c r="M329" t="s">
        <v>383</v>
      </c>
      <c r="N329" t="s">
        <v>384</v>
      </c>
      <c r="O329" t="s">
        <v>36</v>
      </c>
      <c r="Q329" t="s">
        <v>62</v>
      </c>
      <c r="R329" t="s">
        <v>385</v>
      </c>
      <c r="S329" t="s">
        <v>385</v>
      </c>
      <c r="T329" t="s">
        <v>47</v>
      </c>
      <c r="U329" t="s">
        <v>371</v>
      </c>
      <c r="V329" t="s">
        <v>49</v>
      </c>
      <c r="W329" t="s">
        <v>372</v>
      </c>
      <c r="X329" t="s">
        <v>388</v>
      </c>
      <c r="Y329" t="s">
        <v>1263</v>
      </c>
      <c r="Z329" t="s">
        <v>1263</v>
      </c>
      <c r="AA329" t="s">
        <v>1264</v>
      </c>
      <c r="AB329" s="3">
        <f t="shared" si="40"/>
        <v>1</v>
      </c>
      <c r="AC329">
        <v>16.739999999999998</v>
      </c>
      <c r="AD329" s="2">
        <v>16.739999999999998</v>
      </c>
      <c r="AE329" s="2">
        <v>1.2</v>
      </c>
      <c r="AF329" s="2">
        <v>0.11</v>
      </c>
      <c r="AG329" s="2">
        <v>18.5</v>
      </c>
      <c r="AH329">
        <v>0</v>
      </c>
      <c r="AI329">
        <v>18.5</v>
      </c>
      <c r="AJ329">
        <v>9.2499999999999999E-2</v>
      </c>
      <c r="AK329" t="s">
        <v>54</v>
      </c>
      <c r="AL329">
        <v>0.14000000000000001</v>
      </c>
      <c r="AM329" s="4">
        <f t="shared" si="41"/>
        <v>18.5</v>
      </c>
      <c r="AN329" s="4">
        <f t="shared" si="42"/>
        <v>31.387499999999996</v>
      </c>
      <c r="AO329" s="4">
        <f t="shared" si="43"/>
        <v>34.871512499999994</v>
      </c>
      <c r="AP329" s="4">
        <f t="shared" si="44"/>
        <v>50.844611249999993</v>
      </c>
      <c r="AQ329" s="10">
        <f t="shared" si="45"/>
        <v>32.173349999999999</v>
      </c>
      <c r="AR329" s="10">
        <f t="shared" si="46"/>
        <v>35.747809185000001</v>
      </c>
      <c r="AS329" s="10">
        <f t="shared" si="47"/>
        <v>50.087471279999995</v>
      </c>
    </row>
    <row r="330" spans="1:45" x14ac:dyDescent="0.3">
      <c r="A330">
        <v>2025</v>
      </c>
      <c r="B330">
        <v>4</v>
      </c>
      <c r="C330" t="s">
        <v>55</v>
      </c>
      <c r="D330">
        <v>10</v>
      </c>
      <c r="E330" t="s">
        <v>36</v>
      </c>
      <c r="F330" t="s">
        <v>37</v>
      </c>
      <c r="G330" t="s">
        <v>38</v>
      </c>
      <c r="H330" t="s">
        <v>83</v>
      </c>
      <c r="I330" t="s">
        <v>375</v>
      </c>
      <c r="J330" t="s">
        <v>376</v>
      </c>
      <c r="K330" t="s">
        <v>59</v>
      </c>
      <c r="M330">
        <v>2503061</v>
      </c>
      <c r="N330" t="s">
        <v>377</v>
      </c>
      <c r="O330" t="s">
        <v>36</v>
      </c>
      <c r="Q330" t="s">
        <v>62</v>
      </c>
      <c r="R330" t="s">
        <v>378</v>
      </c>
      <c r="S330" t="s">
        <v>378</v>
      </c>
      <c r="T330" t="s">
        <v>47</v>
      </c>
      <c r="U330" t="s">
        <v>664</v>
      </c>
      <c r="V330" t="s">
        <v>49</v>
      </c>
      <c r="W330" t="s">
        <v>665</v>
      </c>
      <c r="X330" t="s">
        <v>51</v>
      </c>
      <c r="Y330" t="s">
        <v>658</v>
      </c>
      <c r="Z330" t="s">
        <v>658</v>
      </c>
      <c r="AA330" t="s">
        <v>659</v>
      </c>
      <c r="AB330" s="3">
        <f t="shared" si="40"/>
        <v>1</v>
      </c>
      <c r="AC330">
        <v>107.52</v>
      </c>
      <c r="AD330" s="2">
        <v>107.52</v>
      </c>
      <c r="AE330" s="2">
        <v>15.32</v>
      </c>
      <c r="AF330" s="2">
        <v>0.7</v>
      </c>
      <c r="AG330" s="2">
        <v>123.55</v>
      </c>
      <c r="AH330">
        <v>0</v>
      </c>
      <c r="AI330">
        <v>123.55</v>
      </c>
      <c r="AJ330">
        <v>0.61775000000000002</v>
      </c>
      <c r="AK330" t="s">
        <v>54</v>
      </c>
      <c r="AL330">
        <v>0.78</v>
      </c>
      <c r="AM330" s="4">
        <f t="shared" si="41"/>
        <v>123.55</v>
      </c>
      <c r="AN330" s="4">
        <f t="shared" si="42"/>
        <v>201.6</v>
      </c>
      <c r="AO330" s="4">
        <f t="shared" si="43"/>
        <v>223.9776</v>
      </c>
      <c r="AP330" s="4">
        <f t="shared" si="44"/>
        <v>326.57183999999995</v>
      </c>
      <c r="AQ330" s="10">
        <f t="shared" si="45"/>
        <v>214.86580499999999</v>
      </c>
      <c r="AR330" s="10">
        <f t="shared" si="46"/>
        <v>238.73739593549999</v>
      </c>
      <c r="AS330" s="10">
        <f t="shared" si="47"/>
        <v>334.50308522399996</v>
      </c>
    </row>
    <row r="331" spans="1:45" x14ac:dyDescent="0.3">
      <c r="A331">
        <v>2025</v>
      </c>
      <c r="B331">
        <v>12</v>
      </c>
      <c r="C331" t="s">
        <v>55</v>
      </c>
      <c r="D331">
        <v>10</v>
      </c>
      <c r="E331" t="s">
        <v>36</v>
      </c>
      <c r="F331" t="s">
        <v>37</v>
      </c>
      <c r="G331" t="s">
        <v>38</v>
      </c>
      <c r="H331" t="s">
        <v>924</v>
      </c>
      <c r="I331" t="s">
        <v>57</v>
      </c>
      <c r="J331" t="s">
        <v>58</v>
      </c>
      <c r="K331" t="s">
        <v>59</v>
      </c>
      <c r="L331" t="s">
        <v>1769</v>
      </c>
      <c r="M331" t="s">
        <v>1770</v>
      </c>
      <c r="N331" t="s">
        <v>1771</v>
      </c>
      <c r="O331" t="s">
        <v>1197</v>
      </c>
      <c r="Q331" t="s">
        <v>62</v>
      </c>
      <c r="R331" t="s">
        <v>1772</v>
      </c>
      <c r="S331" t="s">
        <v>1772</v>
      </c>
      <c r="T331" t="s">
        <v>47</v>
      </c>
      <c r="U331" t="s">
        <v>1184</v>
      </c>
      <c r="V331" t="s">
        <v>49</v>
      </c>
      <c r="W331" t="s">
        <v>1185</v>
      </c>
      <c r="X331" t="s">
        <v>51</v>
      </c>
      <c r="Y331" t="s">
        <v>668</v>
      </c>
      <c r="Z331" t="s">
        <v>668</v>
      </c>
      <c r="AA331" t="s">
        <v>659</v>
      </c>
      <c r="AB331" s="3">
        <f t="shared" si="40"/>
        <v>2</v>
      </c>
      <c r="AC331">
        <v>207.79</v>
      </c>
      <c r="AD331" s="2">
        <v>103.895</v>
      </c>
      <c r="AE331" s="2">
        <v>30.17</v>
      </c>
      <c r="AF331" s="2">
        <v>1.46</v>
      </c>
      <c r="AG331" s="2">
        <v>239.43</v>
      </c>
      <c r="AH331">
        <v>0</v>
      </c>
      <c r="AI331">
        <v>119.715</v>
      </c>
      <c r="AJ331">
        <v>1.1971499999999999</v>
      </c>
      <c r="AK331" t="s">
        <v>54</v>
      </c>
      <c r="AL331">
        <v>1.44</v>
      </c>
      <c r="AM331" s="4">
        <f t="shared" si="41"/>
        <v>119.715</v>
      </c>
      <c r="AN331" s="4">
        <f t="shared" si="42"/>
        <v>194.80312499999999</v>
      </c>
      <c r="AO331" s="4">
        <f t="shared" si="43"/>
        <v>216.426271875</v>
      </c>
      <c r="AP331" s="4">
        <f t="shared" si="44"/>
        <v>315.56158218749999</v>
      </c>
      <c r="AQ331" s="10">
        <f t="shared" si="45"/>
        <v>208.19635650000001</v>
      </c>
      <c r="AR331" s="10">
        <f t="shared" si="46"/>
        <v>231.32697170714999</v>
      </c>
      <c r="AS331" s="10">
        <f t="shared" si="47"/>
        <v>324.12008779920001</v>
      </c>
    </row>
    <row r="332" spans="1:45" x14ac:dyDescent="0.3">
      <c r="A332">
        <v>2025</v>
      </c>
      <c r="B332">
        <v>11</v>
      </c>
      <c r="C332" t="s">
        <v>55</v>
      </c>
      <c r="D332">
        <v>10</v>
      </c>
      <c r="E332" t="s">
        <v>36</v>
      </c>
      <c r="F332" t="s">
        <v>37</v>
      </c>
      <c r="G332" t="s">
        <v>38</v>
      </c>
      <c r="H332" t="s">
        <v>67</v>
      </c>
      <c r="I332" t="s">
        <v>375</v>
      </c>
      <c r="J332" t="s">
        <v>376</v>
      </c>
      <c r="K332" t="s">
        <v>59</v>
      </c>
      <c r="L332" t="s">
        <v>1647</v>
      </c>
      <c r="M332" t="s">
        <v>1633</v>
      </c>
      <c r="N332" t="s">
        <v>1485</v>
      </c>
      <c r="O332" t="s">
        <v>1197</v>
      </c>
      <c r="Q332" t="s">
        <v>62</v>
      </c>
      <c r="R332" t="s">
        <v>1648</v>
      </c>
      <c r="S332" t="s">
        <v>1648</v>
      </c>
      <c r="T332" t="s">
        <v>47</v>
      </c>
      <c r="U332" t="s">
        <v>453</v>
      </c>
      <c r="V332" t="s">
        <v>49</v>
      </c>
      <c r="W332" t="s">
        <v>1289</v>
      </c>
      <c r="X332" t="s">
        <v>51</v>
      </c>
      <c r="Y332" t="s">
        <v>1938</v>
      </c>
      <c r="Z332" t="s">
        <v>1938</v>
      </c>
      <c r="AA332" t="s">
        <v>659</v>
      </c>
      <c r="AB332" s="3">
        <f t="shared" si="40"/>
        <v>1</v>
      </c>
      <c r="AC332">
        <v>81.42</v>
      </c>
      <c r="AD332" s="2">
        <v>81.42</v>
      </c>
      <c r="AE332" s="2">
        <v>24.17</v>
      </c>
      <c r="AF332" s="2">
        <v>0.61</v>
      </c>
      <c r="AG332" s="2">
        <v>106.2</v>
      </c>
      <c r="AH332">
        <v>0</v>
      </c>
      <c r="AI332">
        <v>106.2</v>
      </c>
      <c r="AJ332">
        <v>0.53100000000000003</v>
      </c>
      <c r="AK332" t="s">
        <v>54</v>
      </c>
      <c r="AL332">
        <v>0.61</v>
      </c>
      <c r="AM332" s="4">
        <f t="shared" si="41"/>
        <v>106.2</v>
      </c>
      <c r="AN332" s="4">
        <f t="shared" si="42"/>
        <v>152.66249999999999</v>
      </c>
      <c r="AO332" s="4">
        <f t="shared" si="43"/>
        <v>169.60803749999999</v>
      </c>
      <c r="AP332" s="4">
        <f t="shared" si="44"/>
        <v>247.29798374999999</v>
      </c>
      <c r="AQ332" s="10">
        <f t="shared" si="45"/>
        <v>184.69242000000003</v>
      </c>
      <c r="AR332" s="10">
        <f t="shared" si="46"/>
        <v>205.21174786200004</v>
      </c>
      <c r="AS332" s="10">
        <f t="shared" si="47"/>
        <v>287.52915945600006</v>
      </c>
    </row>
    <row r="333" spans="1:45" x14ac:dyDescent="0.3">
      <c r="A333">
        <v>2025</v>
      </c>
      <c r="B333">
        <v>6</v>
      </c>
      <c r="C333" t="s">
        <v>55</v>
      </c>
      <c r="D333">
        <v>10</v>
      </c>
      <c r="E333" t="s">
        <v>36</v>
      </c>
      <c r="F333" t="s">
        <v>37</v>
      </c>
      <c r="G333" t="s">
        <v>38</v>
      </c>
      <c r="H333" t="s">
        <v>83</v>
      </c>
      <c r="I333" t="s">
        <v>190</v>
      </c>
      <c r="J333" t="s">
        <v>58</v>
      </c>
      <c r="K333" t="s">
        <v>59</v>
      </c>
      <c r="M333" t="s">
        <v>730</v>
      </c>
      <c r="N333" t="s">
        <v>731</v>
      </c>
      <c r="O333" t="s">
        <v>36</v>
      </c>
      <c r="Q333" t="s">
        <v>62</v>
      </c>
      <c r="R333" t="s">
        <v>732</v>
      </c>
      <c r="S333" t="s">
        <v>732</v>
      </c>
      <c r="T333" t="s">
        <v>47</v>
      </c>
      <c r="U333" t="s">
        <v>247</v>
      </c>
      <c r="V333" t="s">
        <v>49</v>
      </c>
      <c r="W333" t="s">
        <v>248</v>
      </c>
      <c r="X333" t="s">
        <v>686</v>
      </c>
      <c r="Y333" t="s">
        <v>1671</v>
      </c>
      <c r="Z333" t="s">
        <v>1671</v>
      </c>
      <c r="AA333" t="s">
        <v>1672</v>
      </c>
      <c r="AB333" s="3">
        <f t="shared" si="40"/>
        <v>1</v>
      </c>
      <c r="AC333">
        <v>288.69</v>
      </c>
      <c r="AD333" s="2">
        <v>288.69</v>
      </c>
      <c r="AE333" s="2">
        <v>97.19</v>
      </c>
      <c r="AF333" s="2">
        <v>2.29</v>
      </c>
      <c r="AG333" s="2">
        <v>388.17</v>
      </c>
      <c r="AH333">
        <v>0</v>
      </c>
      <c r="AI333">
        <v>388.17</v>
      </c>
      <c r="AJ333">
        <v>1.94085</v>
      </c>
      <c r="AK333" t="s">
        <v>54</v>
      </c>
      <c r="AL333">
        <v>2.5</v>
      </c>
      <c r="AM333" s="4">
        <f t="shared" si="41"/>
        <v>388.17</v>
      </c>
      <c r="AN333" s="4">
        <f t="shared" si="42"/>
        <v>541.29375000000005</v>
      </c>
      <c r="AO333" s="4">
        <f t="shared" si="43"/>
        <v>601.37735625000005</v>
      </c>
      <c r="AP333" s="4">
        <f t="shared" si="44"/>
        <v>876.84174562500004</v>
      </c>
      <c r="AQ333" s="10">
        <f t="shared" si="45"/>
        <v>675.06644700000004</v>
      </c>
      <c r="AR333" s="10">
        <f t="shared" si="46"/>
        <v>750.06632926170005</v>
      </c>
      <c r="AS333" s="10">
        <f t="shared" si="47"/>
        <v>1050.9434446896</v>
      </c>
    </row>
    <row r="334" spans="1:45" x14ac:dyDescent="0.3">
      <c r="A334">
        <v>2025</v>
      </c>
      <c r="B334">
        <v>8</v>
      </c>
      <c r="C334" t="s">
        <v>55</v>
      </c>
      <c r="D334">
        <v>10</v>
      </c>
      <c r="E334" t="s">
        <v>36</v>
      </c>
      <c r="F334" t="s">
        <v>37</v>
      </c>
      <c r="G334" t="s">
        <v>38</v>
      </c>
      <c r="H334" t="s">
        <v>542</v>
      </c>
      <c r="I334" t="s">
        <v>190</v>
      </c>
      <c r="J334" t="s">
        <v>58</v>
      </c>
      <c r="K334" t="s">
        <v>59</v>
      </c>
      <c r="L334" t="s">
        <v>1194</v>
      </c>
      <c r="M334" t="s">
        <v>1195</v>
      </c>
      <c r="N334" t="s">
        <v>1196</v>
      </c>
      <c r="O334" t="s">
        <v>1197</v>
      </c>
      <c r="Q334" t="s">
        <v>62</v>
      </c>
      <c r="R334" t="s">
        <v>1198</v>
      </c>
      <c r="S334" t="s">
        <v>1198</v>
      </c>
      <c r="T334" t="s">
        <v>47</v>
      </c>
      <c r="U334" t="s">
        <v>178</v>
      </c>
      <c r="V334" t="s">
        <v>49</v>
      </c>
      <c r="W334" t="s">
        <v>179</v>
      </c>
      <c r="X334" t="s">
        <v>388</v>
      </c>
      <c r="Y334" t="s">
        <v>792</v>
      </c>
      <c r="Z334" t="s">
        <v>792</v>
      </c>
      <c r="AA334" t="s">
        <v>793</v>
      </c>
      <c r="AB334" s="3">
        <f t="shared" si="40"/>
        <v>0.64</v>
      </c>
      <c r="AC334">
        <v>6.34</v>
      </c>
      <c r="AD334" s="2">
        <v>9.90625</v>
      </c>
      <c r="AE334" s="2">
        <v>1.34</v>
      </c>
      <c r="AF334" s="2">
        <v>0.5</v>
      </c>
      <c r="AG334" s="2">
        <v>7.73</v>
      </c>
      <c r="AH334">
        <v>0</v>
      </c>
      <c r="AI334">
        <v>12.078125</v>
      </c>
      <c r="AJ334">
        <v>3.8649999999999997E-2</v>
      </c>
      <c r="AK334" t="s">
        <v>54</v>
      </c>
      <c r="AL334">
        <v>0.5</v>
      </c>
      <c r="AM334" s="4">
        <f t="shared" si="41"/>
        <v>12.078125</v>
      </c>
      <c r="AN334" s="4">
        <f t="shared" si="42"/>
        <v>18.57421875</v>
      </c>
      <c r="AO334" s="4">
        <f t="shared" si="43"/>
        <v>20.635957031250001</v>
      </c>
      <c r="AP334" s="4">
        <f t="shared" si="44"/>
        <v>30.088376953125</v>
      </c>
      <c r="AQ334" s="10">
        <f t="shared" si="45"/>
        <v>21.0050671875</v>
      </c>
      <c r="AR334" s="10">
        <f t="shared" si="46"/>
        <v>23.33873015203125</v>
      </c>
      <c r="AS334" s="10">
        <f t="shared" si="47"/>
        <v>32.700688597499997</v>
      </c>
    </row>
    <row r="335" spans="1:45" x14ac:dyDescent="0.3">
      <c r="A335">
        <v>2025</v>
      </c>
      <c r="B335">
        <v>8</v>
      </c>
      <c r="C335" t="s">
        <v>55</v>
      </c>
      <c r="D335">
        <v>10</v>
      </c>
      <c r="E335" t="s">
        <v>36</v>
      </c>
      <c r="F335" t="s">
        <v>37</v>
      </c>
      <c r="G335" t="s">
        <v>38</v>
      </c>
      <c r="H335" t="s">
        <v>622</v>
      </c>
      <c r="I335" t="s">
        <v>190</v>
      </c>
      <c r="J335" t="s">
        <v>58</v>
      </c>
      <c r="K335" t="s">
        <v>59</v>
      </c>
      <c r="L335" t="s">
        <v>1194</v>
      </c>
      <c r="M335" t="s">
        <v>1195</v>
      </c>
      <c r="N335" t="s">
        <v>1196</v>
      </c>
      <c r="O335" t="s">
        <v>1197</v>
      </c>
      <c r="Q335" t="s">
        <v>62</v>
      </c>
      <c r="R335" t="s">
        <v>1198</v>
      </c>
      <c r="S335" t="s">
        <v>1198</v>
      </c>
      <c r="T335" t="s">
        <v>47</v>
      </c>
      <c r="U335" t="s">
        <v>623</v>
      </c>
      <c r="V335" t="s">
        <v>49</v>
      </c>
      <c r="W335" t="s">
        <v>896</v>
      </c>
      <c r="X335" t="s">
        <v>388</v>
      </c>
      <c r="Y335" t="s">
        <v>1451</v>
      </c>
      <c r="Z335" t="s">
        <v>1451</v>
      </c>
      <c r="AA335" t="s">
        <v>1452</v>
      </c>
      <c r="AB335" s="3">
        <f t="shared" si="40"/>
        <v>1</v>
      </c>
      <c r="AC335">
        <v>145.94999999999999</v>
      </c>
      <c r="AD335" s="2">
        <v>145.94999999999999</v>
      </c>
      <c r="AE335" s="2">
        <v>10.46</v>
      </c>
      <c r="AF335" s="2">
        <v>0.94</v>
      </c>
      <c r="AG335" s="2">
        <v>157.36000000000001</v>
      </c>
      <c r="AH335">
        <v>0</v>
      </c>
      <c r="AI335">
        <v>157.36000000000001</v>
      </c>
      <c r="AJ335">
        <v>0.78680000000000005</v>
      </c>
      <c r="AK335" t="s">
        <v>54</v>
      </c>
      <c r="AL335">
        <v>1.23</v>
      </c>
      <c r="AM335" s="4">
        <f t="shared" si="41"/>
        <v>157.36000000000001</v>
      </c>
      <c r="AN335" s="4">
        <f t="shared" si="42"/>
        <v>273.65625</v>
      </c>
      <c r="AO335" s="4">
        <f t="shared" si="43"/>
        <v>304.03209375</v>
      </c>
      <c r="AP335" s="4">
        <f t="shared" si="44"/>
        <v>443.29575937499999</v>
      </c>
      <c r="AQ335" s="10">
        <f t="shared" si="45"/>
        <v>273.66477600000002</v>
      </c>
      <c r="AR335" s="10">
        <f t="shared" si="46"/>
        <v>304.0689326136</v>
      </c>
      <c r="AS335" s="10">
        <f t="shared" si="47"/>
        <v>426.04132327680003</v>
      </c>
    </row>
    <row r="336" spans="1:45" x14ac:dyDescent="0.3">
      <c r="A336">
        <v>2025</v>
      </c>
      <c r="B336">
        <v>8</v>
      </c>
      <c r="C336" t="s">
        <v>55</v>
      </c>
      <c r="D336">
        <v>10</v>
      </c>
      <c r="E336" t="s">
        <v>36</v>
      </c>
      <c r="F336" t="s">
        <v>37</v>
      </c>
      <c r="G336" t="s">
        <v>38</v>
      </c>
      <c r="H336" t="s">
        <v>622</v>
      </c>
      <c r="I336" t="s">
        <v>190</v>
      </c>
      <c r="J336" t="s">
        <v>58</v>
      </c>
      <c r="K336" t="s">
        <v>59</v>
      </c>
      <c r="L336" t="s">
        <v>1194</v>
      </c>
      <c r="M336" t="s">
        <v>1195</v>
      </c>
      <c r="N336" t="s">
        <v>1196</v>
      </c>
      <c r="O336" t="s">
        <v>1197</v>
      </c>
      <c r="Q336" t="s">
        <v>62</v>
      </c>
      <c r="R336" t="s">
        <v>1198</v>
      </c>
      <c r="S336" t="s">
        <v>1198</v>
      </c>
      <c r="T336" t="s">
        <v>47</v>
      </c>
      <c r="U336" t="s">
        <v>623</v>
      </c>
      <c r="V336" t="s">
        <v>49</v>
      </c>
      <c r="W336" t="s">
        <v>896</v>
      </c>
      <c r="X336" t="s">
        <v>388</v>
      </c>
      <c r="Y336" t="s">
        <v>1433</v>
      </c>
      <c r="Z336" t="s">
        <v>1433</v>
      </c>
      <c r="AA336" t="s">
        <v>1435</v>
      </c>
      <c r="AB336" s="3">
        <f t="shared" si="40"/>
        <v>1</v>
      </c>
      <c r="AC336">
        <v>2256.7800000000002</v>
      </c>
      <c r="AD336" s="2">
        <v>2256.7800000000002</v>
      </c>
      <c r="AE336" s="2">
        <v>161.72999999999999</v>
      </c>
      <c r="AF336" s="2">
        <v>14.6</v>
      </c>
      <c r="AG336" s="2">
        <v>2433.11</v>
      </c>
      <c r="AH336">
        <v>0</v>
      </c>
      <c r="AI336">
        <v>2433.11</v>
      </c>
      <c r="AJ336">
        <v>12.16555</v>
      </c>
      <c r="AK336" t="s">
        <v>54</v>
      </c>
      <c r="AL336">
        <v>19</v>
      </c>
      <c r="AM336" s="4">
        <f t="shared" si="41"/>
        <v>2433.11</v>
      </c>
      <c r="AN336" s="4">
        <f t="shared" si="42"/>
        <v>4231.4625000000005</v>
      </c>
      <c r="AO336" s="4">
        <f t="shared" si="43"/>
        <v>4701.1548375000002</v>
      </c>
      <c r="AP336" s="4">
        <f t="shared" si="44"/>
        <v>6854.5461037500008</v>
      </c>
      <c r="AQ336" s="10">
        <f t="shared" si="45"/>
        <v>4231.421601</v>
      </c>
      <c r="AR336" s="10">
        <f t="shared" si="46"/>
        <v>4701.5325408710996</v>
      </c>
      <c r="AS336" s="10">
        <f t="shared" si="47"/>
        <v>6587.4771484368002</v>
      </c>
    </row>
    <row r="337" spans="1:45" x14ac:dyDescent="0.3">
      <c r="A337">
        <v>2025</v>
      </c>
      <c r="B337">
        <v>7</v>
      </c>
      <c r="C337" t="s">
        <v>55</v>
      </c>
      <c r="D337">
        <v>10</v>
      </c>
      <c r="E337" t="s">
        <v>36</v>
      </c>
      <c r="F337" t="s">
        <v>37</v>
      </c>
      <c r="G337" t="s">
        <v>38</v>
      </c>
      <c r="H337" t="s">
        <v>83</v>
      </c>
      <c r="I337" t="s">
        <v>190</v>
      </c>
      <c r="J337" t="s">
        <v>58</v>
      </c>
      <c r="K337" t="s">
        <v>41</v>
      </c>
      <c r="L337" t="s">
        <v>953</v>
      </c>
      <c r="M337" t="s">
        <v>954</v>
      </c>
      <c r="N337" t="s">
        <v>731</v>
      </c>
      <c r="O337" t="s">
        <v>36</v>
      </c>
      <c r="Q337" t="s">
        <v>62</v>
      </c>
      <c r="R337" t="s">
        <v>955</v>
      </c>
      <c r="S337" t="s">
        <v>956</v>
      </c>
      <c r="T337" t="s">
        <v>47</v>
      </c>
      <c r="U337" t="s">
        <v>464</v>
      </c>
      <c r="V337" t="s">
        <v>49</v>
      </c>
      <c r="W337" t="s">
        <v>802</v>
      </c>
      <c r="X337" t="s">
        <v>51</v>
      </c>
      <c r="Y337" t="s">
        <v>1433</v>
      </c>
      <c r="Z337" t="s">
        <v>1433</v>
      </c>
      <c r="AA337" t="s">
        <v>1434</v>
      </c>
      <c r="AB337" s="3">
        <f t="shared" si="40"/>
        <v>1</v>
      </c>
      <c r="AC337">
        <v>445.67</v>
      </c>
      <c r="AD337" s="2">
        <v>445.67</v>
      </c>
      <c r="AE337" s="2">
        <v>31.94</v>
      </c>
      <c r="AF337" s="2">
        <v>2.88</v>
      </c>
      <c r="AG337" s="2">
        <v>480.49</v>
      </c>
      <c r="AH337">
        <v>0</v>
      </c>
      <c r="AI337">
        <v>480.49</v>
      </c>
      <c r="AJ337">
        <v>2.40245</v>
      </c>
      <c r="AK337" t="s">
        <v>54</v>
      </c>
      <c r="AL337">
        <v>3.75</v>
      </c>
      <c r="AM337" s="4">
        <f t="shared" si="41"/>
        <v>480.49</v>
      </c>
      <c r="AN337" s="4">
        <f t="shared" si="42"/>
        <v>835.63125000000002</v>
      </c>
      <c r="AO337" s="4">
        <f t="shared" si="43"/>
        <v>928.38631874999999</v>
      </c>
      <c r="AP337" s="4">
        <f t="shared" si="44"/>
        <v>1353.6390618749999</v>
      </c>
      <c r="AQ337" s="10">
        <f t="shared" si="45"/>
        <v>835.62015900000006</v>
      </c>
      <c r="AR337" s="10">
        <f t="shared" si="46"/>
        <v>928.45755866490003</v>
      </c>
      <c r="AS337" s="10">
        <f t="shared" si="47"/>
        <v>1300.8934635312</v>
      </c>
    </row>
    <row r="338" spans="1:45" x14ac:dyDescent="0.3">
      <c r="A338">
        <v>2025</v>
      </c>
      <c r="B338">
        <v>8</v>
      </c>
      <c r="C338" t="s">
        <v>55</v>
      </c>
      <c r="D338">
        <v>10</v>
      </c>
      <c r="E338" t="s">
        <v>36</v>
      </c>
      <c r="F338" t="s">
        <v>37</v>
      </c>
      <c r="G338" t="s">
        <v>38</v>
      </c>
      <c r="H338" t="s">
        <v>83</v>
      </c>
      <c r="I338" t="s">
        <v>190</v>
      </c>
      <c r="J338" t="s">
        <v>58</v>
      </c>
      <c r="K338" t="s">
        <v>59</v>
      </c>
      <c r="L338" t="s">
        <v>1194</v>
      </c>
      <c r="M338" t="s">
        <v>1195</v>
      </c>
      <c r="N338" t="s">
        <v>1196</v>
      </c>
      <c r="O338" t="s">
        <v>1197</v>
      </c>
      <c r="Q338" t="s">
        <v>62</v>
      </c>
      <c r="R338" t="s">
        <v>1198</v>
      </c>
      <c r="S338" t="s">
        <v>1198</v>
      </c>
      <c r="T338" t="s">
        <v>47</v>
      </c>
      <c r="U338" t="s">
        <v>464</v>
      </c>
      <c r="V338" t="s">
        <v>49</v>
      </c>
      <c r="W338" t="s">
        <v>802</v>
      </c>
      <c r="X338" t="s">
        <v>388</v>
      </c>
      <c r="Y338" t="s">
        <v>1055</v>
      </c>
      <c r="Z338" t="s">
        <v>1055</v>
      </c>
      <c r="AA338" t="s">
        <v>1056</v>
      </c>
      <c r="AB338" s="3">
        <f t="shared" si="40"/>
        <v>1</v>
      </c>
      <c r="AC338">
        <v>9862.5400000000009</v>
      </c>
      <c r="AD338" s="2">
        <v>9862.5400000000009</v>
      </c>
      <c r="AE338" s="2">
        <v>29.4</v>
      </c>
      <c r="AF338" s="2">
        <v>68.98</v>
      </c>
      <c r="AG338" s="2">
        <v>9960.56</v>
      </c>
      <c r="AH338">
        <v>0</v>
      </c>
      <c r="AI338">
        <v>9960.56</v>
      </c>
      <c r="AJ338">
        <v>49.802799999999998</v>
      </c>
      <c r="AK338" t="s">
        <v>54</v>
      </c>
      <c r="AL338">
        <v>2.17</v>
      </c>
      <c r="AM338" s="4">
        <f t="shared" si="41"/>
        <v>9960.56</v>
      </c>
      <c r="AN338" s="4">
        <f t="shared" si="42"/>
        <v>18492.262500000001</v>
      </c>
      <c r="AO338" s="4">
        <f t="shared" si="43"/>
        <v>20544.9036375</v>
      </c>
      <c r="AP338" s="4">
        <f t="shared" si="44"/>
        <v>29955.616023750001</v>
      </c>
      <c r="AQ338" s="10">
        <f t="shared" si="45"/>
        <v>17322.409896000001</v>
      </c>
      <c r="AR338" s="10">
        <f t="shared" si="46"/>
        <v>19246.929635445602</v>
      </c>
      <c r="AS338" s="10">
        <f t="shared" si="47"/>
        <v>26967.527726092801</v>
      </c>
    </row>
    <row r="339" spans="1:45" x14ac:dyDescent="0.3">
      <c r="A339">
        <v>2025</v>
      </c>
      <c r="B339">
        <v>11</v>
      </c>
      <c r="C339" t="s">
        <v>55</v>
      </c>
      <c r="D339">
        <v>10</v>
      </c>
      <c r="E339" t="s">
        <v>36</v>
      </c>
      <c r="F339" t="s">
        <v>37</v>
      </c>
      <c r="G339" t="s">
        <v>38</v>
      </c>
      <c r="H339" t="s">
        <v>83</v>
      </c>
      <c r="I339" t="s">
        <v>375</v>
      </c>
      <c r="J339" t="s">
        <v>376</v>
      </c>
      <c r="K339" t="s">
        <v>51</v>
      </c>
      <c r="L339" t="s">
        <v>1622</v>
      </c>
      <c r="M339" t="s">
        <v>1623</v>
      </c>
      <c r="N339" t="s">
        <v>1485</v>
      </c>
      <c r="O339" t="s">
        <v>1197</v>
      </c>
      <c r="Q339" t="s">
        <v>62</v>
      </c>
      <c r="R339" t="s">
        <v>1624</v>
      </c>
      <c r="S339" t="s">
        <v>1624</v>
      </c>
      <c r="T339" t="s">
        <v>47</v>
      </c>
      <c r="U339" t="s">
        <v>464</v>
      </c>
      <c r="V339" t="s">
        <v>49</v>
      </c>
      <c r="W339" t="s">
        <v>802</v>
      </c>
      <c r="X339" t="s">
        <v>51</v>
      </c>
      <c r="Y339" t="s">
        <v>1301</v>
      </c>
      <c r="Z339" t="s">
        <v>1301</v>
      </c>
      <c r="AA339" t="s">
        <v>1302</v>
      </c>
      <c r="AB339" s="3">
        <f t="shared" si="40"/>
        <v>1</v>
      </c>
      <c r="AC339">
        <v>12072.36</v>
      </c>
      <c r="AD339" s="2">
        <v>12072.36</v>
      </c>
      <c r="AE339" s="2">
        <v>865.16</v>
      </c>
      <c r="AF339" s="2">
        <v>78.11</v>
      </c>
      <c r="AG339" s="2">
        <v>13015.63</v>
      </c>
      <c r="AH339">
        <v>0</v>
      </c>
      <c r="AI339">
        <v>13015.63</v>
      </c>
      <c r="AJ339">
        <v>65.078149999999994</v>
      </c>
      <c r="AK339" t="s">
        <v>54</v>
      </c>
      <c r="AL339">
        <v>101.64</v>
      </c>
      <c r="AM339" s="4">
        <f t="shared" si="41"/>
        <v>13015.63</v>
      </c>
      <c r="AN339" s="4">
        <f t="shared" si="42"/>
        <v>22635.675000000003</v>
      </c>
      <c r="AO339" s="4">
        <f t="shared" si="43"/>
        <v>25148.234925000004</v>
      </c>
      <c r="AP339" s="4">
        <f t="shared" si="44"/>
        <v>36667.529932500001</v>
      </c>
      <c r="AQ339" s="10">
        <f t="shared" si="45"/>
        <v>22635.482133000001</v>
      </c>
      <c r="AR339" s="10">
        <f t="shared" si="46"/>
        <v>25150.2841979763</v>
      </c>
      <c r="AS339" s="10">
        <f t="shared" si="47"/>
        <v>35238.918584654399</v>
      </c>
    </row>
    <row r="340" spans="1:45" x14ac:dyDescent="0.3">
      <c r="A340">
        <v>2025</v>
      </c>
      <c r="B340">
        <v>7</v>
      </c>
      <c r="C340" t="s">
        <v>55</v>
      </c>
      <c r="D340">
        <v>10</v>
      </c>
      <c r="E340" t="s">
        <v>36</v>
      </c>
      <c r="F340" t="s">
        <v>37</v>
      </c>
      <c r="G340" t="s">
        <v>38</v>
      </c>
      <c r="H340" t="s">
        <v>83</v>
      </c>
      <c r="I340" t="s">
        <v>190</v>
      </c>
      <c r="J340" t="s">
        <v>58</v>
      </c>
      <c r="K340" t="s">
        <v>41</v>
      </c>
      <c r="L340" t="s">
        <v>953</v>
      </c>
      <c r="M340" t="s">
        <v>954</v>
      </c>
      <c r="N340" t="s">
        <v>731</v>
      </c>
      <c r="O340" t="s">
        <v>36</v>
      </c>
      <c r="Q340" t="s">
        <v>62</v>
      </c>
      <c r="R340" t="s">
        <v>955</v>
      </c>
      <c r="S340" t="s">
        <v>956</v>
      </c>
      <c r="T340" t="s">
        <v>47</v>
      </c>
      <c r="U340" t="s">
        <v>464</v>
      </c>
      <c r="V340" t="s">
        <v>49</v>
      </c>
      <c r="W340" t="s">
        <v>802</v>
      </c>
      <c r="X340" t="s">
        <v>51</v>
      </c>
      <c r="Y340" t="s">
        <v>1689</v>
      </c>
      <c r="Z340" t="s">
        <v>1689</v>
      </c>
      <c r="AA340" t="s">
        <v>1302</v>
      </c>
      <c r="AB340" s="3">
        <f t="shared" si="40"/>
        <v>1</v>
      </c>
      <c r="AC340">
        <v>11602.81</v>
      </c>
      <c r="AD340" s="2">
        <v>11602.81</v>
      </c>
      <c r="AE340" s="2">
        <v>1624.68</v>
      </c>
      <c r="AF340" s="2">
        <v>80.31</v>
      </c>
      <c r="AG340" s="2">
        <v>13307.8</v>
      </c>
      <c r="AH340">
        <v>0</v>
      </c>
      <c r="AI340">
        <v>13307.8</v>
      </c>
      <c r="AJ340">
        <v>66.539000000000001</v>
      </c>
      <c r="AK340" t="s">
        <v>54</v>
      </c>
      <c r="AL340">
        <v>61.2</v>
      </c>
      <c r="AM340" s="4">
        <f t="shared" si="41"/>
        <v>13307.8</v>
      </c>
      <c r="AN340" s="4">
        <f t="shared" si="42"/>
        <v>21755.268749999999</v>
      </c>
      <c r="AO340" s="4">
        <f t="shared" si="43"/>
        <v>24170.103581249998</v>
      </c>
      <c r="AP340" s="4">
        <f t="shared" si="44"/>
        <v>35241.359848124994</v>
      </c>
      <c r="AQ340" s="10">
        <f t="shared" si="45"/>
        <v>23143.594980000002</v>
      </c>
      <c r="AR340" s="10">
        <f t="shared" si="46"/>
        <v>25714.848382278</v>
      </c>
      <c r="AS340" s="10">
        <f t="shared" si="47"/>
        <v>36029.948664864001</v>
      </c>
    </row>
    <row r="341" spans="1:45" x14ac:dyDescent="0.3">
      <c r="A341">
        <v>2025</v>
      </c>
      <c r="B341">
        <v>12</v>
      </c>
      <c r="C341" t="s">
        <v>55</v>
      </c>
      <c r="D341">
        <v>10</v>
      </c>
      <c r="E341" t="s">
        <v>36</v>
      </c>
      <c r="F341" t="s">
        <v>37</v>
      </c>
      <c r="G341" t="s">
        <v>38</v>
      </c>
      <c r="H341" t="s">
        <v>83</v>
      </c>
      <c r="I341" t="s">
        <v>57</v>
      </c>
      <c r="J341" t="s">
        <v>58</v>
      </c>
      <c r="K341" t="s">
        <v>59</v>
      </c>
      <c r="L341" t="s">
        <v>1769</v>
      </c>
      <c r="M341" t="s">
        <v>1770</v>
      </c>
      <c r="N341" t="s">
        <v>1771</v>
      </c>
      <c r="O341" t="s">
        <v>1197</v>
      </c>
      <c r="Q341" t="s">
        <v>62</v>
      </c>
      <c r="R341" t="s">
        <v>1772</v>
      </c>
      <c r="S341" t="s">
        <v>1772</v>
      </c>
      <c r="T341" t="s">
        <v>47</v>
      </c>
      <c r="U341" t="s">
        <v>464</v>
      </c>
      <c r="V341" t="s">
        <v>49</v>
      </c>
      <c r="W341" t="s">
        <v>802</v>
      </c>
      <c r="X341" t="s">
        <v>51</v>
      </c>
      <c r="Y341" t="s">
        <v>1053</v>
      </c>
      <c r="Z341" t="s">
        <v>1053</v>
      </c>
      <c r="AA341" t="s">
        <v>1054</v>
      </c>
      <c r="AB341" s="3">
        <f t="shared" si="40"/>
        <v>1</v>
      </c>
      <c r="AC341">
        <v>15670.77</v>
      </c>
      <c r="AD341" s="2">
        <v>15670.77</v>
      </c>
      <c r="AE341" s="2">
        <v>29.1</v>
      </c>
      <c r="AF341" s="2">
        <v>109.62</v>
      </c>
      <c r="AG341" s="2">
        <v>15809.48</v>
      </c>
      <c r="AH341">
        <v>0</v>
      </c>
      <c r="AI341">
        <v>15809.48</v>
      </c>
      <c r="AJ341">
        <v>79.047399999999996</v>
      </c>
      <c r="AK341" t="s">
        <v>54</v>
      </c>
      <c r="AL341">
        <v>2.1800000000000002</v>
      </c>
      <c r="AM341" s="4">
        <f t="shared" si="41"/>
        <v>15809.48</v>
      </c>
      <c r="AN341" s="4">
        <f t="shared" si="42"/>
        <v>29382.693750000002</v>
      </c>
      <c r="AO341" s="4">
        <f t="shared" si="43"/>
        <v>32644.172756250002</v>
      </c>
      <c r="AP341" s="4">
        <f t="shared" si="44"/>
        <v>47597.025605625</v>
      </c>
      <c r="AQ341" s="10">
        <f t="shared" si="45"/>
        <v>27494.266668</v>
      </c>
      <c r="AR341" s="10">
        <f t="shared" si="46"/>
        <v>30548.879694814801</v>
      </c>
      <c r="AS341" s="10">
        <f t="shared" si="47"/>
        <v>42803.074348742397</v>
      </c>
    </row>
    <row r="342" spans="1:45" x14ac:dyDescent="0.3">
      <c r="A342">
        <v>2025</v>
      </c>
      <c r="B342">
        <v>8</v>
      </c>
      <c r="C342" t="s">
        <v>55</v>
      </c>
      <c r="D342">
        <v>10</v>
      </c>
      <c r="E342" t="s">
        <v>36</v>
      </c>
      <c r="F342" t="s">
        <v>37</v>
      </c>
      <c r="G342" t="s">
        <v>38</v>
      </c>
      <c r="H342" t="s">
        <v>83</v>
      </c>
      <c r="I342" t="s">
        <v>190</v>
      </c>
      <c r="J342" t="s">
        <v>58</v>
      </c>
      <c r="K342" t="s">
        <v>59</v>
      </c>
      <c r="L342" t="s">
        <v>1194</v>
      </c>
      <c r="M342" t="s">
        <v>1195</v>
      </c>
      <c r="N342" t="s">
        <v>1196</v>
      </c>
      <c r="O342" t="s">
        <v>1197</v>
      </c>
      <c r="Q342" t="s">
        <v>62</v>
      </c>
      <c r="R342" t="s">
        <v>1198</v>
      </c>
      <c r="S342" t="s">
        <v>1198</v>
      </c>
      <c r="T342" t="s">
        <v>47</v>
      </c>
      <c r="U342" t="s">
        <v>258</v>
      </c>
      <c r="V342" t="s">
        <v>49</v>
      </c>
      <c r="W342" t="s">
        <v>705</v>
      </c>
      <c r="X342" t="s">
        <v>388</v>
      </c>
      <c r="Y342" t="s">
        <v>1824</v>
      </c>
      <c r="Z342" t="s">
        <v>1824</v>
      </c>
      <c r="AA342" t="s">
        <v>1825</v>
      </c>
      <c r="AB342" s="3">
        <f t="shared" si="40"/>
        <v>1</v>
      </c>
      <c r="AC342">
        <v>2907.35</v>
      </c>
      <c r="AD342" s="2">
        <v>2907.35</v>
      </c>
      <c r="AE342" s="2">
        <v>863.8</v>
      </c>
      <c r="AF342" s="2">
        <v>21.82</v>
      </c>
      <c r="AG342" s="2">
        <v>3792.25</v>
      </c>
      <c r="AH342">
        <v>0</v>
      </c>
      <c r="AI342">
        <v>3792.25</v>
      </c>
      <c r="AJ342">
        <v>18.96125</v>
      </c>
      <c r="AK342" t="s">
        <v>54</v>
      </c>
      <c r="AL342">
        <v>21.61</v>
      </c>
      <c r="AM342" s="4">
        <f t="shared" si="41"/>
        <v>3792.25</v>
      </c>
      <c r="AN342" s="4">
        <f t="shared" si="42"/>
        <v>5451.28125</v>
      </c>
      <c r="AO342" s="4">
        <f t="shared" si="43"/>
        <v>6056.37346875</v>
      </c>
      <c r="AP342" s="4">
        <f t="shared" si="44"/>
        <v>8830.5304968749988</v>
      </c>
      <c r="AQ342" s="10">
        <f t="shared" si="45"/>
        <v>6595.1019750000005</v>
      </c>
      <c r="AR342" s="10">
        <f t="shared" si="46"/>
        <v>7327.8178044225006</v>
      </c>
      <c r="AS342" s="10">
        <f t="shared" si="47"/>
        <v>10267.25475468</v>
      </c>
    </row>
    <row r="343" spans="1:45" x14ac:dyDescent="0.3">
      <c r="A343">
        <v>2025</v>
      </c>
      <c r="B343">
        <v>7</v>
      </c>
      <c r="C343" t="s">
        <v>55</v>
      </c>
      <c r="D343">
        <v>10</v>
      </c>
      <c r="E343" t="s">
        <v>36</v>
      </c>
      <c r="F343" t="s">
        <v>37</v>
      </c>
      <c r="G343" t="s">
        <v>38</v>
      </c>
      <c r="H343" t="s">
        <v>101</v>
      </c>
      <c r="I343" t="s">
        <v>190</v>
      </c>
      <c r="J343" t="s">
        <v>58</v>
      </c>
      <c r="K343" t="s">
        <v>41</v>
      </c>
      <c r="L343" t="s">
        <v>953</v>
      </c>
      <c r="M343" t="s">
        <v>954</v>
      </c>
      <c r="N343" t="s">
        <v>731</v>
      </c>
      <c r="O343" t="s">
        <v>36</v>
      </c>
      <c r="Q343" t="s">
        <v>62</v>
      </c>
      <c r="R343" t="s">
        <v>955</v>
      </c>
      <c r="S343" t="s">
        <v>956</v>
      </c>
      <c r="T343" t="s">
        <v>47</v>
      </c>
      <c r="U343" t="s">
        <v>938</v>
      </c>
      <c r="V343" t="s">
        <v>49</v>
      </c>
      <c r="W343" t="s">
        <v>939</v>
      </c>
      <c r="X343" t="s">
        <v>51</v>
      </c>
      <c r="Y343" t="s">
        <v>1299</v>
      </c>
      <c r="Z343" t="s">
        <v>1299</v>
      </c>
      <c r="AA343" t="s">
        <v>1300</v>
      </c>
      <c r="AB343" s="3">
        <f t="shared" si="40"/>
        <v>1</v>
      </c>
      <c r="AC343">
        <v>6299.56</v>
      </c>
      <c r="AD343" s="2">
        <v>6299.56</v>
      </c>
      <c r="AE343" s="2">
        <v>451.45</v>
      </c>
      <c r="AF343" s="2">
        <v>40.76</v>
      </c>
      <c r="AG343" s="2">
        <v>6791.77</v>
      </c>
      <c r="AH343">
        <v>0</v>
      </c>
      <c r="AI343">
        <v>6791.77</v>
      </c>
      <c r="AJ343">
        <v>33.958849999999998</v>
      </c>
      <c r="AK343" t="s">
        <v>54</v>
      </c>
      <c r="AL343">
        <v>53.4</v>
      </c>
      <c r="AM343" s="4">
        <f t="shared" si="41"/>
        <v>6791.77</v>
      </c>
      <c r="AN343" s="4">
        <f t="shared" si="42"/>
        <v>11811.675000000001</v>
      </c>
      <c r="AO343" s="4">
        <f t="shared" si="43"/>
        <v>13122.770925000001</v>
      </c>
      <c r="AP343" s="4">
        <f t="shared" si="44"/>
        <v>19133.7323325</v>
      </c>
      <c r="AQ343" s="10">
        <f t="shared" si="45"/>
        <v>11811.567207000002</v>
      </c>
      <c r="AR343" s="10">
        <f t="shared" si="46"/>
        <v>13123.832323697701</v>
      </c>
      <c r="AS343" s="10">
        <f t="shared" si="47"/>
        <v>18388.247827857602</v>
      </c>
    </row>
    <row r="344" spans="1:45" x14ac:dyDescent="0.3">
      <c r="A344">
        <v>2025</v>
      </c>
      <c r="B344">
        <v>7</v>
      </c>
      <c r="C344" t="s">
        <v>55</v>
      </c>
      <c r="D344">
        <v>10</v>
      </c>
      <c r="E344" t="s">
        <v>36</v>
      </c>
      <c r="F344" t="s">
        <v>37</v>
      </c>
      <c r="G344" t="s">
        <v>38</v>
      </c>
      <c r="H344" t="s">
        <v>83</v>
      </c>
      <c r="I344" t="s">
        <v>190</v>
      </c>
      <c r="J344" t="s">
        <v>58</v>
      </c>
      <c r="K344" t="s">
        <v>41</v>
      </c>
      <c r="L344" t="s">
        <v>953</v>
      </c>
      <c r="M344" t="s">
        <v>954</v>
      </c>
      <c r="N344" t="s">
        <v>731</v>
      </c>
      <c r="O344" t="s">
        <v>36</v>
      </c>
      <c r="Q344" t="s">
        <v>62</v>
      </c>
      <c r="R344" t="s">
        <v>955</v>
      </c>
      <c r="S344" t="s">
        <v>956</v>
      </c>
      <c r="T344" t="s">
        <v>47</v>
      </c>
      <c r="U344" t="s">
        <v>393</v>
      </c>
      <c r="V344" t="s">
        <v>49</v>
      </c>
      <c r="W344" t="s">
        <v>394</v>
      </c>
      <c r="X344" t="s">
        <v>51</v>
      </c>
      <c r="Y344" t="s">
        <v>1182</v>
      </c>
      <c r="Z344" t="s">
        <v>1182</v>
      </c>
      <c r="AA344" t="s">
        <v>1183</v>
      </c>
      <c r="AB344" s="3">
        <f t="shared" si="40"/>
        <v>5</v>
      </c>
      <c r="AC344">
        <v>242.1</v>
      </c>
      <c r="AD344" s="2">
        <v>48.42</v>
      </c>
      <c r="AE344" s="2">
        <v>145.21</v>
      </c>
      <c r="AF344" s="2">
        <v>1.57</v>
      </c>
      <c r="AG344" s="2">
        <v>388.79</v>
      </c>
      <c r="AH344">
        <v>0</v>
      </c>
      <c r="AI344">
        <v>77.757999999999996</v>
      </c>
      <c r="AJ344">
        <v>1.9439500000000001</v>
      </c>
      <c r="AK344" t="s">
        <v>54</v>
      </c>
      <c r="AL344">
        <v>10.87</v>
      </c>
      <c r="AM344" s="4">
        <f t="shared" si="41"/>
        <v>77.75800000000001</v>
      </c>
      <c r="AN344" s="4">
        <f t="shared" si="42"/>
        <v>90.787500000000009</v>
      </c>
      <c r="AO344" s="4">
        <f t="shared" si="43"/>
        <v>100.8649125</v>
      </c>
      <c r="AP344" s="4">
        <f t="shared" si="44"/>
        <v>147.06667125000001</v>
      </c>
      <c r="AQ344" s="10">
        <f t="shared" si="45"/>
        <v>135.22893780000001</v>
      </c>
      <c r="AR344" s="10">
        <f t="shared" si="46"/>
        <v>150.25287278958001</v>
      </c>
      <c r="AS344" s="10">
        <f t="shared" si="47"/>
        <v>210.52441036704002</v>
      </c>
    </row>
    <row r="345" spans="1:45" x14ac:dyDescent="0.3">
      <c r="A345">
        <v>2025</v>
      </c>
      <c r="B345">
        <v>7</v>
      </c>
      <c r="C345" t="s">
        <v>55</v>
      </c>
      <c r="D345">
        <v>10</v>
      </c>
      <c r="E345" t="s">
        <v>36</v>
      </c>
      <c r="F345" t="s">
        <v>37</v>
      </c>
      <c r="G345" t="s">
        <v>38</v>
      </c>
      <c r="H345" t="s">
        <v>101</v>
      </c>
      <c r="I345" t="s">
        <v>190</v>
      </c>
      <c r="J345" t="s">
        <v>58</v>
      </c>
      <c r="K345" t="s">
        <v>41</v>
      </c>
      <c r="L345" t="s">
        <v>953</v>
      </c>
      <c r="M345" t="s">
        <v>954</v>
      </c>
      <c r="N345" t="s">
        <v>731</v>
      </c>
      <c r="O345" t="s">
        <v>36</v>
      </c>
      <c r="Q345" t="s">
        <v>62</v>
      </c>
      <c r="R345" t="s">
        <v>955</v>
      </c>
      <c r="S345" t="s">
        <v>956</v>
      </c>
      <c r="T345" t="s">
        <v>47</v>
      </c>
      <c r="U345" t="s">
        <v>1057</v>
      </c>
      <c r="V345" t="s">
        <v>49</v>
      </c>
      <c r="W345" t="s">
        <v>1058</v>
      </c>
      <c r="X345" t="s">
        <v>51</v>
      </c>
      <c r="Y345" t="s">
        <v>978</v>
      </c>
      <c r="Z345" t="s">
        <v>978</v>
      </c>
      <c r="AA345" t="s">
        <v>979</v>
      </c>
      <c r="AB345" s="3">
        <f t="shared" si="40"/>
        <v>1</v>
      </c>
      <c r="AC345">
        <v>166.78</v>
      </c>
      <c r="AD345" s="2">
        <v>166.78</v>
      </c>
      <c r="AE345" s="2">
        <v>29.4</v>
      </c>
      <c r="AF345" s="2">
        <v>1.1399999999999999</v>
      </c>
      <c r="AG345" s="2">
        <v>196.96</v>
      </c>
      <c r="AH345">
        <v>0</v>
      </c>
      <c r="AI345">
        <v>196.96</v>
      </c>
      <c r="AJ345">
        <v>0.98480000000000001</v>
      </c>
      <c r="AK345" t="s">
        <v>54</v>
      </c>
      <c r="AL345">
        <v>2.17</v>
      </c>
      <c r="AM345" s="4">
        <f t="shared" si="41"/>
        <v>196.96</v>
      </c>
      <c r="AN345" s="4">
        <f t="shared" si="42"/>
        <v>312.71249999999998</v>
      </c>
      <c r="AO345" s="4">
        <f t="shared" si="43"/>
        <v>347.4235875</v>
      </c>
      <c r="AP345" s="4">
        <f t="shared" si="44"/>
        <v>506.56297874999996</v>
      </c>
      <c r="AQ345" s="10">
        <f t="shared" si="45"/>
        <v>342.53313600000001</v>
      </c>
      <c r="AR345" s="10">
        <f t="shared" si="46"/>
        <v>380.58856740959999</v>
      </c>
      <c r="AS345" s="10">
        <f t="shared" si="47"/>
        <v>533.25558612480006</v>
      </c>
    </row>
    <row r="346" spans="1:45" x14ac:dyDescent="0.3">
      <c r="A346">
        <v>2025</v>
      </c>
      <c r="B346">
        <v>11</v>
      </c>
      <c r="C346" t="s">
        <v>55</v>
      </c>
      <c r="D346">
        <v>10</v>
      </c>
      <c r="E346" t="s">
        <v>36</v>
      </c>
      <c r="F346" t="s">
        <v>37</v>
      </c>
      <c r="G346" t="s">
        <v>38</v>
      </c>
      <c r="H346" t="s">
        <v>83</v>
      </c>
      <c r="I346" t="s">
        <v>375</v>
      </c>
      <c r="J346" t="s">
        <v>376</v>
      </c>
      <c r="K346" t="s">
        <v>51</v>
      </c>
      <c r="L346" t="s">
        <v>1622</v>
      </c>
      <c r="M346" t="s">
        <v>1623</v>
      </c>
      <c r="N346" t="s">
        <v>1485</v>
      </c>
      <c r="O346" t="s">
        <v>1197</v>
      </c>
      <c r="Q346" t="s">
        <v>62</v>
      </c>
      <c r="R346" t="s">
        <v>1624</v>
      </c>
      <c r="S346" t="s">
        <v>1624</v>
      </c>
      <c r="T346" t="s">
        <v>47</v>
      </c>
      <c r="U346" t="s">
        <v>629</v>
      </c>
      <c r="V346" t="s">
        <v>49</v>
      </c>
      <c r="W346" t="s">
        <v>908</v>
      </c>
      <c r="X346" t="s">
        <v>51</v>
      </c>
      <c r="Y346" t="s">
        <v>1059</v>
      </c>
      <c r="Z346" t="s">
        <v>1059</v>
      </c>
      <c r="AA346" t="s">
        <v>1060</v>
      </c>
      <c r="AB346" s="3">
        <f t="shared" si="40"/>
        <v>1</v>
      </c>
      <c r="AC346">
        <v>220.5</v>
      </c>
      <c r="AD346" s="2">
        <v>220.5</v>
      </c>
      <c r="AE346" s="2">
        <v>29.4</v>
      </c>
      <c r="AF346" s="2">
        <v>1.52</v>
      </c>
      <c r="AG346" s="2">
        <v>251.6</v>
      </c>
      <c r="AH346">
        <v>0</v>
      </c>
      <c r="AI346">
        <v>251.6</v>
      </c>
      <c r="AJ346">
        <v>1.258</v>
      </c>
      <c r="AK346" t="s">
        <v>54</v>
      </c>
      <c r="AL346">
        <v>2.17</v>
      </c>
      <c r="AM346" s="4">
        <f t="shared" si="41"/>
        <v>251.6</v>
      </c>
      <c r="AN346" s="4">
        <f t="shared" si="42"/>
        <v>413.4375</v>
      </c>
      <c r="AO346" s="4">
        <f t="shared" si="43"/>
        <v>459.32906250000002</v>
      </c>
      <c r="AP346" s="4">
        <f t="shared" si="44"/>
        <v>669.72740624999994</v>
      </c>
      <c r="AQ346" s="10">
        <f t="shared" si="45"/>
        <v>437.55756000000002</v>
      </c>
      <c r="AR346" s="10">
        <f t="shared" si="46"/>
        <v>486.17020491599999</v>
      </c>
      <c r="AS346" s="10">
        <f t="shared" si="47"/>
        <v>681.18960940800002</v>
      </c>
    </row>
    <row r="347" spans="1:45" x14ac:dyDescent="0.3">
      <c r="A347">
        <v>2025</v>
      </c>
      <c r="B347">
        <v>7</v>
      </c>
      <c r="C347" t="s">
        <v>55</v>
      </c>
      <c r="D347">
        <v>10</v>
      </c>
      <c r="E347" t="s">
        <v>36</v>
      </c>
      <c r="F347" t="s">
        <v>37</v>
      </c>
      <c r="G347" t="s">
        <v>38</v>
      </c>
      <c r="H347" t="s">
        <v>83</v>
      </c>
      <c r="I347" t="s">
        <v>190</v>
      </c>
      <c r="J347" t="s">
        <v>58</v>
      </c>
      <c r="K347" t="s">
        <v>41</v>
      </c>
      <c r="L347" t="s">
        <v>953</v>
      </c>
      <c r="M347" t="s">
        <v>954</v>
      </c>
      <c r="N347" t="s">
        <v>731</v>
      </c>
      <c r="O347" t="s">
        <v>36</v>
      </c>
      <c r="Q347" t="s">
        <v>62</v>
      </c>
      <c r="R347" t="s">
        <v>955</v>
      </c>
      <c r="S347" t="s">
        <v>956</v>
      </c>
      <c r="T347" t="s">
        <v>47</v>
      </c>
      <c r="U347" t="s">
        <v>445</v>
      </c>
      <c r="V347" t="s">
        <v>49</v>
      </c>
      <c r="W347" t="s">
        <v>446</v>
      </c>
      <c r="X347" t="s">
        <v>51</v>
      </c>
      <c r="Y347" t="s">
        <v>1532</v>
      </c>
      <c r="Z347" t="s">
        <v>1532</v>
      </c>
      <c r="AA347" t="s">
        <v>1745</v>
      </c>
      <c r="AB347" s="3">
        <f t="shared" si="40"/>
        <v>1</v>
      </c>
      <c r="AC347">
        <v>201.85</v>
      </c>
      <c r="AD347" s="2">
        <v>201.85</v>
      </c>
      <c r="AE347" s="2">
        <v>28.26</v>
      </c>
      <c r="AF347" s="2">
        <v>1.4</v>
      </c>
      <c r="AG347" s="2">
        <v>231.51</v>
      </c>
      <c r="AH347">
        <v>0</v>
      </c>
      <c r="AI347">
        <v>231.51</v>
      </c>
      <c r="AJ347">
        <v>1.1575500000000001</v>
      </c>
      <c r="AK347" t="s">
        <v>54</v>
      </c>
      <c r="AL347">
        <v>1.6</v>
      </c>
      <c r="AM347" s="4">
        <f t="shared" si="41"/>
        <v>231.51</v>
      </c>
      <c r="AN347" s="4">
        <f t="shared" si="42"/>
        <v>378.46875</v>
      </c>
      <c r="AO347" s="4">
        <f t="shared" si="43"/>
        <v>420.47878125</v>
      </c>
      <c r="AP347" s="4">
        <f t="shared" si="44"/>
        <v>613.08152812499998</v>
      </c>
      <c r="AQ347" s="10">
        <f t="shared" si="45"/>
        <v>402.61904099999998</v>
      </c>
      <c r="AR347" s="10">
        <f t="shared" si="46"/>
        <v>447.35001645509999</v>
      </c>
      <c r="AS347" s="10">
        <f t="shared" si="47"/>
        <v>626.79732302879995</v>
      </c>
    </row>
    <row r="348" spans="1:45" x14ac:dyDescent="0.3">
      <c r="A348">
        <v>2025</v>
      </c>
      <c r="B348">
        <v>11</v>
      </c>
      <c r="C348" t="s">
        <v>55</v>
      </c>
      <c r="D348">
        <v>10</v>
      </c>
      <c r="E348" t="s">
        <v>36</v>
      </c>
      <c r="F348" t="s">
        <v>37</v>
      </c>
      <c r="G348" t="s">
        <v>38</v>
      </c>
      <c r="H348" t="s">
        <v>83</v>
      </c>
      <c r="I348" t="s">
        <v>375</v>
      </c>
      <c r="J348" t="s">
        <v>376</v>
      </c>
      <c r="K348" t="s">
        <v>51</v>
      </c>
      <c r="L348" t="s">
        <v>1622</v>
      </c>
      <c r="M348" t="s">
        <v>1623</v>
      </c>
      <c r="N348" t="s">
        <v>1485</v>
      </c>
      <c r="O348" t="s">
        <v>1197</v>
      </c>
      <c r="Q348" t="s">
        <v>62</v>
      </c>
      <c r="R348" t="s">
        <v>1624</v>
      </c>
      <c r="S348" t="s">
        <v>1624</v>
      </c>
      <c r="T348" t="s">
        <v>47</v>
      </c>
      <c r="U348" t="s">
        <v>393</v>
      </c>
      <c r="V348" t="s">
        <v>49</v>
      </c>
      <c r="W348" t="s">
        <v>394</v>
      </c>
      <c r="X348" t="s">
        <v>51</v>
      </c>
      <c r="Y348" t="s">
        <v>1030</v>
      </c>
      <c r="Z348" t="s">
        <v>1030</v>
      </c>
      <c r="AA348" t="s">
        <v>1031</v>
      </c>
      <c r="AB348" s="3">
        <f t="shared" si="40"/>
        <v>1</v>
      </c>
      <c r="AC348">
        <v>73.290000000000006</v>
      </c>
      <c r="AD348" s="2">
        <v>73.290000000000006</v>
      </c>
      <c r="AE348" s="2">
        <v>29.4</v>
      </c>
      <c r="AF348" s="2">
        <v>0.49</v>
      </c>
      <c r="AG348" s="2">
        <v>102.82</v>
      </c>
      <c r="AH348">
        <v>0</v>
      </c>
      <c r="AI348">
        <v>102.82</v>
      </c>
      <c r="AJ348">
        <v>0.5141</v>
      </c>
      <c r="AK348" t="s">
        <v>54</v>
      </c>
      <c r="AL348">
        <v>2.17</v>
      </c>
      <c r="AM348" s="4">
        <f t="shared" si="41"/>
        <v>102.82</v>
      </c>
      <c r="AN348" s="4">
        <f t="shared" si="42"/>
        <v>137.41875000000002</v>
      </c>
      <c r="AO348" s="4">
        <f t="shared" si="43"/>
        <v>152.67223125000001</v>
      </c>
      <c r="AP348" s="4">
        <f t="shared" si="44"/>
        <v>222.60463312500002</v>
      </c>
      <c r="AQ348" s="10">
        <f t="shared" si="45"/>
        <v>178.81426199999999</v>
      </c>
      <c r="AR348" s="10">
        <f t="shared" si="46"/>
        <v>198.68052650819999</v>
      </c>
      <c r="AS348" s="10">
        <f t="shared" si="47"/>
        <v>278.37804308159997</v>
      </c>
    </row>
    <row r="349" spans="1:45" x14ac:dyDescent="0.3">
      <c r="A349">
        <v>2025</v>
      </c>
      <c r="B349">
        <v>7</v>
      </c>
      <c r="C349" t="s">
        <v>55</v>
      </c>
      <c r="D349">
        <v>10</v>
      </c>
      <c r="E349" t="s">
        <v>36</v>
      </c>
      <c r="F349" t="s">
        <v>37</v>
      </c>
      <c r="G349" t="s">
        <v>38</v>
      </c>
      <c r="H349" t="s">
        <v>83</v>
      </c>
      <c r="I349" t="s">
        <v>190</v>
      </c>
      <c r="J349" t="s">
        <v>58</v>
      </c>
      <c r="K349" t="s">
        <v>41</v>
      </c>
      <c r="L349" t="s">
        <v>953</v>
      </c>
      <c r="M349" t="s">
        <v>954</v>
      </c>
      <c r="N349" t="s">
        <v>731</v>
      </c>
      <c r="O349" t="s">
        <v>36</v>
      </c>
      <c r="Q349" t="s">
        <v>62</v>
      </c>
      <c r="R349" t="s">
        <v>955</v>
      </c>
      <c r="S349" t="s">
        <v>956</v>
      </c>
      <c r="T349" t="s">
        <v>47</v>
      </c>
      <c r="U349" t="s">
        <v>1057</v>
      </c>
      <c r="V349" t="s">
        <v>49</v>
      </c>
      <c r="W349" t="s">
        <v>1058</v>
      </c>
      <c r="X349" t="s">
        <v>51</v>
      </c>
      <c r="Y349" t="s">
        <v>1640</v>
      </c>
      <c r="Z349" t="s">
        <v>1640</v>
      </c>
      <c r="AA349" t="s">
        <v>1641</v>
      </c>
      <c r="AB349" s="3">
        <f t="shared" si="40"/>
        <v>1</v>
      </c>
      <c r="AC349">
        <v>80.760000000000005</v>
      </c>
      <c r="AD349" s="2">
        <v>80.760000000000005</v>
      </c>
      <c r="AE349" s="2">
        <v>11.31</v>
      </c>
      <c r="AF349" s="2">
        <v>0.56000000000000005</v>
      </c>
      <c r="AG349" s="2">
        <v>92.63</v>
      </c>
      <c r="AH349">
        <v>0</v>
      </c>
      <c r="AI349">
        <v>92.63</v>
      </c>
      <c r="AJ349">
        <v>0.46315000000000001</v>
      </c>
      <c r="AK349" t="s">
        <v>54</v>
      </c>
      <c r="AL349">
        <v>0.41</v>
      </c>
      <c r="AM349" s="4">
        <f t="shared" si="41"/>
        <v>92.63</v>
      </c>
      <c r="AN349" s="4">
        <f t="shared" si="42"/>
        <v>151.42500000000001</v>
      </c>
      <c r="AO349" s="4">
        <f t="shared" si="43"/>
        <v>168.23317500000002</v>
      </c>
      <c r="AP349" s="4">
        <f t="shared" si="44"/>
        <v>245.29335750000001</v>
      </c>
      <c r="AQ349" s="10">
        <f t="shared" si="45"/>
        <v>161.09283300000001</v>
      </c>
      <c r="AR349" s="10">
        <f t="shared" si="46"/>
        <v>178.99024674630002</v>
      </c>
      <c r="AS349" s="10">
        <f t="shared" si="47"/>
        <v>250.7893224144</v>
      </c>
    </row>
    <row r="350" spans="1:45" x14ac:dyDescent="0.3">
      <c r="A350">
        <v>2025</v>
      </c>
      <c r="B350">
        <v>7</v>
      </c>
      <c r="C350" t="s">
        <v>55</v>
      </c>
      <c r="D350">
        <v>10</v>
      </c>
      <c r="E350" t="s">
        <v>36</v>
      </c>
      <c r="F350" t="s">
        <v>37</v>
      </c>
      <c r="G350" t="s">
        <v>38</v>
      </c>
      <c r="H350" t="s">
        <v>83</v>
      </c>
      <c r="I350" t="s">
        <v>190</v>
      </c>
      <c r="J350" t="s">
        <v>58</v>
      </c>
      <c r="K350" t="s">
        <v>41</v>
      </c>
      <c r="L350" t="s">
        <v>953</v>
      </c>
      <c r="M350" t="s">
        <v>954</v>
      </c>
      <c r="N350" t="s">
        <v>731</v>
      </c>
      <c r="O350" t="s">
        <v>36</v>
      </c>
      <c r="Q350" t="s">
        <v>62</v>
      </c>
      <c r="R350" t="s">
        <v>955</v>
      </c>
      <c r="S350" t="s">
        <v>956</v>
      </c>
      <c r="T350" t="s">
        <v>47</v>
      </c>
      <c r="U350" t="s">
        <v>445</v>
      </c>
      <c r="V350" t="s">
        <v>49</v>
      </c>
      <c r="W350" t="s">
        <v>446</v>
      </c>
      <c r="X350" t="s">
        <v>51</v>
      </c>
      <c r="Y350" t="s">
        <v>1030</v>
      </c>
      <c r="Z350" t="s">
        <v>1030</v>
      </c>
      <c r="AA350" t="s">
        <v>1061</v>
      </c>
      <c r="AB350" s="3">
        <f t="shared" si="40"/>
        <v>1</v>
      </c>
      <c r="AC350">
        <v>360.41</v>
      </c>
      <c r="AD350" s="2">
        <v>360.41</v>
      </c>
      <c r="AE350" s="2">
        <v>29.4</v>
      </c>
      <c r="AF350" s="2">
        <v>2.5</v>
      </c>
      <c r="AG350" s="2">
        <v>391.95</v>
      </c>
      <c r="AH350">
        <v>0</v>
      </c>
      <c r="AI350">
        <v>391.95</v>
      </c>
      <c r="AJ350">
        <v>1.9597500000000001</v>
      </c>
      <c r="AK350" t="s">
        <v>54</v>
      </c>
      <c r="AL350">
        <v>2.17</v>
      </c>
      <c r="AM350" s="4">
        <f t="shared" si="41"/>
        <v>391.95</v>
      </c>
      <c r="AN350" s="4">
        <f t="shared" si="42"/>
        <v>675.76875000000007</v>
      </c>
      <c r="AO350" s="4">
        <f t="shared" si="43"/>
        <v>750.7790812500001</v>
      </c>
      <c r="AP350" s="4">
        <f t="shared" si="44"/>
        <v>1094.677798125</v>
      </c>
      <c r="AQ350" s="10">
        <f t="shared" si="45"/>
        <v>681.64024500000005</v>
      </c>
      <c r="AR350" s="10">
        <f t="shared" si="46"/>
        <v>757.37047621950001</v>
      </c>
      <c r="AS350" s="10">
        <f t="shared" si="47"/>
        <v>1061.177533416</v>
      </c>
    </row>
    <row r="351" spans="1:45" x14ac:dyDescent="0.3">
      <c r="A351">
        <v>2025</v>
      </c>
      <c r="B351">
        <v>7</v>
      </c>
      <c r="C351" t="s">
        <v>55</v>
      </c>
      <c r="D351">
        <v>10</v>
      </c>
      <c r="E351" t="s">
        <v>36</v>
      </c>
      <c r="F351" t="s">
        <v>37</v>
      </c>
      <c r="G351" t="s">
        <v>38</v>
      </c>
      <c r="H351" t="s">
        <v>83</v>
      </c>
      <c r="I351" t="s">
        <v>190</v>
      </c>
      <c r="J351" t="s">
        <v>58</v>
      </c>
      <c r="K351" t="s">
        <v>41</v>
      </c>
      <c r="L351" t="s">
        <v>953</v>
      </c>
      <c r="M351" t="s">
        <v>954</v>
      </c>
      <c r="N351" t="s">
        <v>731</v>
      </c>
      <c r="O351" t="s">
        <v>36</v>
      </c>
      <c r="Q351" t="s">
        <v>62</v>
      </c>
      <c r="R351" t="s">
        <v>955</v>
      </c>
      <c r="S351" t="s">
        <v>956</v>
      </c>
      <c r="T351" t="s">
        <v>47</v>
      </c>
      <c r="U351" t="s">
        <v>1010</v>
      </c>
      <c r="V351" t="s">
        <v>49</v>
      </c>
      <c r="W351" t="s">
        <v>1011</v>
      </c>
      <c r="X351" t="s">
        <v>51</v>
      </c>
      <c r="Y351" t="s">
        <v>1028</v>
      </c>
      <c r="Z351" t="s">
        <v>1028</v>
      </c>
      <c r="AA351" t="s">
        <v>1029</v>
      </c>
      <c r="AB351" s="3">
        <f t="shared" si="40"/>
        <v>1</v>
      </c>
      <c r="AC351">
        <v>136.12</v>
      </c>
      <c r="AD351" s="2">
        <v>136.12</v>
      </c>
      <c r="AE351" s="2">
        <v>29.4</v>
      </c>
      <c r="AF351" s="2">
        <v>0.93</v>
      </c>
      <c r="AG351" s="2">
        <v>166.9</v>
      </c>
      <c r="AH351">
        <v>0</v>
      </c>
      <c r="AI351">
        <v>166.9</v>
      </c>
      <c r="AJ351">
        <v>0.83450000000000002</v>
      </c>
      <c r="AK351" t="s">
        <v>54</v>
      </c>
      <c r="AL351">
        <v>2.17</v>
      </c>
      <c r="AM351" s="4">
        <f t="shared" si="41"/>
        <v>166.9</v>
      </c>
      <c r="AN351" s="4">
        <f t="shared" si="42"/>
        <v>255.22500000000002</v>
      </c>
      <c r="AO351" s="4">
        <f t="shared" si="43"/>
        <v>283.55497500000001</v>
      </c>
      <c r="AP351" s="4">
        <f t="shared" si="44"/>
        <v>413.43897750000002</v>
      </c>
      <c r="AQ351" s="10">
        <f t="shared" si="45"/>
        <v>290.25579000000005</v>
      </c>
      <c r="AR351" s="10">
        <f t="shared" si="46"/>
        <v>322.50320826900003</v>
      </c>
      <c r="AS351" s="10">
        <f t="shared" si="47"/>
        <v>451.87021387200008</v>
      </c>
    </row>
    <row r="352" spans="1:45" x14ac:dyDescent="0.3">
      <c r="A352">
        <v>2025</v>
      </c>
      <c r="B352">
        <v>3</v>
      </c>
      <c r="C352" t="s">
        <v>55</v>
      </c>
      <c r="D352">
        <v>10</v>
      </c>
      <c r="E352" t="s">
        <v>36</v>
      </c>
      <c r="F352" t="s">
        <v>37</v>
      </c>
      <c r="G352" t="s">
        <v>38</v>
      </c>
      <c r="H352" t="s">
        <v>78</v>
      </c>
      <c r="I352" t="s">
        <v>190</v>
      </c>
      <c r="J352" t="s">
        <v>58</v>
      </c>
      <c r="K352" t="s">
        <v>59</v>
      </c>
      <c r="M352" t="s">
        <v>209</v>
      </c>
      <c r="N352" t="s">
        <v>61</v>
      </c>
      <c r="O352" t="s">
        <v>43</v>
      </c>
      <c r="Q352" t="s">
        <v>62</v>
      </c>
      <c r="R352" t="s">
        <v>210</v>
      </c>
      <c r="S352" t="s">
        <v>211</v>
      </c>
      <c r="T352" t="s">
        <v>47</v>
      </c>
      <c r="U352" t="s">
        <v>118</v>
      </c>
      <c r="V352" t="s">
        <v>49</v>
      </c>
      <c r="W352" t="s">
        <v>119</v>
      </c>
      <c r="X352" t="s">
        <v>51</v>
      </c>
      <c r="Y352" t="s">
        <v>1012</v>
      </c>
      <c r="Z352" t="s">
        <v>1012</v>
      </c>
      <c r="AA352" t="s">
        <v>1013</v>
      </c>
      <c r="AB352" s="3">
        <f t="shared" si="40"/>
        <v>2.1499999999999124</v>
      </c>
      <c r="AC352">
        <v>23.4</v>
      </c>
      <c r="AD352" s="2">
        <v>10.883720930233</v>
      </c>
      <c r="AE352" s="2">
        <v>29.4</v>
      </c>
      <c r="AF352" s="2">
        <v>0.14000000000000001</v>
      </c>
      <c r="AG352" s="2">
        <v>52.22</v>
      </c>
      <c r="AH352">
        <v>0</v>
      </c>
      <c r="AI352">
        <v>24.288372093023</v>
      </c>
      <c r="AJ352">
        <v>0.2611</v>
      </c>
      <c r="AK352" t="s">
        <v>54</v>
      </c>
      <c r="AL352">
        <v>2.17</v>
      </c>
      <c r="AM352" s="4">
        <f t="shared" si="41"/>
        <v>24.288372093024243</v>
      </c>
      <c r="AN352" s="4">
        <f t="shared" si="42"/>
        <v>20.406976744186874</v>
      </c>
      <c r="AO352" s="4">
        <f t="shared" si="43"/>
        <v>22.672151162791618</v>
      </c>
      <c r="AP352" s="4">
        <f t="shared" si="44"/>
        <v>33.057261627908318</v>
      </c>
      <c r="AQ352" s="10">
        <f t="shared" si="45"/>
        <v>42.239907906978466</v>
      </c>
      <c r="AR352" s="10">
        <f t="shared" si="46"/>
        <v>46.932761675443771</v>
      </c>
      <c r="AS352" s="10">
        <f t="shared" si="47"/>
        <v>65.75908862958407</v>
      </c>
    </row>
    <row r="353" spans="1:45" x14ac:dyDescent="0.3">
      <c r="A353">
        <v>2025</v>
      </c>
      <c r="B353">
        <v>9</v>
      </c>
      <c r="C353" t="s">
        <v>55</v>
      </c>
      <c r="D353">
        <v>10</v>
      </c>
      <c r="E353" t="s">
        <v>36</v>
      </c>
      <c r="F353" t="s">
        <v>37</v>
      </c>
      <c r="G353" t="s">
        <v>38</v>
      </c>
      <c r="H353" t="s">
        <v>1527</v>
      </c>
      <c r="I353" t="s">
        <v>375</v>
      </c>
      <c r="J353" t="s">
        <v>376</v>
      </c>
      <c r="K353" t="s">
        <v>41</v>
      </c>
      <c r="L353" t="s">
        <v>1503</v>
      </c>
      <c r="M353" t="s">
        <v>1504</v>
      </c>
      <c r="N353" t="s">
        <v>377</v>
      </c>
      <c r="O353" t="s">
        <v>1197</v>
      </c>
      <c r="Q353" t="s">
        <v>62</v>
      </c>
      <c r="R353" t="s">
        <v>1505</v>
      </c>
      <c r="S353" t="s">
        <v>1505</v>
      </c>
      <c r="T353" t="s">
        <v>47</v>
      </c>
      <c r="U353" t="s">
        <v>118</v>
      </c>
      <c r="V353" t="s">
        <v>49</v>
      </c>
      <c r="W353" t="s">
        <v>714</v>
      </c>
      <c r="X353" t="s">
        <v>388</v>
      </c>
      <c r="Y353" t="s">
        <v>130</v>
      </c>
      <c r="Z353" t="s">
        <v>64</v>
      </c>
      <c r="AA353" t="s">
        <v>295</v>
      </c>
      <c r="AB353" s="3">
        <f t="shared" si="40"/>
        <v>5</v>
      </c>
      <c r="AC353">
        <v>321.48</v>
      </c>
      <c r="AD353" s="2">
        <v>64.296000000000006</v>
      </c>
      <c r="AE353" s="2">
        <v>71.81</v>
      </c>
      <c r="AF353" s="2">
        <v>2.36</v>
      </c>
      <c r="AG353" s="2">
        <v>395.64</v>
      </c>
      <c r="AH353">
        <v>0</v>
      </c>
      <c r="AI353">
        <v>79.128</v>
      </c>
      <c r="AJ353">
        <v>1.9782</v>
      </c>
      <c r="AK353" t="s">
        <v>54</v>
      </c>
      <c r="AL353">
        <v>11.01</v>
      </c>
      <c r="AM353" s="4">
        <f t="shared" si="41"/>
        <v>79.128</v>
      </c>
      <c r="AN353" s="4">
        <f t="shared" si="42"/>
        <v>120.55500000000001</v>
      </c>
      <c r="AO353" s="4">
        <f t="shared" si="43"/>
        <v>133.93660500000001</v>
      </c>
      <c r="AP353" s="4">
        <f t="shared" si="44"/>
        <v>195.28704450000001</v>
      </c>
      <c r="AQ353" s="10">
        <f t="shared" si="45"/>
        <v>137.61150480000001</v>
      </c>
      <c r="AR353" s="10">
        <f t="shared" si="46"/>
        <v>152.90014298328001</v>
      </c>
      <c r="AS353" s="10">
        <f t="shared" si="47"/>
        <v>214.23359067263999</v>
      </c>
    </row>
    <row r="354" spans="1:45" x14ac:dyDescent="0.3">
      <c r="A354">
        <v>2025</v>
      </c>
      <c r="B354">
        <v>10</v>
      </c>
      <c r="C354" t="s">
        <v>55</v>
      </c>
      <c r="D354">
        <v>10</v>
      </c>
      <c r="E354" t="s">
        <v>36</v>
      </c>
      <c r="F354" t="s">
        <v>37</v>
      </c>
      <c r="G354" t="s">
        <v>38</v>
      </c>
      <c r="H354" t="s">
        <v>1527</v>
      </c>
      <c r="I354" t="s">
        <v>375</v>
      </c>
      <c r="J354" t="s">
        <v>376</v>
      </c>
      <c r="K354" t="s">
        <v>59</v>
      </c>
      <c r="L354" t="s">
        <v>1549</v>
      </c>
      <c r="M354" t="s">
        <v>1550</v>
      </c>
      <c r="N354" t="s">
        <v>1551</v>
      </c>
      <c r="O354" t="s">
        <v>1197</v>
      </c>
      <c r="Q354" t="s">
        <v>62</v>
      </c>
      <c r="R354" t="s">
        <v>1552</v>
      </c>
      <c r="S354" t="s">
        <v>1552</v>
      </c>
      <c r="T354" t="s">
        <v>47</v>
      </c>
      <c r="U354" t="s">
        <v>118</v>
      </c>
      <c r="V354" t="s">
        <v>49</v>
      </c>
      <c r="W354" t="s">
        <v>714</v>
      </c>
      <c r="X354" t="s">
        <v>51</v>
      </c>
      <c r="Y354" t="s">
        <v>1528</v>
      </c>
      <c r="Z354" t="s">
        <v>1528</v>
      </c>
      <c r="AA354" t="s">
        <v>1529</v>
      </c>
      <c r="AB354" s="3">
        <f t="shared" si="40"/>
        <v>1</v>
      </c>
      <c r="AC354">
        <v>80.400000000000006</v>
      </c>
      <c r="AD354" s="2">
        <v>80.400000000000006</v>
      </c>
      <c r="AE354" s="2">
        <v>29.9</v>
      </c>
      <c r="AF354" s="2">
        <v>0.67</v>
      </c>
      <c r="AG354" s="2">
        <v>109.8</v>
      </c>
      <c r="AH354">
        <v>0</v>
      </c>
      <c r="AI354">
        <v>109.8</v>
      </c>
      <c r="AJ354">
        <v>0.54900000000000004</v>
      </c>
      <c r="AK354" t="s">
        <v>54</v>
      </c>
      <c r="AL354">
        <v>2.23</v>
      </c>
      <c r="AM354" s="4">
        <f t="shared" si="41"/>
        <v>109.8</v>
      </c>
      <c r="AN354" s="4">
        <f t="shared" si="42"/>
        <v>150.75</v>
      </c>
      <c r="AO354" s="4">
        <f t="shared" si="43"/>
        <v>167.48325</v>
      </c>
      <c r="AP354" s="4">
        <f t="shared" si="44"/>
        <v>244.19992499999998</v>
      </c>
      <c r="AQ354" s="10">
        <f t="shared" si="45"/>
        <v>190.95318</v>
      </c>
      <c r="AR354" s="10">
        <f t="shared" si="46"/>
        <v>212.16807829800001</v>
      </c>
      <c r="AS354" s="10">
        <f t="shared" si="47"/>
        <v>297.27591062400001</v>
      </c>
    </row>
    <row r="355" spans="1:45" x14ac:dyDescent="0.3">
      <c r="A355">
        <v>2025</v>
      </c>
      <c r="B355">
        <v>3</v>
      </c>
      <c r="C355" t="s">
        <v>55</v>
      </c>
      <c r="D355">
        <v>10</v>
      </c>
      <c r="E355" t="s">
        <v>36</v>
      </c>
      <c r="F355" t="s">
        <v>37</v>
      </c>
      <c r="G355" t="s">
        <v>38</v>
      </c>
      <c r="H355" t="s">
        <v>78</v>
      </c>
      <c r="I355" t="s">
        <v>190</v>
      </c>
      <c r="J355" t="s">
        <v>58</v>
      </c>
      <c r="K355" t="s">
        <v>59</v>
      </c>
      <c r="M355" t="s">
        <v>213</v>
      </c>
      <c r="N355" t="s">
        <v>61</v>
      </c>
      <c r="O355" t="s">
        <v>43</v>
      </c>
      <c r="Q355" t="s">
        <v>62</v>
      </c>
      <c r="R355" t="s">
        <v>214</v>
      </c>
      <c r="S355" t="s">
        <v>215</v>
      </c>
      <c r="T355" t="s">
        <v>47</v>
      </c>
      <c r="U355" t="s">
        <v>230</v>
      </c>
      <c r="V355" t="s">
        <v>49</v>
      </c>
      <c r="W355" t="s">
        <v>231</v>
      </c>
      <c r="X355" t="s">
        <v>51</v>
      </c>
      <c r="Y355" t="s">
        <v>1528</v>
      </c>
      <c r="Z355" t="s">
        <v>1528</v>
      </c>
      <c r="AA355" t="s">
        <v>1529</v>
      </c>
      <c r="AB355" s="3">
        <f t="shared" si="40"/>
        <v>1</v>
      </c>
      <c r="AC355">
        <v>80.92</v>
      </c>
      <c r="AD355" s="2">
        <v>80.92</v>
      </c>
      <c r="AE355" s="2">
        <v>36.99</v>
      </c>
      <c r="AF355" s="2">
        <v>0.72</v>
      </c>
      <c r="AG355" s="2">
        <v>118.63</v>
      </c>
      <c r="AH355">
        <v>0</v>
      </c>
      <c r="AI355">
        <v>118.63</v>
      </c>
      <c r="AJ355">
        <v>0.59314999999999996</v>
      </c>
      <c r="AK355" t="s">
        <v>54</v>
      </c>
      <c r="AL355">
        <v>1.68</v>
      </c>
      <c r="AM355" s="4">
        <f t="shared" si="41"/>
        <v>118.63</v>
      </c>
      <c r="AN355" s="4">
        <f t="shared" si="42"/>
        <v>151.72499999999999</v>
      </c>
      <c r="AO355" s="4">
        <f t="shared" si="43"/>
        <v>168.566475</v>
      </c>
      <c r="AP355" s="4">
        <f t="shared" si="44"/>
        <v>245.77932749999997</v>
      </c>
      <c r="AQ355" s="10">
        <f t="shared" si="45"/>
        <v>206.30943300000001</v>
      </c>
      <c r="AR355" s="10">
        <f t="shared" si="46"/>
        <v>229.23041100630002</v>
      </c>
      <c r="AS355" s="10">
        <f t="shared" si="47"/>
        <v>321.18252529440002</v>
      </c>
    </row>
    <row r="356" spans="1:45" x14ac:dyDescent="0.3">
      <c r="A356">
        <v>2025</v>
      </c>
      <c r="B356">
        <v>4</v>
      </c>
      <c r="C356" t="s">
        <v>55</v>
      </c>
      <c r="D356">
        <v>10</v>
      </c>
      <c r="E356" t="s">
        <v>36</v>
      </c>
      <c r="F356" t="s">
        <v>37</v>
      </c>
      <c r="G356" t="s">
        <v>38</v>
      </c>
      <c r="H356" t="s">
        <v>78</v>
      </c>
      <c r="I356" t="s">
        <v>375</v>
      </c>
      <c r="J356" t="s">
        <v>376</v>
      </c>
      <c r="K356" t="s">
        <v>59</v>
      </c>
      <c r="M356">
        <v>2503061</v>
      </c>
      <c r="N356" t="s">
        <v>377</v>
      </c>
      <c r="O356" t="s">
        <v>36</v>
      </c>
      <c r="Q356" t="s">
        <v>62</v>
      </c>
      <c r="R356" t="s">
        <v>378</v>
      </c>
      <c r="S356" t="s">
        <v>378</v>
      </c>
      <c r="T356" t="s">
        <v>47</v>
      </c>
      <c r="U356" t="s">
        <v>230</v>
      </c>
      <c r="V356" t="s">
        <v>49</v>
      </c>
      <c r="W356" t="s">
        <v>231</v>
      </c>
      <c r="X356" t="s">
        <v>51</v>
      </c>
      <c r="Y356" t="s">
        <v>232</v>
      </c>
      <c r="Z356" t="s">
        <v>64</v>
      </c>
      <c r="AA356" t="s">
        <v>233</v>
      </c>
      <c r="AB356" s="3">
        <f t="shared" si="40"/>
        <v>1</v>
      </c>
      <c r="AC356">
        <v>692.85</v>
      </c>
      <c r="AD356" s="2">
        <v>692.85</v>
      </c>
      <c r="AE356" s="2">
        <v>145.4</v>
      </c>
      <c r="AF356" s="2">
        <v>5.13</v>
      </c>
      <c r="AG356" s="2">
        <v>843.38</v>
      </c>
      <c r="AH356">
        <v>0</v>
      </c>
      <c r="AI356">
        <v>843.38</v>
      </c>
      <c r="AJ356">
        <v>4.2168999999999999</v>
      </c>
      <c r="AK356" t="s">
        <v>54</v>
      </c>
      <c r="AL356">
        <v>1.94</v>
      </c>
      <c r="AM356" s="4">
        <f t="shared" si="41"/>
        <v>843.38</v>
      </c>
      <c r="AN356" s="4">
        <f t="shared" si="42"/>
        <v>1299.09375</v>
      </c>
      <c r="AO356" s="4">
        <f t="shared" si="43"/>
        <v>1443.29315625</v>
      </c>
      <c r="AP356" s="4">
        <f t="shared" si="44"/>
        <v>2104.4019656249998</v>
      </c>
      <c r="AQ356" s="10">
        <f t="shared" si="45"/>
        <v>1466.722158</v>
      </c>
      <c r="AR356" s="10">
        <f t="shared" si="46"/>
        <v>1629.6749897538</v>
      </c>
      <c r="AS356" s="10">
        <f t="shared" si="47"/>
        <v>2283.3930555744</v>
      </c>
    </row>
    <row r="357" spans="1:45" x14ac:dyDescent="0.3">
      <c r="A357">
        <v>2025</v>
      </c>
      <c r="B357">
        <v>5</v>
      </c>
      <c r="C357" t="s">
        <v>55</v>
      </c>
      <c r="D357">
        <v>10</v>
      </c>
      <c r="E357" t="s">
        <v>36</v>
      </c>
      <c r="F357" t="s">
        <v>37</v>
      </c>
      <c r="G357" t="s">
        <v>38</v>
      </c>
      <c r="H357" t="s">
        <v>78</v>
      </c>
      <c r="I357" t="s">
        <v>190</v>
      </c>
      <c r="J357" t="s">
        <v>58</v>
      </c>
      <c r="K357" t="s">
        <v>59</v>
      </c>
      <c r="M357" t="s">
        <v>682</v>
      </c>
      <c r="N357" t="s">
        <v>384</v>
      </c>
      <c r="O357" t="s">
        <v>36</v>
      </c>
      <c r="Q357" t="s">
        <v>62</v>
      </c>
      <c r="R357" t="s">
        <v>683</v>
      </c>
      <c r="S357" t="s">
        <v>683</v>
      </c>
      <c r="T357" t="s">
        <v>47</v>
      </c>
      <c r="U357" t="s">
        <v>230</v>
      </c>
      <c r="V357" t="s">
        <v>49</v>
      </c>
      <c r="W357" t="s">
        <v>231</v>
      </c>
      <c r="X357" t="s">
        <v>686</v>
      </c>
      <c r="Y357" t="s">
        <v>419</v>
      </c>
      <c r="Z357" t="s">
        <v>419</v>
      </c>
      <c r="AA357" t="s">
        <v>233</v>
      </c>
      <c r="AB357" s="3">
        <f t="shared" si="40"/>
        <v>2</v>
      </c>
      <c r="AC357">
        <v>1335.41</v>
      </c>
      <c r="AD357" s="2">
        <v>667.70500000000004</v>
      </c>
      <c r="AE357" s="2">
        <v>47.15</v>
      </c>
      <c r="AF357" s="2">
        <v>9.5500000000000007</v>
      </c>
      <c r="AG357" s="2">
        <v>1392.11</v>
      </c>
      <c r="AH357">
        <v>0</v>
      </c>
      <c r="AI357">
        <v>696.05499999999995</v>
      </c>
      <c r="AJ357">
        <v>6.9605499999999996</v>
      </c>
      <c r="AK357" t="s">
        <v>54</v>
      </c>
      <c r="AL357">
        <v>2.25</v>
      </c>
      <c r="AM357" s="4">
        <f t="shared" si="41"/>
        <v>696.05499999999995</v>
      </c>
      <c r="AN357" s="4">
        <f t="shared" si="42"/>
        <v>1251.9468750000001</v>
      </c>
      <c r="AO357" s="4">
        <f t="shared" si="43"/>
        <v>1390.9129781250001</v>
      </c>
      <c r="AP357" s="4">
        <f t="shared" si="44"/>
        <v>2028.0287428125</v>
      </c>
      <c r="AQ357" s="10">
        <f t="shared" si="45"/>
        <v>1210.5092505</v>
      </c>
      <c r="AR357" s="10">
        <f t="shared" si="46"/>
        <v>1344.9968282305499</v>
      </c>
      <c r="AS357" s="10">
        <f t="shared" si="47"/>
        <v>1884.5208011784</v>
      </c>
    </row>
    <row r="358" spans="1:45" x14ac:dyDescent="0.3">
      <c r="A358">
        <v>2025</v>
      </c>
      <c r="B358">
        <v>4</v>
      </c>
      <c r="C358" t="s">
        <v>55</v>
      </c>
      <c r="D358">
        <v>10</v>
      </c>
      <c r="E358" t="s">
        <v>36</v>
      </c>
      <c r="F358" t="s">
        <v>37</v>
      </c>
      <c r="G358" t="s">
        <v>38</v>
      </c>
      <c r="H358" t="s">
        <v>525</v>
      </c>
      <c r="I358" t="s">
        <v>190</v>
      </c>
      <c r="J358" t="s">
        <v>58</v>
      </c>
      <c r="K358" t="s">
        <v>59</v>
      </c>
      <c r="M358" t="s">
        <v>383</v>
      </c>
      <c r="N358" t="s">
        <v>384</v>
      </c>
      <c r="O358" t="s">
        <v>36</v>
      </c>
      <c r="Q358" t="s">
        <v>62</v>
      </c>
      <c r="R358" t="s">
        <v>385</v>
      </c>
      <c r="S358" t="s">
        <v>385</v>
      </c>
      <c r="T358" t="s">
        <v>47</v>
      </c>
      <c r="U358" t="s">
        <v>149</v>
      </c>
      <c r="V358" t="s">
        <v>49</v>
      </c>
      <c r="W358" t="s">
        <v>150</v>
      </c>
      <c r="X358" t="s">
        <v>388</v>
      </c>
      <c r="Y358" t="s">
        <v>691</v>
      </c>
      <c r="Z358" t="s">
        <v>691</v>
      </c>
      <c r="AA358" t="s">
        <v>233</v>
      </c>
      <c r="AB358" s="3">
        <f t="shared" si="40"/>
        <v>3</v>
      </c>
      <c r="AC358">
        <v>1554.66</v>
      </c>
      <c r="AD358" s="2">
        <v>518.22</v>
      </c>
      <c r="AE358" s="2">
        <v>284.48</v>
      </c>
      <c r="AF358" s="2">
        <v>14.6</v>
      </c>
      <c r="AG358" s="2">
        <v>1853.74</v>
      </c>
      <c r="AH358">
        <v>0</v>
      </c>
      <c r="AI358">
        <v>617.91333333333</v>
      </c>
      <c r="AJ358">
        <v>9.2687000000000008</v>
      </c>
      <c r="AK358" t="s">
        <v>54</v>
      </c>
      <c r="AL358">
        <v>9.34</v>
      </c>
      <c r="AM358" s="4">
        <f t="shared" si="41"/>
        <v>617.9133333333333</v>
      </c>
      <c r="AN358" s="4">
        <f t="shared" si="42"/>
        <v>971.66250000000002</v>
      </c>
      <c r="AO358" s="4">
        <f t="shared" si="43"/>
        <v>1079.5170375</v>
      </c>
      <c r="AP358" s="4">
        <f t="shared" si="44"/>
        <v>1573.99608375</v>
      </c>
      <c r="AQ358" s="10">
        <f t="shared" si="45"/>
        <v>1074.6130780000001</v>
      </c>
      <c r="AR358" s="10">
        <f t="shared" si="46"/>
        <v>1194.0025909658</v>
      </c>
      <c r="AS358" s="10">
        <f t="shared" si="47"/>
        <v>1672.9576398304</v>
      </c>
    </row>
    <row r="359" spans="1:45" x14ac:dyDescent="0.3">
      <c r="A359">
        <v>2025</v>
      </c>
      <c r="B359">
        <v>10</v>
      </c>
      <c r="C359" t="s">
        <v>55</v>
      </c>
      <c r="D359">
        <v>10</v>
      </c>
      <c r="E359" t="s">
        <v>36</v>
      </c>
      <c r="F359" t="s">
        <v>37</v>
      </c>
      <c r="G359" t="s">
        <v>38</v>
      </c>
      <c r="H359" t="s">
        <v>525</v>
      </c>
      <c r="I359" t="s">
        <v>375</v>
      </c>
      <c r="J359" t="s">
        <v>376</v>
      </c>
      <c r="K359" t="s">
        <v>59</v>
      </c>
      <c r="L359" t="s">
        <v>1549</v>
      </c>
      <c r="M359" t="s">
        <v>1550</v>
      </c>
      <c r="N359" t="s">
        <v>1551</v>
      </c>
      <c r="O359" t="s">
        <v>1197</v>
      </c>
      <c r="Q359" t="s">
        <v>62</v>
      </c>
      <c r="R359" t="s">
        <v>1552</v>
      </c>
      <c r="S359" t="s">
        <v>1552</v>
      </c>
      <c r="T359" t="s">
        <v>47</v>
      </c>
      <c r="U359" t="s">
        <v>149</v>
      </c>
      <c r="V359" t="s">
        <v>49</v>
      </c>
      <c r="W359" t="s">
        <v>150</v>
      </c>
      <c r="X359" t="s">
        <v>51</v>
      </c>
      <c r="Y359" t="s">
        <v>526</v>
      </c>
      <c r="Z359" t="s">
        <v>526</v>
      </c>
      <c r="AA359" t="s">
        <v>527</v>
      </c>
      <c r="AB359" s="3">
        <f t="shared" si="40"/>
        <v>1</v>
      </c>
      <c r="AC359">
        <v>149.16</v>
      </c>
      <c r="AD359" s="2">
        <v>149.16</v>
      </c>
      <c r="AE359" s="2">
        <v>15.32</v>
      </c>
      <c r="AF359" s="2">
        <v>0.99</v>
      </c>
      <c r="AG359" s="2">
        <v>165.47</v>
      </c>
      <c r="AH359">
        <v>0</v>
      </c>
      <c r="AI359">
        <v>165.47</v>
      </c>
      <c r="AJ359">
        <v>0.82735000000000003</v>
      </c>
      <c r="AK359" t="s">
        <v>54</v>
      </c>
      <c r="AL359">
        <v>0.78</v>
      </c>
      <c r="AM359" s="4">
        <f t="shared" si="41"/>
        <v>165.47</v>
      </c>
      <c r="AN359" s="4">
        <f t="shared" si="42"/>
        <v>279.67500000000001</v>
      </c>
      <c r="AO359" s="4">
        <f t="shared" si="43"/>
        <v>310.71892500000001</v>
      </c>
      <c r="AP359" s="4">
        <f t="shared" si="44"/>
        <v>453.04553249999998</v>
      </c>
      <c r="AQ359" s="10">
        <f t="shared" si="45"/>
        <v>287.76887700000003</v>
      </c>
      <c r="AR359" s="10">
        <f t="shared" si="46"/>
        <v>319.73999923470001</v>
      </c>
      <c r="AS359" s="10">
        <f t="shared" si="47"/>
        <v>447.99858771360005</v>
      </c>
    </row>
    <row r="360" spans="1:45" x14ac:dyDescent="0.3">
      <c r="A360">
        <v>2025</v>
      </c>
      <c r="B360">
        <v>11</v>
      </c>
      <c r="C360" t="s">
        <v>55</v>
      </c>
      <c r="D360">
        <v>10</v>
      </c>
      <c r="E360" t="s">
        <v>36</v>
      </c>
      <c r="F360" t="s">
        <v>37</v>
      </c>
      <c r="G360" t="s">
        <v>38</v>
      </c>
      <c r="H360" t="s">
        <v>525</v>
      </c>
      <c r="I360" t="s">
        <v>375</v>
      </c>
      <c r="J360" t="s">
        <v>376</v>
      </c>
      <c r="K360" t="s">
        <v>51</v>
      </c>
      <c r="L360" t="s">
        <v>1622</v>
      </c>
      <c r="M360" t="s">
        <v>1623</v>
      </c>
      <c r="N360" t="s">
        <v>1485</v>
      </c>
      <c r="O360" t="s">
        <v>1197</v>
      </c>
      <c r="Q360" t="s">
        <v>62</v>
      </c>
      <c r="R360" t="s">
        <v>1624</v>
      </c>
      <c r="S360" t="s">
        <v>1624</v>
      </c>
      <c r="T360" t="s">
        <v>47</v>
      </c>
      <c r="U360" t="s">
        <v>149</v>
      </c>
      <c r="V360" t="s">
        <v>49</v>
      </c>
      <c r="W360" t="s">
        <v>150</v>
      </c>
      <c r="X360" t="s">
        <v>51</v>
      </c>
      <c r="Y360" t="s">
        <v>1372</v>
      </c>
      <c r="Z360" t="s">
        <v>1372</v>
      </c>
      <c r="AA360" t="s">
        <v>527</v>
      </c>
      <c r="AB360" s="3">
        <f t="shared" si="40"/>
        <v>1</v>
      </c>
      <c r="AC360">
        <v>121.13</v>
      </c>
      <c r="AD360" s="2">
        <v>121.13</v>
      </c>
      <c r="AE360" s="2">
        <v>55.36</v>
      </c>
      <c r="AF360" s="2">
        <v>1.8</v>
      </c>
      <c r="AG360" s="2">
        <v>177.57</v>
      </c>
      <c r="AH360">
        <v>0</v>
      </c>
      <c r="AI360">
        <v>177.57</v>
      </c>
      <c r="AJ360">
        <v>0.88785000000000003</v>
      </c>
      <c r="AK360" t="s">
        <v>54</v>
      </c>
      <c r="AL360">
        <v>2.5099999999999998</v>
      </c>
      <c r="AM360" s="4">
        <f t="shared" si="41"/>
        <v>177.57</v>
      </c>
      <c r="AN360" s="4">
        <f t="shared" si="42"/>
        <v>227.11874999999998</v>
      </c>
      <c r="AO360" s="4">
        <f t="shared" si="43"/>
        <v>252.32893124999998</v>
      </c>
      <c r="AP360" s="4">
        <f t="shared" si="44"/>
        <v>367.90966312499995</v>
      </c>
      <c r="AQ360" s="10">
        <f t="shared" si="45"/>
        <v>308.81198699999999</v>
      </c>
      <c r="AR360" s="10">
        <f t="shared" si="46"/>
        <v>343.12099875569999</v>
      </c>
      <c r="AS360" s="10">
        <f t="shared" si="47"/>
        <v>480.7585013616</v>
      </c>
    </row>
    <row r="361" spans="1:45" x14ac:dyDescent="0.3">
      <c r="A361">
        <v>2025</v>
      </c>
      <c r="B361">
        <v>6</v>
      </c>
      <c r="C361" t="s">
        <v>55</v>
      </c>
      <c r="D361">
        <v>10</v>
      </c>
      <c r="E361" t="s">
        <v>36</v>
      </c>
      <c r="F361" t="s">
        <v>37</v>
      </c>
      <c r="G361" t="s">
        <v>38</v>
      </c>
      <c r="H361" t="s">
        <v>78</v>
      </c>
      <c r="I361" t="s">
        <v>190</v>
      </c>
      <c r="J361" t="s">
        <v>58</v>
      </c>
      <c r="K361" t="s">
        <v>59</v>
      </c>
      <c r="M361" t="s">
        <v>730</v>
      </c>
      <c r="N361" t="s">
        <v>731</v>
      </c>
      <c r="O361" t="s">
        <v>36</v>
      </c>
      <c r="Q361" t="s">
        <v>62</v>
      </c>
      <c r="R361" t="s">
        <v>732</v>
      </c>
      <c r="S361" t="s">
        <v>732</v>
      </c>
      <c r="T361" t="s">
        <v>47</v>
      </c>
      <c r="U361" t="s">
        <v>118</v>
      </c>
      <c r="V361" t="s">
        <v>49</v>
      </c>
      <c r="W361" t="s">
        <v>714</v>
      </c>
      <c r="X361" t="s">
        <v>686</v>
      </c>
      <c r="Y361" t="s">
        <v>1532</v>
      </c>
      <c r="Z361" t="s">
        <v>1532</v>
      </c>
      <c r="AA361" t="s">
        <v>527</v>
      </c>
      <c r="AB361" s="3">
        <f t="shared" si="40"/>
        <v>1</v>
      </c>
      <c r="AC361">
        <v>117.65</v>
      </c>
      <c r="AD361" s="2">
        <v>117.65</v>
      </c>
      <c r="AE361" s="2">
        <v>16.47</v>
      </c>
      <c r="AF361" s="2">
        <v>0.81</v>
      </c>
      <c r="AG361" s="2">
        <v>134.94</v>
      </c>
      <c r="AH361">
        <v>0</v>
      </c>
      <c r="AI361">
        <v>134.94</v>
      </c>
      <c r="AJ361">
        <v>0.67469999999999997</v>
      </c>
      <c r="AK361" t="s">
        <v>54</v>
      </c>
      <c r="AL361">
        <v>0.62</v>
      </c>
      <c r="AM361" s="4">
        <f t="shared" si="41"/>
        <v>134.94</v>
      </c>
      <c r="AN361" s="4">
        <f t="shared" si="42"/>
        <v>220.59375</v>
      </c>
      <c r="AO361" s="4">
        <f t="shared" si="43"/>
        <v>245.07965625</v>
      </c>
      <c r="AP361" s="4">
        <f t="shared" si="44"/>
        <v>357.33981562499997</v>
      </c>
      <c r="AQ361" s="10">
        <f t="shared" si="45"/>
        <v>234.67415400000002</v>
      </c>
      <c r="AR361" s="10">
        <f t="shared" si="46"/>
        <v>260.7464525094</v>
      </c>
      <c r="AS361" s="10">
        <f t="shared" si="47"/>
        <v>365.34072294719999</v>
      </c>
    </row>
    <row r="362" spans="1:45" x14ac:dyDescent="0.3">
      <c r="A362">
        <v>2025</v>
      </c>
      <c r="B362">
        <v>8</v>
      </c>
      <c r="C362" t="s">
        <v>55</v>
      </c>
      <c r="D362">
        <v>10</v>
      </c>
      <c r="E362" t="s">
        <v>36</v>
      </c>
      <c r="F362" t="s">
        <v>37</v>
      </c>
      <c r="G362" t="s">
        <v>38</v>
      </c>
      <c r="H362" t="s">
        <v>78</v>
      </c>
      <c r="I362" t="s">
        <v>190</v>
      </c>
      <c r="J362" t="s">
        <v>58</v>
      </c>
      <c r="K362" t="s">
        <v>59</v>
      </c>
      <c r="L362" t="s">
        <v>1194</v>
      </c>
      <c r="M362" t="s">
        <v>1195</v>
      </c>
      <c r="N362" t="s">
        <v>1196</v>
      </c>
      <c r="O362" t="s">
        <v>1197</v>
      </c>
      <c r="Q362" t="s">
        <v>62</v>
      </c>
      <c r="R362" t="s">
        <v>1198</v>
      </c>
      <c r="S362" t="s">
        <v>1198</v>
      </c>
      <c r="T362" t="s">
        <v>47</v>
      </c>
      <c r="U362" t="s">
        <v>1265</v>
      </c>
      <c r="V362" t="s">
        <v>49</v>
      </c>
      <c r="W362" t="s">
        <v>1266</v>
      </c>
      <c r="X362" t="s">
        <v>388</v>
      </c>
      <c r="Y362" t="s">
        <v>483</v>
      </c>
      <c r="Z362" t="s">
        <v>483</v>
      </c>
      <c r="AA362" t="s">
        <v>820</v>
      </c>
      <c r="AB362" s="3">
        <f t="shared" si="40"/>
        <v>2</v>
      </c>
      <c r="AC362">
        <v>454.65</v>
      </c>
      <c r="AD362" s="2">
        <v>227.32499999999999</v>
      </c>
      <c r="AE362" s="2">
        <v>96.13</v>
      </c>
      <c r="AF362" s="2">
        <v>3.36</v>
      </c>
      <c r="AG362" s="2">
        <v>554.14</v>
      </c>
      <c r="AH362">
        <v>0</v>
      </c>
      <c r="AI362">
        <v>277.07</v>
      </c>
      <c r="AJ362">
        <v>2.7707000000000002</v>
      </c>
      <c r="AK362" t="s">
        <v>54</v>
      </c>
      <c r="AL362">
        <v>3.29</v>
      </c>
      <c r="AM362" s="4">
        <f t="shared" si="41"/>
        <v>277.07</v>
      </c>
      <c r="AN362" s="4">
        <f t="shared" si="42"/>
        <v>426.234375</v>
      </c>
      <c r="AO362" s="4">
        <f t="shared" si="43"/>
        <v>473.54639062500002</v>
      </c>
      <c r="AP362" s="4">
        <f t="shared" si="44"/>
        <v>690.45706406249997</v>
      </c>
      <c r="AQ362" s="10">
        <f t="shared" si="45"/>
        <v>481.85243700000001</v>
      </c>
      <c r="AR362" s="10">
        <f t="shared" si="46"/>
        <v>535.38624275070003</v>
      </c>
      <c r="AS362" s="10">
        <f t="shared" si="47"/>
        <v>750.14787392159997</v>
      </c>
    </row>
    <row r="363" spans="1:45" x14ac:dyDescent="0.3">
      <c r="A363">
        <v>2025</v>
      </c>
      <c r="B363">
        <v>8</v>
      </c>
      <c r="C363" t="s">
        <v>55</v>
      </c>
      <c r="D363">
        <v>10</v>
      </c>
      <c r="E363" t="s">
        <v>36</v>
      </c>
      <c r="F363" t="s">
        <v>37</v>
      </c>
      <c r="G363" t="s">
        <v>38</v>
      </c>
      <c r="H363" t="s">
        <v>78</v>
      </c>
      <c r="I363" t="s">
        <v>190</v>
      </c>
      <c r="J363" t="s">
        <v>58</v>
      </c>
      <c r="K363" t="s">
        <v>59</v>
      </c>
      <c r="L363" t="s">
        <v>1194</v>
      </c>
      <c r="M363" t="s">
        <v>1195</v>
      </c>
      <c r="N363" t="s">
        <v>1196</v>
      </c>
      <c r="O363" t="s">
        <v>1197</v>
      </c>
      <c r="Q363" t="s">
        <v>62</v>
      </c>
      <c r="R363" t="s">
        <v>1198</v>
      </c>
      <c r="S363" t="s">
        <v>1198</v>
      </c>
      <c r="T363" t="s">
        <v>47</v>
      </c>
      <c r="U363" t="s">
        <v>1265</v>
      </c>
      <c r="V363" t="s">
        <v>49</v>
      </c>
      <c r="W363" t="s">
        <v>1266</v>
      </c>
      <c r="X363" t="s">
        <v>388</v>
      </c>
      <c r="Y363" t="s">
        <v>1267</v>
      </c>
      <c r="Z363" t="s">
        <v>1267</v>
      </c>
      <c r="AA363" t="s">
        <v>1268</v>
      </c>
      <c r="AB363" s="3">
        <f t="shared" si="40"/>
        <v>2</v>
      </c>
      <c r="AC363">
        <v>269.3</v>
      </c>
      <c r="AD363" s="2">
        <v>134.65</v>
      </c>
      <c r="AE363" s="2">
        <v>19.3</v>
      </c>
      <c r="AF363" s="2">
        <v>1.74</v>
      </c>
      <c r="AG363" s="2">
        <v>290.33999999999997</v>
      </c>
      <c r="AH363">
        <v>0</v>
      </c>
      <c r="AI363">
        <v>145.16999999999999</v>
      </c>
      <c r="AJ363">
        <v>1.4517</v>
      </c>
      <c r="AK363" t="s">
        <v>54</v>
      </c>
      <c r="AL363">
        <v>2.27</v>
      </c>
      <c r="AM363" s="4">
        <f t="shared" si="41"/>
        <v>145.16999999999999</v>
      </c>
      <c r="AN363" s="4">
        <f t="shared" si="42"/>
        <v>252.46875</v>
      </c>
      <c r="AO363" s="4">
        <f t="shared" si="43"/>
        <v>280.49278125000001</v>
      </c>
      <c r="AP363" s="4">
        <f t="shared" si="44"/>
        <v>408.97412812499999</v>
      </c>
      <c r="AQ363" s="10">
        <f t="shared" si="45"/>
        <v>252.465147</v>
      </c>
      <c r="AR363" s="10">
        <f t="shared" si="46"/>
        <v>280.5140248317</v>
      </c>
      <c r="AS363" s="10">
        <f t="shared" si="47"/>
        <v>393.03774084959997</v>
      </c>
    </row>
    <row r="364" spans="1:45" x14ac:dyDescent="0.3">
      <c r="A364">
        <v>2025</v>
      </c>
      <c r="B364">
        <v>10</v>
      </c>
      <c r="C364" t="s">
        <v>55</v>
      </c>
      <c r="D364">
        <v>10</v>
      </c>
      <c r="E364" t="s">
        <v>36</v>
      </c>
      <c r="F364" t="s">
        <v>37</v>
      </c>
      <c r="G364" t="s">
        <v>38</v>
      </c>
      <c r="H364" t="s">
        <v>78</v>
      </c>
      <c r="I364" t="s">
        <v>375</v>
      </c>
      <c r="J364" t="s">
        <v>376</v>
      </c>
      <c r="K364" t="s">
        <v>59</v>
      </c>
      <c r="L364" t="s">
        <v>1549</v>
      </c>
      <c r="M364" t="s">
        <v>1550</v>
      </c>
      <c r="N364" t="s">
        <v>1551</v>
      </c>
      <c r="O364" t="s">
        <v>1197</v>
      </c>
      <c r="Q364" t="s">
        <v>62</v>
      </c>
      <c r="R364" t="s">
        <v>1552</v>
      </c>
      <c r="S364" t="s">
        <v>1552</v>
      </c>
      <c r="T364" t="s">
        <v>47</v>
      </c>
      <c r="U364" t="s">
        <v>1558</v>
      </c>
      <c r="V364" t="s">
        <v>49</v>
      </c>
      <c r="W364" t="s">
        <v>1559</v>
      </c>
      <c r="X364" t="s">
        <v>51</v>
      </c>
      <c r="Y364" t="s">
        <v>1267</v>
      </c>
      <c r="Z364" t="s">
        <v>1267</v>
      </c>
      <c r="AA364" t="s">
        <v>1268</v>
      </c>
      <c r="AB364" s="3">
        <f t="shared" si="40"/>
        <v>2</v>
      </c>
      <c r="AC364">
        <v>269.3</v>
      </c>
      <c r="AD364" s="2">
        <v>134.65</v>
      </c>
      <c r="AE364" s="2">
        <v>19.3</v>
      </c>
      <c r="AF364" s="2">
        <v>1.74</v>
      </c>
      <c r="AG364" s="2">
        <v>290.33999999999997</v>
      </c>
      <c r="AH364">
        <v>0</v>
      </c>
      <c r="AI364">
        <v>145.16999999999999</v>
      </c>
      <c r="AJ364">
        <v>1.4517</v>
      </c>
      <c r="AK364" t="s">
        <v>54</v>
      </c>
      <c r="AL364">
        <v>2.27</v>
      </c>
      <c r="AM364" s="4">
        <f t="shared" si="41"/>
        <v>145.16999999999999</v>
      </c>
      <c r="AN364" s="4">
        <f t="shared" si="42"/>
        <v>252.46875</v>
      </c>
      <c r="AO364" s="4">
        <f t="shared" si="43"/>
        <v>280.49278125000001</v>
      </c>
      <c r="AP364" s="4">
        <f t="shared" si="44"/>
        <v>408.97412812499999</v>
      </c>
      <c r="AQ364" s="10">
        <f t="shared" si="45"/>
        <v>252.465147</v>
      </c>
      <c r="AR364" s="10">
        <f t="shared" si="46"/>
        <v>280.5140248317</v>
      </c>
      <c r="AS364" s="10">
        <f t="shared" si="47"/>
        <v>393.03774084959997</v>
      </c>
    </row>
    <row r="365" spans="1:45" x14ac:dyDescent="0.3">
      <c r="A365">
        <v>2025</v>
      </c>
      <c r="B365">
        <v>7</v>
      </c>
      <c r="C365" t="s">
        <v>55</v>
      </c>
      <c r="D365">
        <v>10</v>
      </c>
      <c r="E365" t="s">
        <v>36</v>
      </c>
      <c r="F365" t="s">
        <v>37</v>
      </c>
      <c r="G365" t="s">
        <v>38</v>
      </c>
      <c r="H365" t="s">
        <v>78</v>
      </c>
      <c r="I365" t="s">
        <v>190</v>
      </c>
      <c r="J365" t="s">
        <v>58</v>
      </c>
      <c r="K365" t="s">
        <v>41</v>
      </c>
      <c r="L365" t="s">
        <v>953</v>
      </c>
      <c r="M365" t="s">
        <v>954</v>
      </c>
      <c r="N365" t="s">
        <v>731</v>
      </c>
      <c r="O365" t="s">
        <v>36</v>
      </c>
      <c r="Q365" t="s">
        <v>62</v>
      </c>
      <c r="R365" t="s">
        <v>955</v>
      </c>
      <c r="S365" t="s">
        <v>956</v>
      </c>
      <c r="T365" t="s">
        <v>47</v>
      </c>
      <c r="U365" t="s">
        <v>220</v>
      </c>
      <c r="V365" t="s">
        <v>49</v>
      </c>
      <c r="W365" t="s">
        <v>218</v>
      </c>
      <c r="X365" t="s">
        <v>51</v>
      </c>
      <c r="Y365" t="s">
        <v>1267</v>
      </c>
      <c r="Z365" t="s">
        <v>1267</v>
      </c>
      <c r="AA365" t="s">
        <v>1268</v>
      </c>
      <c r="AB365" s="3">
        <f t="shared" si="40"/>
        <v>2</v>
      </c>
      <c r="AC365">
        <v>266.47000000000003</v>
      </c>
      <c r="AD365" s="2">
        <v>133.23500000000001</v>
      </c>
      <c r="AE365" s="2">
        <v>121.81</v>
      </c>
      <c r="AF365" s="2">
        <v>2.38</v>
      </c>
      <c r="AG365" s="2">
        <v>390.65</v>
      </c>
      <c r="AH365">
        <v>0</v>
      </c>
      <c r="AI365">
        <v>195.32499999999999</v>
      </c>
      <c r="AJ365">
        <v>1.9532499999999999</v>
      </c>
      <c r="AK365" t="s">
        <v>54</v>
      </c>
      <c r="AL365">
        <v>5.52</v>
      </c>
      <c r="AM365" s="4">
        <f t="shared" si="41"/>
        <v>195.32499999999999</v>
      </c>
      <c r="AN365" s="4">
        <f t="shared" si="42"/>
        <v>249.81562500000001</v>
      </c>
      <c r="AO365" s="4">
        <f t="shared" si="43"/>
        <v>277.54515937500003</v>
      </c>
      <c r="AP365" s="4">
        <f t="shared" si="44"/>
        <v>404.67633093749998</v>
      </c>
      <c r="AQ365" s="10">
        <f t="shared" si="45"/>
        <v>339.6897075</v>
      </c>
      <c r="AR365" s="10">
        <f t="shared" si="46"/>
        <v>377.42923400324997</v>
      </c>
      <c r="AS365" s="10">
        <f t="shared" si="47"/>
        <v>528.82893663599998</v>
      </c>
    </row>
    <row r="366" spans="1:45" x14ac:dyDescent="0.3">
      <c r="A366">
        <v>2025</v>
      </c>
      <c r="B366">
        <v>7</v>
      </c>
      <c r="C366" t="s">
        <v>55</v>
      </c>
      <c r="D366">
        <v>10</v>
      </c>
      <c r="E366" t="s">
        <v>36</v>
      </c>
      <c r="F366" t="s">
        <v>37</v>
      </c>
      <c r="G366" t="s">
        <v>38</v>
      </c>
      <c r="H366" t="s">
        <v>78</v>
      </c>
      <c r="I366" t="s">
        <v>190</v>
      </c>
      <c r="J366" t="s">
        <v>58</v>
      </c>
      <c r="K366" t="s">
        <v>41</v>
      </c>
      <c r="L366" t="s">
        <v>953</v>
      </c>
      <c r="M366" t="s">
        <v>954</v>
      </c>
      <c r="N366" t="s">
        <v>731</v>
      </c>
      <c r="O366" t="s">
        <v>36</v>
      </c>
      <c r="Q366" t="s">
        <v>62</v>
      </c>
      <c r="R366" t="s">
        <v>955</v>
      </c>
      <c r="S366" t="s">
        <v>956</v>
      </c>
      <c r="T366" t="s">
        <v>47</v>
      </c>
      <c r="U366" t="s">
        <v>220</v>
      </c>
      <c r="V366" t="s">
        <v>49</v>
      </c>
      <c r="W366" t="s">
        <v>218</v>
      </c>
      <c r="X366" t="s">
        <v>51</v>
      </c>
      <c r="Y366" t="s">
        <v>1002</v>
      </c>
      <c r="Z366" t="s">
        <v>1002</v>
      </c>
      <c r="AA366" t="s">
        <v>1003</v>
      </c>
      <c r="AB366" s="3">
        <f t="shared" si="40"/>
        <v>2.1500000000000083</v>
      </c>
      <c r="AC366">
        <v>163.38999999999999</v>
      </c>
      <c r="AD366" s="2">
        <v>75.995348837208994</v>
      </c>
      <c r="AE366" s="2">
        <v>29.4</v>
      </c>
      <c r="AF366" s="2">
        <v>1.1200000000000001</v>
      </c>
      <c r="AG366" s="2">
        <v>193.55</v>
      </c>
      <c r="AH366">
        <v>0</v>
      </c>
      <c r="AI366">
        <v>90.023255813953</v>
      </c>
      <c r="AJ366">
        <v>0.96775</v>
      </c>
      <c r="AK366" t="s">
        <v>54</v>
      </c>
      <c r="AL366">
        <v>2.17</v>
      </c>
      <c r="AM366" s="4">
        <f t="shared" si="41"/>
        <v>90.023255813953142</v>
      </c>
      <c r="AN366" s="4">
        <f t="shared" si="42"/>
        <v>142.49127906976688</v>
      </c>
      <c r="AO366" s="4">
        <f t="shared" si="43"/>
        <v>158.30781104651101</v>
      </c>
      <c r="AP366" s="4">
        <f t="shared" si="44"/>
        <v>230.82162296511535</v>
      </c>
      <c r="AQ366" s="10">
        <f t="shared" si="45"/>
        <v>156.55944418604591</v>
      </c>
      <c r="AR366" s="10">
        <f t="shared" si="46"/>
        <v>173.95319843511561</v>
      </c>
      <c r="AS366" s="10">
        <f t="shared" si="47"/>
        <v>243.73174270883626</v>
      </c>
    </row>
    <row r="367" spans="1:45" x14ac:dyDescent="0.3">
      <c r="A367">
        <v>2025</v>
      </c>
      <c r="B367">
        <v>12</v>
      </c>
      <c r="C367" t="s">
        <v>55</v>
      </c>
      <c r="D367">
        <v>10</v>
      </c>
      <c r="E367" t="s">
        <v>36</v>
      </c>
      <c r="F367" t="s">
        <v>37</v>
      </c>
      <c r="G367" t="s">
        <v>38</v>
      </c>
      <c r="H367" t="s">
        <v>67</v>
      </c>
      <c r="I367" t="s">
        <v>57</v>
      </c>
      <c r="J367" t="s">
        <v>58</v>
      </c>
      <c r="K367" t="s">
        <v>59</v>
      </c>
      <c r="L367" t="s">
        <v>1769</v>
      </c>
      <c r="M367" t="s">
        <v>1770</v>
      </c>
      <c r="N367" t="s">
        <v>1771</v>
      </c>
      <c r="O367" t="s">
        <v>1197</v>
      </c>
      <c r="Q367" t="s">
        <v>62</v>
      </c>
      <c r="R367" t="s">
        <v>1772</v>
      </c>
      <c r="S367" t="s">
        <v>1772</v>
      </c>
      <c r="T367" t="s">
        <v>47</v>
      </c>
      <c r="U367" t="s">
        <v>118</v>
      </c>
      <c r="V367" t="s">
        <v>49</v>
      </c>
      <c r="W367" t="s">
        <v>714</v>
      </c>
      <c r="X367" t="s">
        <v>51</v>
      </c>
      <c r="Y367" t="s">
        <v>1002</v>
      </c>
      <c r="Z367" t="s">
        <v>1002</v>
      </c>
      <c r="AA367" t="s">
        <v>1004</v>
      </c>
      <c r="AB367" s="3">
        <f t="shared" si="40"/>
        <v>2.150000000000007</v>
      </c>
      <c r="AC367">
        <v>309.32</v>
      </c>
      <c r="AD367" s="2">
        <v>143.86976744186001</v>
      </c>
      <c r="AE367" s="2">
        <v>29.4</v>
      </c>
      <c r="AF367" s="2">
        <v>2.14</v>
      </c>
      <c r="AG367" s="2">
        <v>340.5</v>
      </c>
      <c r="AH367">
        <v>0</v>
      </c>
      <c r="AI367">
        <v>158.37209302325999</v>
      </c>
      <c r="AJ367">
        <v>1.7024999999999999</v>
      </c>
      <c r="AK367" t="s">
        <v>54</v>
      </c>
      <c r="AL367">
        <v>2.17</v>
      </c>
      <c r="AM367" s="4">
        <f t="shared" si="41"/>
        <v>158.3720930232553</v>
      </c>
      <c r="AN367" s="4">
        <f t="shared" si="42"/>
        <v>269.75581395348752</v>
      </c>
      <c r="AO367" s="4">
        <f t="shared" si="43"/>
        <v>299.69870930232463</v>
      </c>
      <c r="AP367" s="4">
        <f t="shared" si="44"/>
        <v>436.97744302325441</v>
      </c>
      <c r="AQ367" s="10">
        <f t="shared" si="45"/>
        <v>275.42490697674333</v>
      </c>
      <c r="AR367" s="10">
        <f t="shared" si="46"/>
        <v>306.0246141418595</v>
      </c>
      <c r="AS367" s="10">
        <f t="shared" si="47"/>
        <v>428.78149518139401</v>
      </c>
    </row>
    <row r="368" spans="1:45" x14ac:dyDescent="0.3">
      <c r="A368">
        <v>2025</v>
      </c>
      <c r="B368">
        <v>12</v>
      </c>
      <c r="C368" t="s">
        <v>55</v>
      </c>
      <c r="D368">
        <v>10</v>
      </c>
      <c r="E368" t="s">
        <v>36</v>
      </c>
      <c r="F368" t="s">
        <v>37</v>
      </c>
      <c r="G368" t="s">
        <v>38</v>
      </c>
      <c r="H368" t="s">
        <v>67</v>
      </c>
      <c r="I368" t="s">
        <v>57</v>
      </c>
      <c r="J368" t="s">
        <v>58</v>
      </c>
      <c r="K368" t="s">
        <v>59</v>
      </c>
      <c r="L368" t="s">
        <v>1769</v>
      </c>
      <c r="M368" t="s">
        <v>1770</v>
      </c>
      <c r="N368" t="s">
        <v>1771</v>
      </c>
      <c r="O368" t="s">
        <v>1197</v>
      </c>
      <c r="Q368" t="s">
        <v>62</v>
      </c>
      <c r="R368" t="s">
        <v>1772</v>
      </c>
      <c r="S368" t="s">
        <v>1772</v>
      </c>
      <c r="T368" t="s">
        <v>47</v>
      </c>
      <c r="U368" t="s">
        <v>118</v>
      </c>
      <c r="V368" t="s">
        <v>49</v>
      </c>
      <c r="W368" t="s">
        <v>714</v>
      </c>
      <c r="X368" t="s">
        <v>51</v>
      </c>
      <c r="Y368" t="s">
        <v>1855</v>
      </c>
      <c r="Z368" t="s">
        <v>1855</v>
      </c>
      <c r="AA368" t="s">
        <v>1856</v>
      </c>
      <c r="AB368" s="3">
        <f t="shared" si="40"/>
        <v>2</v>
      </c>
      <c r="AC368">
        <v>293.39999999999998</v>
      </c>
      <c r="AD368" s="2">
        <v>146.69999999999999</v>
      </c>
      <c r="AE368" s="2">
        <v>86.99</v>
      </c>
      <c r="AF368" s="2">
        <v>2.2000000000000002</v>
      </c>
      <c r="AG368" s="2">
        <v>382.24</v>
      </c>
      <c r="AH368">
        <v>0</v>
      </c>
      <c r="AI368">
        <v>191.12</v>
      </c>
      <c r="AJ368">
        <v>1.9112</v>
      </c>
      <c r="AK368" t="s">
        <v>54</v>
      </c>
      <c r="AL368">
        <v>2.1800000000000002</v>
      </c>
      <c r="AM368" s="4">
        <f t="shared" si="41"/>
        <v>191.12</v>
      </c>
      <c r="AN368" s="4">
        <f t="shared" si="42"/>
        <v>275.0625</v>
      </c>
      <c r="AO368" s="4">
        <f t="shared" si="43"/>
        <v>305.59443749999997</v>
      </c>
      <c r="AP368" s="4">
        <f t="shared" si="44"/>
        <v>445.57374374999995</v>
      </c>
      <c r="AQ368" s="10">
        <f t="shared" si="45"/>
        <v>332.37679200000002</v>
      </c>
      <c r="AR368" s="10">
        <f t="shared" si="46"/>
        <v>369.30385359120004</v>
      </c>
      <c r="AS368" s="10">
        <f t="shared" si="47"/>
        <v>517.44418978559997</v>
      </c>
    </row>
    <row r="369" spans="1:45" x14ac:dyDescent="0.3">
      <c r="A369">
        <v>2025</v>
      </c>
      <c r="B369">
        <v>3</v>
      </c>
      <c r="C369" t="s">
        <v>55</v>
      </c>
      <c r="D369">
        <v>10</v>
      </c>
      <c r="E369" t="s">
        <v>36</v>
      </c>
      <c r="F369" t="s">
        <v>37</v>
      </c>
      <c r="G369" t="s">
        <v>38</v>
      </c>
      <c r="H369" t="s">
        <v>78</v>
      </c>
      <c r="I369" t="s">
        <v>190</v>
      </c>
      <c r="J369" t="s">
        <v>58</v>
      </c>
      <c r="K369" t="s">
        <v>59</v>
      </c>
      <c r="M369" t="s">
        <v>209</v>
      </c>
      <c r="N369" t="s">
        <v>61</v>
      </c>
      <c r="O369" t="s">
        <v>43</v>
      </c>
      <c r="Q369" t="s">
        <v>62</v>
      </c>
      <c r="R369" t="s">
        <v>210</v>
      </c>
      <c r="S369" t="s">
        <v>211</v>
      </c>
      <c r="T369" t="s">
        <v>47</v>
      </c>
      <c r="U369" t="s">
        <v>105</v>
      </c>
      <c r="V369" t="s">
        <v>49</v>
      </c>
      <c r="W369" t="s">
        <v>106</v>
      </c>
      <c r="X369" t="s">
        <v>51</v>
      </c>
      <c r="Y369" t="s">
        <v>1855</v>
      </c>
      <c r="Z369" t="s">
        <v>1855</v>
      </c>
      <c r="AA369" t="s">
        <v>1856</v>
      </c>
      <c r="AB369" s="3">
        <f t="shared" si="40"/>
        <v>2</v>
      </c>
      <c r="AC369">
        <v>293.39999999999998</v>
      </c>
      <c r="AD369" s="2">
        <v>146.69999999999999</v>
      </c>
      <c r="AE369" s="2">
        <v>86.99</v>
      </c>
      <c r="AF369" s="2">
        <v>2.2000000000000002</v>
      </c>
      <c r="AG369" s="2">
        <v>382.24</v>
      </c>
      <c r="AH369">
        <v>0</v>
      </c>
      <c r="AI369">
        <v>191.12</v>
      </c>
      <c r="AJ369">
        <v>1.9112</v>
      </c>
      <c r="AK369" t="s">
        <v>54</v>
      </c>
      <c r="AL369">
        <v>2.1800000000000002</v>
      </c>
      <c r="AM369" s="4">
        <f t="shared" si="41"/>
        <v>191.12</v>
      </c>
      <c r="AN369" s="4">
        <f t="shared" si="42"/>
        <v>275.0625</v>
      </c>
      <c r="AO369" s="4">
        <f t="shared" si="43"/>
        <v>305.59443749999997</v>
      </c>
      <c r="AP369" s="4">
        <f t="shared" si="44"/>
        <v>445.57374374999995</v>
      </c>
      <c r="AQ369" s="10">
        <f t="shared" si="45"/>
        <v>332.37679200000002</v>
      </c>
      <c r="AR369" s="10">
        <f t="shared" si="46"/>
        <v>369.30385359120004</v>
      </c>
      <c r="AS369" s="10">
        <f t="shared" si="47"/>
        <v>517.44418978559997</v>
      </c>
    </row>
    <row r="370" spans="1:45" x14ac:dyDescent="0.3">
      <c r="A370">
        <v>2025</v>
      </c>
      <c r="B370">
        <v>4</v>
      </c>
      <c r="C370" t="s">
        <v>55</v>
      </c>
      <c r="D370">
        <v>10</v>
      </c>
      <c r="E370" t="s">
        <v>36</v>
      </c>
      <c r="F370" t="s">
        <v>37</v>
      </c>
      <c r="G370" t="s">
        <v>38</v>
      </c>
      <c r="H370" t="s">
        <v>78</v>
      </c>
      <c r="I370" t="s">
        <v>375</v>
      </c>
      <c r="J370" t="s">
        <v>376</v>
      </c>
      <c r="K370" t="s">
        <v>59</v>
      </c>
      <c r="M370">
        <v>2503061</v>
      </c>
      <c r="N370" t="s">
        <v>377</v>
      </c>
      <c r="O370" t="s">
        <v>36</v>
      </c>
      <c r="Q370" t="s">
        <v>62</v>
      </c>
      <c r="R370" t="s">
        <v>378</v>
      </c>
      <c r="S370" t="s">
        <v>378</v>
      </c>
      <c r="T370" t="s">
        <v>47</v>
      </c>
      <c r="U370" t="s">
        <v>105</v>
      </c>
      <c r="V370" t="s">
        <v>49</v>
      </c>
      <c r="W370" t="s">
        <v>106</v>
      </c>
      <c r="X370" t="s">
        <v>51</v>
      </c>
      <c r="Y370" t="s">
        <v>107</v>
      </c>
      <c r="Z370" t="s">
        <v>64</v>
      </c>
      <c r="AA370" t="s">
        <v>262</v>
      </c>
      <c r="AB370" s="3">
        <f t="shared" si="40"/>
        <v>2</v>
      </c>
      <c r="AC370">
        <v>306.60000000000002</v>
      </c>
      <c r="AD370" s="2">
        <v>153.30000000000001</v>
      </c>
      <c r="AE370" s="2">
        <v>68.48</v>
      </c>
      <c r="AF370" s="2">
        <v>2.25</v>
      </c>
      <c r="AG370" s="2">
        <v>377.33</v>
      </c>
      <c r="AH370">
        <v>0</v>
      </c>
      <c r="AI370">
        <v>188.66499999999999</v>
      </c>
      <c r="AJ370">
        <v>1.8866499999999999</v>
      </c>
      <c r="AK370" t="s">
        <v>54</v>
      </c>
      <c r="AL370">
        <v>4.4000000000000004</v>
      </c>
      <c r="AM370" s="4">
        <f t="shared" si="41"/>
        <v>188.66499999999999</v>
      </c>
      <c r="AN370" s="4">
        <f t="shared" si="42"/>
        <v>287.4375</v>
      </c>
      <c r="AO370" s="4">
        <f t="shared" si="43"/>
        <v>319.34306249999997</v>
      </c>
      <c r="AP370" s="4">
        <f t="shared" si="44"/>
        <v>465.62000624999996</v>
      </c>
      <c r="AQ370" s="10">
        <f t="shared" si="45"/>
        <v>328.10730150000001</v>
      </c>
      <c r="AR370" s="10">
        <f t="shared" si="46"/>
        <v>364.56002269664998</v>
      </c>
      <c r="AS370" s="10">
        <f t="shared" si="47"/>
        <v>510.79744697519999</v>
      </c>
    </row>
    <row r="371" spans="1:45" x14ac:dyDescent="0.3">
      <c r="A371">
        <v>2025</v>
      </c>
      <c r="B371">
        <v>8</v>
      </c>
      <c r="C371" t="s">
        <v>55</v>
      </c>
      <c r="D371">
        <v>10</v>
      </c>
      <c r="E371" t="s">
        <v>36</v>
      </c>
      <c r="F371" t="s">
        <v>37</v>
      </c>
      <c r="G371" t="s">
        <v>38</v>
      </c>
      <c r="H371" t="s">
        <v>78</v>
      </c>
      <c r="I371" t="s">
        <v>190</v>
      </c>
      <c r="J371" t="s">
        <v>58</v>
      </c>
      <c r="K371" t="s">
        <v>59</v>
      </c>
      <c r="L371" t="s">
        <v>1194</v>
      </c>
      <c r="M371" t="s">
        <v>1195</v>
      </c>
      <c r="N371" t="s">
        <v>1196</v>
      </c>
      <c r="O371" t="s">
        <v>1197</v>
      </c>
      <c r="Q371" t="s">
        <v>62</v>
      </c>
      <c r="R371" t="s">
        <v>1198</v>
      </c>
      <c r="S371" t="s">
        <v>1198</v>
      </c>
      <c r="T371" t="s">
        <v>47</v>
      </c>
      <c r="U371" t="s">
        <v>220</v>
      </c>
      <c r="V371" t="s">
        <v>49</v>
      </c>
      <c r="W371" t="s">
        <v>218</v>
      </c>
      <c r="X371" t="s">
        <v>388</v>
      </c>
      <c r="Y371" t="s">
        <v>471</v>
      </c>
      <c r="Z371" t="s">
        <v>471</v>
      </c>
      <c r="AA371" t="s">
        <v>262</v>
      </c>
      <c r="AB371" s="3">
        <f t="shared" si="40"/>
        <v>1</v>
      </c>
      <c r="AC371">
        <v>152.44999999999999</v>
      </c>
      <c r="AD371" s="2">
        <v>152.44999999999999</v>
      </c>
      <c r="AE371" s="2">
        <v>23.68</v>
      </c>
      <c r="AF371" s="2">
        <v>1.07</v>
      </c>
      <c r="AG371" s="2">
        <v>177.2</v>
      </c>
      <c r="AH371">
        <v>0</v>
      </c>
      <c r="AI371">
        <v>177.2</v>
      </c>
      <c r="AJ371">
        <v>0.88600000000000001</v>
      </c>
      <c r="AK371" t="s">
        <v>54</v>
      </c>
      <c r="AL371">
        <v>1.1299999999999999</v>
      </c>
      <c r="AM371" s="4">
        <f t="shared" si="41"/>
        <v>177.2</v>
      </c>
      <c r="AN371" s="4">
        <f t="shared" si="42"/>
        <v>285.84375</v>
      </c>
      <c r="AO371" s="4">
        <f t="shared" si="43"/>
        <v>317.57240624999997</v>
      </c>
      <c r="AP371" s="4">
        <f t="shared" si="44"/>
        <v>463.03829062499995</v>
      </c>
      <c r="AQ371" s="10">
        <f t="shared" si="45"/>
        <v>308.16852</v>
      </c>
      <c r="AR371" s="10">
        <f t="shared" si="46"/>
        <v>342.40604257199999</v>
      </c>
      <c r="AS371" s="10">
        <f t="shared" si="47"/>
        <v>479.756751936</v>
      </c>
    </row>
    <row r="372" spans="1:45" x14ac:dyDescent="0.3">
      <c r="A372">
        <v>2025</v>
      </c>
      <c r="B372">
        <v>8</v>
      </c>
      <c r="C372" t="s">
        <v>55</v>
      </c>
      <c r="D372">
        <v>10</v>
      </c>
      <c r="E372" t="s">
        <v>36</v>
      </c>
      <c r="F372" t="s">
        <v>37</v>
      </c>
      <c r="G372" t="s">
        <v>38</v>
      </c>
      <c r="H372" t="s">
        <v>78</v>
      </c>
      <c r="I372" t="s">
        <v>190</v>
      </c>
      <c r="J372" t="s">
        <v>58</v>
      </c>
      <c r="K372" t="s">
        <v>59</v>
      </c>
      <c r="L372" t="s">
        <v>1194</v>
      </c>
      <c r="M372" t="s">
        <v>1195</v>
      </c>
      <c r="N372" t="s">
        <v>1196</v>
      </c>
      <c r="O372" t="s">
        <v>1197</v>
      </c>
      <c r="Q372" t="s">
        <v>62</v>
      </c>
      <c r="R372" t="s">
        <v>1198</v>
      </c>
      <c r="S372" t="s">
        <v>1198</v>
      </c>
      <c r="T372" t="s">
        <v>47</v>
      </c>
      <c r="U372" t="s">
        <v>220</v>
      </c>
      <c r="V372" t="s">
        <v>49</v>
      </c>
      <c r="W372" t="s">
        <v>218</v>
      </c>
      <c r="X372" t="s">
        <v>388</v>
      </c>
      <c r="Y372" t="s">
        <v>1002</v>
      </c>
      <c r="Z372" t="s">
        <v>1002</v>
      </c>
      <c r="AA372" t="s">
        <v>1238</v>
      </c>
      <c r="AB372" s="3">
        <f t="shared" si="40"/>
        <v>1</v>
      </c>
      <c r="AC372">
        <v>203.34</v>
      </c>
      <c r="AD372" s="2">
        <v>203.34</v>
      </c>
      <c r="AE372" s="2">
        <v>14.57</v>
      </c>
      <c r="AF372" s="2">
        <v>1.32</v>
      </c>
      <c r="AG372" s="2">
        <v>219.23</v>
      </c>
      <c r="AH372">
        <v>0</v>
      </c>
      <c r="AI372">
        <v>219.23</v>
      </c>
      <c r="AJ372">
        <v>1.09615</v>
      </c>
      <c r="AK372" t="s">
        <v>54</v>
      </c>
      <c r="AL372">
        <v>1.71</v>
      </c>
      <c r="AM372" s="4">
        <f t="shared" si="41"/>
        <v>219.23</v>
      </c>
      <c r="AN372" s="4">
        <f t="shared" si="42"/>
        <v>381.26249999999999</v>
      </c>
      <c r="AO372" s="4">
        <f t="shared" si="43"/>
        <v>423.58263749999998</v>
      </c>
      <c r="AP372" s="4">
        <f t="shared" si="44"/>
        <v>617.60712374999991</v>
      </c>
      <c r="AQ372" s="10">
        <f t="shared" si="45"/>
        <v>381.26289300000002</v>
      </c>
      <c r="AR372" s="10">
        <f t="shared" si="46"/>
        <v>423.62120041230003</v>
      </c>
      <c r="AS372" s="10">
        <f t="shared" si="47"/>
        <v>593.55007182240001</v>
      </c>
    </row>
    <row r="373" spans="1:45" x14ac:dyDescent="0.3">
      <c r="A373">
        <v>2025</v>
      </c>
      <c r="B373">
        <v>1</v>
      </c>
      <c r="C373" t="s">
        <v>55</v>
      </c>
      <c r="D373">
        <v>10</v>
      </c>
      <c r="E373" t="s">
        <v>36</v>
      </c>
      <c r="F373" t="s">
        <v>37</v>
      </c>
      <c r="G373" t="s">
        <v>38</v>
      </c>
      <c r="H373" t="s">
        <v>78</v>
      </c>
      <c r="I373" t="s">
        <v>57</v>
      </c>
      <c r="J373" t="s">
        <v>58</v>
      </c>
      <c r="K373" t="s">
        <v>59</v>
      </c>
      <c r="M373" t="s">
        <v>60</v>
      </c>
      <c r="N373" t="s">
        <v>61</v>
      </c>
      <c r="O373" t="s">
        <v>43</v>
      </c>
      <c r="Q373" t="s">
        <v>62</v>
      </c>
      <c r="R373" t="s">
        <v>63</v>
      </c>
      <c r="S373" t="s">
        <v>63</v>
      </c>
      <c r="T373" t="s">
        <v>47</v>
      </c>
      <c r="U373" t="s">
        <v>79</v>
      </c>
      <c r="V373" t="s">
        <v>49</v>
      </c>
      <c r="W373" t="s">
        <v>80</v>
      </c>
      <c r="X373" t="s">
        <v>51</v>
      </c>
      <c r="Y373" t="s">
        <v>1002</v>
      </c>
      <c r="Z373" t="s">
        <v>1002</v>
      </c>
      <c r="AA373" t="s">
        <v>1233</v>
      </c>
      <c r="AB373" s="3">
        <f t="shared" si="40"/>
        <v>1</v>
      </c>
      <c r="AC373">
        <v>138.66</v>
      </c>
      <c r="AD373" s="2">
        <v>138.66</v>
      </c>
      <c r="AE373" s="2">
        <v>9.94</v>
      </c>
      <c r="AF373" s="2">
        <v>0.9</v>
      </c>
      <c r="AG373" s="2">
        <v>149.49</v>
      </c>
      <c r="AH373">
        <v>0</v>
      </c>
      <c r="AI373">
        <v>149.49</v>
      </c>
      <c r="AJ373">
        <v>0.74744999999999995</v>
      </c>
      <c r="AK373" t="s">
        <v>54</v>
      </c>
      <c r="AL373">
        <v>1.17</v>
      </c>
      <c r="AM373" s="4">
        <f t="shared" si="41"/>
        <v>149.49</v>
      </c>
      <c r="AN373" s="4">
        <f t="shared" si="42"/>
        <v>259.98750000000001</v>
      </c>
      <c r="AO373" s="4">
        <f t="shared" si="43"/>
        <v>288.8461125</v>
      </c>
      <c r="AP373" s="4">
        <f t="shared" si="44"/>
        <v>421.15375124999997</v>
      </c>
      <c r="AQ373" s="10">
        <f t="shared" si="45"/>
        <v>259.97805900000003</v>
      </c>
      <c r="AR373" s="10">
        <f t="shared" si="46"/>
        <v>288.86162135490002</v>
      </c>
      <c r="AS373" s="10">
        <f t="shared" si="47"/>
        <v>404.73384225120003</v>
      </c>
    </row>
    <row r="374" spans="1:45" x14ac:dyDescent="0.3">
      <c r="A374">
        <v>2025</v>
      </c>
      <c r="B374">
        <v>6</v>
      </c>
      <c r="C374" t="s">
        <v>55</v>
      </c>
      <c r="D374">
        <v>10</v>
      </c>
      <c r="E374" t="s">
        <v>36</v>
      </c>
      <c r="F374" t="s">
        <v>37</v>
      </c>
      <c r="G374" t="s">
        <v>38</v>
      </c>
      <c r="H374" t="s">
        <v>78</v>
      </c>
      <c r="I374" t="s">
        <v>190</v>
      </c>
      <c r="J374" t="s">
        <v>58</v>
      </c>
      <c r="K374" t="s">
        <v>59</v>
      </c>
      <c r="M374" t="s">
        <v>730</v>
      </c>
      <c r="N374" t="s">
        <v>731</v>
      </c>
      <c r="O374" t="s">
        <v>36</v>
      </c>
      <c r="Q374" t="s">
        <v>62</v>
      </c>
      <c r="R374" t="s">
        <v>732</v>
      </c>
      <c r="S374" t="s">
        <v>732</v>
      </c>
      <c r="T374" t="s">
        <v>47</v>
      </c>
      <c r="U374" t="s">
        <v>220</v>
      </c>
      <c r="V374" t="s">
        <v>49</v>
      </c>
      <c r="W374" t="s">
        <v>218</v>
      </c>
      <c r="X374" t="s">
        <v>686</v>
      </c>
      <c r="Y374" t="s">
        <v>81</v>
      </c>
      <c r="Z374" t="s">
        <v>64</v>
      </c>
      <c r="AA374" t="s">
        <v>82</v>
      </c>
      <c r="AB374" s="3">
        <f t="shared" si="40"/>
        <v>1</v>
      </c>
      <c r="AC374">
        <v>363.32</v>
      </c>
      <c r="AD374" s="2">
        <v>363.32</v>
      </c>
      <c r="AE374" s="2">
        <v>87.29</v>
      </c>
      <c r="AF374" s="2">
        <v>2.5099999999999998</v>
      </c>
      <c r="AG374" s="2">
        <v>453.12</v>
      </c>
      <c r="AH374">
        <v>0</v>
      </c>
      <c r="AI374">
        <v>453.12</v>
      </c>
      <c r="AJ374">
        <v>2.2656000000000001</v>
      </c>
      <c r="AK374" t="s">
        <v>54</v>
      </c>
      <c r="AL374">
        <v>3.01</v>
      </c>
      <c r="AM374" s="4">
        <f t="shared" si="41"/>
        <v>453.12</v>
      </c>
      <c r="AN374" s="4">
        <f t="shared" si="42"/>
        <v>681.22500000000002</v>
      </c>
      <c r="AO374" s="4">
        <f t="shared" si="43"/>
        <v>756.84097500000007</v>
      </c>
      <c r="AP374" s="4">
        <f t="shared" si="44"/>
        <v>1103.5163774999999</v>
      </c>
      <c r="AQ374" s="10">
        <f t="shared" si="45"/>
        <v>788.02099200000009</v>
      </c>
      <c r="AR374" s="10">
        <f t="shared" si="46"/>
        <v>875.5701242112001</v>
      </c>
      <c r="AS374" s="10">
        <f t="shared" si="47"/>
        <v>1226.7910803456002</v>
      </c>
    </row>
    <row r="375" spans="1:45" x14ac:dyDescent="0.3">
      <c r="A375">
        <v>2025</v>
      </c>
      <c r="B375">
        <v>6</v>
      </c>
      <c r="C375" t="s">
        <v>55</v>
      </c>
      <c r="D375">
        <v>10</v>
      </c>
      <c r="E375" t="s">
        <v>36</v>
      </c>
      <c r="F375" t="s">
        <v>37</v>
      </c>
      <c r="G375" t="s">
        <v>38</v>
      </c>
      <c r="H375" t="s">
        <v>341</v>
      </c>
      <c r="I375" t="s">
        <v>190</v>
      </c>
      <c r="J375" t="s">
        <v>58</v>
      </c>
      <c r="K375" t="s">
        <v>59</v>
      </c>
      <c r="M375" t="s">
        <v>730</v>
      </c>
      <c r="N375" t="s">
        <v>731</v>
      </c>
      <c r="O375" t="s">
        <v>36</v>
      </c>
      <c r="Q375" t="s">
        <v>62</v>
      </c>
      <c r="R375" t="s">
        <v>732</v>
      </c>
      <c r="S375" t="s">
        <v>732</v>
      </c>
      <c r="T375" t="s">
        <v>47</v>
      </c>
      <c r="U375" t="s">
        <v>898</v>
      </c>
      <c r="V375" t="s">
        <v>49</v>
      </c>
      <c r="W375" t="s">
        <v>899</v>
      </c>
      <c r="X375" t="s">
        <v>686</v>
      </c>
      <c r="Y375" t="s">
        <v>81</v>
      </c>
      <c r="Z375" t="s">
        <v>81</v>
      </c>
      <c r="AA375" t="s">
        <v>747</v>
      </c>
      <c r="AB375" s="3">
        <f t="shared" si="40"/>
        <v>3.1600000000000157</v>
      </c>
      <c r="AC375">
        <v>312.64</v>
      </c>
      <c r="AD375" s="2">
        <v>98.936708860758998</v>
      </c>
      <c r="AE375" s="2">
        <v>66.099999999999994</v>
      </c>
      <c r="AF375" s="2">
        <v>2.31</v>
      </c>
      <c r="AG375" s="2">
        <v>381.6</v>
      </c>
      <c r="AH375">
        <v>0</v>
      </c>
      <c r="AI375">
        <v>120.75949367089</v>
      </c>
      <c r="AJ375">
        <v>1.9079999999999999</v>
      </c>
      <c r="AK375" t="s">
        <v>54</v>
      </c>
      <c r="AL375">
        <v>2.2599999999999998</v>
      </c>
      <c r="AM375" s="4">
        <f t="shared" si="41"/>
        <v>120.75949367088549</v>
      </c>
      <c r="AN375" s="4">
        <f t="shared" si="42"/>
        <v>185.50632911392313</v>
      </c>
      <c r="AO375" s="4">
        <f t="shared" si="43"/>
        <v>206.09753164556861</v>
      </c>
      <c r="AP375" s="4">
        <f t="shared" si="44"/>
        <v>300.50170253164407</v>
      </c>
      <c r="AQ375" s="10">
        <f t="shared" si="45"/>
        <v>210.01283544303698</v>
      </c>
      <c r="AR375" s="10">
        <f t="shared" si="46"/>
        <v>233.34526146075839</v>
      </c>
      <c r="AS375" s="10">
        <f t="shared" si="47"/>
        <v>326.94798221771998</v>
      </c>
    </row>
    <row r="376" spans="1:45" x14ac:dyDescent="0.3">
      <c r="A376">
        <v>2025</v>
      </c>
      <c r="B376">
        <v>6</v>
      </c>
      <c r="C376" t="s">
        <v>55</v>
      </c>
      <c r="D376">
        <v>10</v>
      </c>
      <c r="E376" t="s">
        <v>36</v>
      </c>
      <c r="F376" t="s">
        <v>37</v>
      </c>
      <c r="G376" t="s">
        <v>38</v>
      </c>
      <c r="H376" t="s">
        <v>83</v>
      </c>
      <c r="I376" t="s">
        <v>190</v>
      </c>
      <c r="J376" t="s">
        <v>58</v>
      </c>
      <c r="K376" t="s">
        <v>59</v>
      </c>
      <c r="M376" t="s">
        <v>730</v>
      </c>
      <c r="N376" t="s">
        <v>731</v>
      </c>
      <c r="O376" t="s">
        <v>36</v>
      </c>
      <c r="Q376" t="s">
        <v>62</v>
      </c>
      <c r="R376" t="s">
        <v>732</v>
      </c>
      <c r="S376" t="s">
        <v>732</v>
      </c>
      <c r="T376" t="s">
        <v>47</v>
      </c>
      <c r="U376" t="s">
        <v>898</v>
      </c>
      <c r="V376" t="s">
        <v>49</v>
      </c>
      <c r="W376" t="s">
        <v>899</v>
      </c>
      <c r="X376" t="s">
        <v>686</v>
      </c>
      <c r="Y376" t="s">
        <v>902</v>
      </c>
      <c r="Z376" t="s">
        <v>902</v>
      </c>
      <c r="AA376" t="s">
        <v>903</v>
      </c>
      <c r="AB376" s="3">
        <f t="shared" si="40"/>
        <v>2</v>
      </c>
      <c r="AC376">
        <v>191.9</v>
      </c>
      <c r="AD376" s="2">
        <v>95.95</v>
      </c>
      <c r="AE376" s="2">
        <v>40.4</v>
      </c>
      <c r="AF376" s="2">
        <v>1.41</v>
      </c>
      <c r="AG376" s="2">
        <v>232.9</v>
      </c>
      <c r="AH376">
        <v>0</v>
      </c>
      <c r="AI376">
        <v>116.45</v>
      </c>
      <c r="AJ376">
        <v>1.1645000000000001</v>
      </c>
      <c r="AK376" t="s">
        <v>54</v>
      </c>
      <c r="AL376">
        <v>1.38</v>
      </c>
      <c r="AM376" s="4">
        <f t="shared" si="41"/>
        <v>116.45</v>
      </c>
      <c r="AN376" s="4">
        <f t="shared" si="42"/>
        <v>179.90625</v>
      </c>
      <c r="AO376" s="4">
        <f t="shared" si="43"/>
        <v>199.87584375</v>
      </c>
      <c r="AP376" s="4">
        <f t="shared" si="44"/>
        <v>291.43013437499997</v>
      </c>
      <c r="AQ376" s="10">
        <f t="shared" si="45"/>
        <v>202.51819500000002</v>
      </c>
      <c r="AR376" s="10">
        <f t="shared" si="46"/>
        <v>225.01796646450001</v>
      </c>
      <c r="AS376" s="10">
        <f t="shared" si="47"/>
        <v>315.28032597600003</v>
      </c>
    </row>
    <row r="377" spans="1:45" x14ac:dyDescent="0.3">
      <c r="A377">
        <v>2025</v>
      </c>
      <c r="B377">
        <v>6</v>
      </c>
      <c r="C377" t="s">
        <v>55</v>
      </c>
      <c r="D377">
        <v>10</v>
      </c>
      <c r="E377" t="s">
        <v>36</v>
      </c>
      <c r="F377" t="s">
        <v>37</v>
      </c>
      <c r="G377" t="s">
        <v>38</v>
      </c>
      <c r="H377" t="s">
        <v>341</v>
      </c>
      <c r="I377" t="s">
        <v>190</v>
      </c>
      <c r="J377" t="s">
        <v>58</v>
      </c>
      <c r="K377" t="s">
        <v>59</v>
      </c>
      <c r="M377" t="s">
        <v>730</v>
      </c>
      <c r="N377" t="s">
        <v>731</v>
      </c>
      <c r="O377" t="s">
        <v>36</v>
      </c>
      <c r="Q377" t="s">
        <v>62</v>
      </c>
      <c r="R377" t="s">
        <v>732</v>
      </c>
      <c r="S377" t="s">
        <v>732</v>
      </c>
      <c r="T377" t="s">
        <v>47</v>
      </c>
      <c r="U377" t="s">
        <v>102</v>
      </c>
      <c r="V377" t="s">
        <v>49</v>
      </c>
      <c r="W377" t="s">
        <v>805</v>
      </c>
      <c r="X377" t="s">
        <v>686</v>
      </c>
      <c r="Y377" t="s">
        <v>900</v>
      </c>
      <c r="Z377" t="s">
        <v>900</v>
      </c>
      <c r="AA377" t="s">
        <v>901</v>
      </c>
      <c r="AB377" s="3">
        <f t="shared" si="40"/>
        <v>2</v>
      </c>
      <c r="AC377">
        <v>140.29</v>
      </c>
      <c r="AD377" s="2">
        <v>70.144999999999996</v>
      </c>
      <c r="AE377" s="2">
        <v>29.67</v>
      </c>
      <c r="AF377" s="2">
        <v>1.4</v>
      </c>
      <c r="AG377" s="2">
        <v>171</v>
      </c>
      <c r="AH377">
        <v>0</v>
      </c>
      <c r="AI377">
        <v>85.5</v>
      </c>
      <c r="AJ377">
        <v>0.85499999999999998</v>
      </c>
      <c r="AK377" t="s">
        <v>54</v>
      </c>
      <c r="AL377">
        <v>1.1000000000000001</v>
      </c>
      <c r="AM377" s="4">
        <f t="shared" si="41"/>
        <v>85.5</v>
      </c>
      <c r="AN377" s="4">
        <f t="shared" si="42"/>
        <v>131.52187499999999</v>
      </c>
      <c r="AO377" s="4">
        <f t="shared" si="43"/>
        <v>146.12080312499998</v>
      </c>
      <c r="AP377" s="4">
        <f t="shared" si="44"/>
        <v>213.05228531249998</v>
      </c>
      <c r="AQ377" s="10">
        <f t="shared" si="45"/>
        <v>148.69305</v>
      </c>
      <c r="AR377" s="10">
        <f t="shared" si="46"/>
        <v>165.21284785500001</v>
      </c>
      <c r="AS377" s="10">
        <f t="shared" si="47"/>
        <v>231.48534024</v>
      </c>
    </row>
    <row r="378" spans="1:45" x14ac:dyDescent="0.3">
      <c r="A378">
        <v>2025</v>
      </c>
      <c r="B378">
        <v>6</v>
      </c>
      <c r="C378" t="s">
        <v>55</v>
      </c>
      <c r="D378">
        <v>10</v>
      </c>
      <c r="E378" t="s">
        <v>36</v>
      </c>
      <c r="F378" t="s">
        <v>37</v>
      </c>
      <c r="G378" t="s">
        <v>38</v>
      </c>
      <c r="H378" t="s">
        <v>141</v>
      </c>
      <c r="I378" t="s">
        <v>190</v>
      </c>
      <c r="J378" t="s">
        <v>58</v>
      </c>
      <c r="K378" t="s">
        <v>59</v>
      </c>
      <c r="M378" t="s">
        <v>730</v>
      </c>
      <c r="N378" t="s">
        <v>731</v>
      </c>
      <c r="O378" t="s">
        <v>36</v>
      </c>
      <c r="Q378" t="s">
        <v>62</v>
      </c>
      <c r="R378" t="s">
        <v>732</v>
      </c>
      <c r="S378" t="s">
        <v>732</v>
      </c>
      <c r="T378" t="s">
        <v>47</v>
      </c>
      <c r="U378" t="s">
        <v>167</v>
      </c>
      <c r="V378" t="s">
        <v>49</v>
      </c>
      <c r="W378" t="s">
        <v>168</v>
      </c>
      <c r="X378" t="s">
        <v>686</v>
      </c>
      <c r="Y378" t="s">
        <v>806</v>
      </c>
      <c r="Z378" t="s">
        <v>806</v>
      </c>
      <c r="AA378" t="s">
        <v>807</v>
      </c>
      <c r="AB378" s="3">
        <f t="shared" si="40"/>
        <v>1</v>
      </c>
      <c r="AC378">
        <v>2823.34</v>
      </c>
      <c r="AD378" s="2">
        <v>2823.34</v>
      </c>
      <c r="AE378" s="2">
        <v>596.95000000000005</v>
      </c>
      <c r="AF378" s="2">
        <v>20.88</v>
      </c>
      <c r="AG378" s="2">
        <v>3441.17</v>
      </c>
      <c r="AH378">
        <v>0</v>
      </c>
      <c r="AI378">
        <v>3441.17</v>
      </c>
      <c r="AJ378">
        <v>17.205850000000002</v>
      </c>
      <c r="AK378" t="s">
        <v>54</v>
      </c>
      <c r="AL378">
        <v>20.399999999999999</v>
      </c>
      <c r="AM378" s="4">
        <f t="shared" si="41"/>
        <v>3441.17</v>
      </c>
      <c r="AN378" s="4">
        <f t="shared" si="42"/>
        <v>5293.7625000000007</v>
      </c>
      <c r="AO378" s="4">
        <f t="shared" si="43"/>
        <v>5881.370137500001</v>
      </c>
      <c r="AP378" s="4">
        <f t="shared" si="44"/>
        <v>8575.3658737500009</v>
      </c>
      <c r="AQ378" s="10">
        <f t="shared" si="45"/>
        <v>5984.5387470000005</v>
      </c>
      <c r="AR378" s="10">
        <f t="shared" si="46"/>
        <v>6649.4210017917003</v>
      </c>
      <c r="AS378" s="10">
        <f t="shared" si="47"/>
        <v>9316.729921329601</v>
      </c>
    </row>
    <row r="379" spans="1:45" x14ac:dyDescent="0.3">
      <c r="A379">
        <v>2025</v>
      </c>
      <c r="B379">
        <v>6</v>
      </c>
      <c r="C379" t="s">
        <v>55</v>
      </c>
      <c r="D379">
        <v>10</v>
      </c>
      <c r="E379" t="s">
        <v>36</v>
      </c>
      <c r="F379" t="s">
        <v>37</v>
      </c>
      <c r="G379" t="s">
        <v>38</v>
      </c>
      <c r="H379" t="s">
        <v>141</v>
      </c>
      <c r="I379" t="s">
        <v>190</v>
      </c>
      <c r="J379" t="s">
        <v>58</v>
      </c>
      <c r="K379" t="s">
        <v>59</v>
      </c>
      <c r="M379" t="s">
        <v>730</v>
      </c>
      <c r="N379" t="s">
        <v>731</v>
      </c>
      <c r="O379" t="s">
        <v>36</v>
      </c>
      <c r="Q379" t="s">
        <v>62</v>
      </c>
      <c r="R379" t="s">
        <v>732</v>
      </c>
      <c r="S379" t="s">
        <v>732</v>
      </c>
      <c r="T379" t="s">
        <v>47</v>
      </c>
      <c r="U379" t="s">
        <v>247</v>
      </c>
      <c r="V379" t="s">
        <v>49</v>
      </c>
      <c r="W379" t="s">
        <v>248</v>
      </c>
      <c r="X379" t="s">
        <v>686</v>
      </c>
      <c r="Y379" t="s">
        <v>862</v>
      </c>
      <c r="Z379" t="s">
        <v>862</v>
      </c>
      <c r="AA379" t="s">
        <v>863</v>
      </c>
      <c r="AB379" s="3">
        <f t="shared" si="40"/>
        <v>10</v>
      </c>
      <c r="AC379">
        <v>27.55</v>
      </c>
      <c r="AD379" s="2">
        <v>2.7549999999999999</v>
      </c>
      <c r="AE379" s="2">
        <v>5.83</v>
      </c>
      <c r="AF379" s="2">
        <v>0.2</v>
      </c>
      <c r="AG379" s="2">
        <v>33.58</v>
      </c>
      <c r="AH379">
        <v>0</v>
      </c>
      <c r="AI379">
        <v>3.3580000000000001</v>
      </c>
      <c r="AJ379">
        <v>0.16789999999999999</v>
      </c>
      <c r="AK379" t="s">
        <v>54</v>
      </c>
      <c r="AL379">
        <v>0.2</v>
      </c>
      <c r="AM379" s="4">
        <f t="shared" si="41"/>
        <v>3.3579999999999997</v>
      </c>
      <c r="AN379" s="4">
        <f t="shared" si="42"/>
        <v>5.1656249999999995</v>
      </c>
      <c r="AO379" s="4">
        <f t="shared" si="43"/>
        <v>5.7390093749999993</v>
      </c>
      <c r="AP379" s="4">
        <f t="shared" si="44"/>
        <v>8.3677959374999986</v>
      </c>
      <c r="AQ379" s="10">
        <f t="shared" si="45"/>
        <v>5.8398978000000001</v>
      </c>
      <c r="AR379" s="10">
        <f t="shared" si="46"/>
        <v>6.4887104455799998</v>
      </c>
      <c r="AS379" s="10">
        <f t="shared" si="47"/>
        <v>9.0915528950399995</v>
      </c>
    </row>
    <row r="380" spans="1:45" x14ac:dyDescent="0.3">
      <c r="A380">
        <v>2025</v>
      </c>
      <c r="B380">
        <v>6</v>
      </c>
      <c r="C380" t="s">
        <v>55</v>
      </c>
      <c r="D380">
        <v>10</v>
      </c>
      <c r="E380" t="s">
        <v>36</v>
      </c>
      <c r="F380" t="s">
        <v>37</v>
      </c>
      <c r="G380" t="s">
        <v>38</v>
      </c>
      <c r="H380" t="s">
        <v>141</v>
      </c>
      <c r="I380" t="s">
        <v>190</v>
      </c>
      <c r="J380" t="s">
        <v>58</v>
      </c>
      <c r="K380" t="s">
        <v>59</v>
      </c>
      <c r="M380" t="s">
        <v>730</v>
      </c>
      <c r="N380" t="s">
        <v>731</v>
      </c>
      <c r="O380" t="s">
        <v>36</v>
      </c>
      <c r="Q380" t="s">
        <v>62</v>
      </c>
      <c r="R380" t="s">
        <v>732</v>
      </c>
      <c r="S380" t="s">
        <v>732</v>
      </c>
      <c r="T380" t="s">
        <v>47</v>
      </c>
      <c r="U380" t="s">
        <v>167</v>
      </c>
      <c r="V380" t="s">
        <v>49</v>
      </c>
      <c r="W380" t="s">
        <v>168</v>
      </c>
      <c r="X380" t="s">
        <v>686</v>
      </c>
      <c r="Y380" t="s">
        <v>790</v>
      </c>
      <c r="Z380" t="s">
        <v>790</v>
      </c>
      <c r="AA380" t="s">
        <v>791</v>
      </c>
      <c r="AB380" s="3">
        <f t="shared" si="40"/>
        <v>0.91000000000003833</v>
      </c>
      <c r="AC380">
        <v>9.5</v>
      </c>
      <c r="AD380" s="2">
        <v>10.439560439559999</v>
      </c>
      <c r="AE380" s="2">
        <v>1.91</v>
      </c>
      <c r="AF380" s="2">
        <v>0.7</v>
      </c>
      <c r="AG380" s="2">
        <v>11.3</v>
      </c>
      <c r="AH380">
        <v>0</v>
      </c>
      <c r="AI380">
        <v>12.417582417582</v>
      </c>
      <c r="AJ380">
        <v>5.6500000000000002E-2</v>
      </c>
      <c r="AK380" t="s">
        <v>54</v>
      </c>
      <c r="AL380">
        <v>0.7</v>
      </c>
      <c r="AM380" s="4">
        <f t="shared" si="41"/>
        <v>12.417582417581896</v>
      </c>
      <c r="AN380" s="4">
        <f t="shared" si="42"/>
        <v>19.574175824174997</v>
      </c>
      <c r="AO380" s="4">
        <f t="shared" si="43"/>
        <v>21.746909340658423</v>
      </c>
      <c r="AP380" s="4">
        <f t="shared" si="44"/>
        <v>31.708207417581075</v>
      </c>
      <c r="AQ380" s="10">
        <f t="shared" si="45"/>
        <v>21.595417582416676</v>
      </c>
      <c r="AR380" s="10">
        <f t="shared" si="46"/>
        <v>23.994668475823168</v>
      </c>
      <c r="AS380" s="10">
        <f t="shared" si="47"/>
        <v>33.619746092306279</v>
      </c>
    </row>
    <row r="381" spans="1:45" x14ac:dyDescent="0.3">
      <c r="A381">
        <v>2025</v>
      </c>
      <c r="B381">
        <v>6</v>
      </c>
      <c r="C381" t="s">
        <v>55</v>
      </c>
      <c r="D381">
        <v>10</v>
      </c>
      <c r="E381" t="s">
        <v>36</v>
      </c>
      <c r="F381" t="s">
        <v>37</v>
      </c>
      <c r="G381" t="s">
        <v>38</v>
      </c>
      <c r="H381" t="s">
        <v>141</v>
      </c>
      <c r="I381" t="s">
        <v>190</v>
      </c>
      <c r="J381" t="s">
        <v>58</v>
      </c>
      <c r="K381" t="s">
        <v>59</v>
      </c>
      <c r="M381" t="s">
        <v>730</v>
      </c>
      <c r="N381" t="s">
        <v>731</v>
      </c>
      <c r="O381" t="s">
        <v>36</v>
      </c>
      <c r="Q381" t="s">
        <v>62</v>
      </c>
      <c r="R381" t="s">
        <v>732</v>
      </c>
      <c r="S381" t="s">
        <v>732</v>
      </c>
      <c r="T381" t="s">
        <v>47</v>
      </c>
      <c r="U381" t="s">
        <v>167</v>
      </c>
      <c r="V381" t="s">
        <v>49</v>
      </c>
      <c r="W381" t="s">
        <v>168</v>
      </c>
      <c r="X381" t="s">
        <v>686</v>
      </c>
      <c r="Y381" t="s">
        <v>864</v>
      </c>
      <c r="Z381" t="s">
        <v>864</v>
      </c>
      <c r="AA381" t="s">
        <v>865</v>
      </c>
      <c r="AB381" s="3">
        <f t="shared" si="40"/>
        <v>9.9999999999999982</v>
      </c>
      <c r="AC381">
        <v>12.27</v>
      </c>
      <c r="AD381" s="2">
        <v>1.2270000000000001</v>
      </c>
      <c r="AE381" s="2">
        <v>2.59</v>
      </c>
      <c r="AF381" s="2">
        <v>0.9</v>
      </c>
      <c r="AG381" s="2">
        <v>14.95</v>
      </c>
      <c r="AH381">
        <v>0</v>
      </c>
      <c r="AI381">
        <v>1.4950000000000001</v>
      </c>
      <c r="AJ381">
        <v>7.4749999999999997E-2</v>
      </c>
      <c r="AK381" t="s">
        <v>54</v>
      </c>
      <c r="AL381">
        <v>0.9</v>
      </c>
      <c r="AM381" s="4">
        <f t="shared" si="41"/>
        <v>1.4950000000000001</v>
      </c>
      <c r="AN381" s="4">
        <f t="shared" si="42"/>
        <v>2.3006250000000001</v>
      </c>
      <c r="AO381" s="4">
        <f t="shared" si="43"/>
        <v>2.555994375</v>
      </c>
      <c r="AP381" s="4">
        <f t="shared" si="44"/>
        <v>3.7267824374999998</v>
      </c>
      <c r="AQ381" s="10">
        <f t="shared" si="45"/>
        <v>2.5999545000000004</v>
      </c>
      <c r="AR381" s="10">
        <f t="shared" si="46"/>
        <v>2.8888094449500006</v>
      </c>
      <c r="AS381" s="10">
        <f t="shared" si="47"/>
        <v>4.0476091656000008</v>
      </c>
    </row>
    <row r="382" spans="1:45" x14ac:dyDescent="0.3">
      <c r="A382">
        <v>2025</v>
      </c>
      <c r="B382">
        <v>6</v>
      </c>
      <c r="C382" t="s">
        <v>55</v>
      </c>
      <c r="D382">
        <v>10</v>
      </c>
      <c r="E382" t="s">
        <v>36</v>
      </c>
      <c r="F382" t="s">
        <v>37</v>
      </c>
      <c r="G382" t="s">
        <v>38</v>
      </c>
      <c r="H382" t="s">
        <v>83</v>
      </c>
      <c r="I382" t="s">
        <v>190</v>
      </c>
      <c r="J382" t="s">
        <v>58</v>
      </c>
      <c r="K382" t="s">
        <v>59</v>
      </c>
      <c r="M382" t="s">
        <v>730</v>
      </c>
      <c r="N382" t="s">
        <v>731</v>
      </c>
      <c r="O382" t="s">
        <v>36</v>
      </c>
      <c r="Q382" t="s">
        <v>62</v>
      </c>
      <c r="R382" t="s">
        <v>732</v>
      </c>
      <c r="S382" t="s">
        <v>732</v>
      </c>
      <c r="T382" t="s">
        <v>47</v>
      </c>
      <c r="U382" t="s">
        <v>758</v>
      </c>
      <c r="V382" t="s">
        <v>49</v>
      </c>
      <c r="W382" t="s">
        <v>759</v>
      </c>
      <c r="X382" t="s">
        <v>686</v>
      </c>
      <c r="Y382" t="s">
        <v>873</v>
      </c>
      <c r="Z382" t="s">
        <v>873</v>
      </c>
      <c r="AA382" t="s">
        <v>874</v>
      </c>
      <c r="AB382" s="3">
        <f t="shared" si="40"/>
        <v>1</v>
      </c>
      <c r="AC382">
        <v>1.96</v>
      </c>
      <c r="AD382" s="2">
        <v>1.96</v>
      </c>
      <c r="AE382" s="2">
        <v>0.41</v>
      </c>
      <c r="AF382" s="2">
        <v>0.1</v>
      </c>
      <c r="AG382" s="2">
        <v>2.39</v>
      </c>
      <c r="AH382">
        <v>0</v>
      </c>
      <c r="AI382">
        <v>2.39</v>
      </c>
      <c r="AJ382">
        <v>1.1950000000000001E-2</v>
      </c>
      <c r="AK382" t="s">
        <v>54</v>
      </c>
      <c r="AL382">
        <v>0.1</v>
      </c>
      <c r="AM382" s="4">
        <f t="shared" si="41"/>
        <v>2.39</v>
      </c>
      <c r="AN382" s="4">
        <f t="shared" si="42"/>
        <v>3.6749999999999998</v>
      </c>
      <c r="AO382" s="4">
        <f t="shared" si="43"/>
        <v>4.0829249999999995</v>
      </c>
      <c r="AP382" s="4">
        <f t="shared" si="44"/>
        <v>5.9531324999999997</v>
      </c>
      <c r="AQ382" s="10">
        <f t="shared" si="45"/>
        <v>4.1564490000000003</v>
      </c>
      <c r="AR382" s="10">
        <f t="shared" si="46"/>
        <v>4.6182304839000006</v>
      </c>
      <c r="AS382" s="10">
        <f t="shared" si="47"/>
        <v>6.4707598032</v>
      </c>
    </row>
    <row r="383" spans="1:45" x14ac:dyDescent="0.3">
      <c r="A383">
        <v>2025</v>
      </c>
      <c r="B383">
        <v>4</v>
      </c>
      <c r="C383" t="s">
        <v>55</v>
      </c>
      <c r="D383">
        <v>10</v>
      </c>
      <c r="E383" t="s">
        <v>36</v>
      </c>
      <c r="F383" t="s">
        <v>37</v>
      </c>
      <c r="G383" t="s">
        <v>38</v>
      </c>
      <c r="H383" t="s">
        <v>78</v>
      </c>
      <c r="I383" t="s">
        <v>190</v>
      </c>
      <c r="J383" t="s">
        <v>58</v>
      </c>
      <c r="K383" t="s">
        <v>59</v>
      </c>
      <c r="M383" t="s">
        <v>383</v>
      </c>
      <c r="N383" t="s">
        <v>384</v>
      </c>
      <c r="O383" t="s">
        <v>36</v>
      </c>
      <c r="Q383" t="s">
        <v>62</v>
      </c>
      <c r="R383" t="s">
        <v>385</v>
      </c>
      <c r="S383" t="s">
        <v>385</v>
      </c>
      <c r="T383" t="s">
        <v>47</v>
      </c>
      <c r="U383" t="s">
        <v>220</v>
      </c>
      <c r="V383" t="s">
        <v>49</v>
      </c>
      <c r="W383" t="s">
        <v>218</v>
      </c>
      <c r="X383" t="s">
        <v>388</v>
      </c>
      <c r="Y383" t="s">
        <v>760</v>
      </c>
      <c r="Z383" t="s">
        <v>760</v>
      </c>
      <c r="AA383" t="s">
        <v>761</v>
      </c>
      <c r="AB383" s="3">
        <f t="shared" si="40"/>
        <v>0.38999999999999962</v>
      </c>
      <c r="AC383">
        <v>38.19</v>
      </c>
      <c r="AD383" s="2">
        <v>97.923076923077005</v>
      </c>
      <c r="AE383" s="2">
        <v>8.8000000000000007</v>
      </c>
      <c r="AF383" s="2">
        <v>0.28000000000000003</v>
      </c>
      <c r="AG383" s="2">
        <v>46.55</v>
      </c>
      <c r="AH383">
        <v>0</v>
      </c>
      <c r="AI383">
        <v>119.35897435897</v>
      </c>
      <c r="AJ383">
        <v>0.23275000000000001</v>
      </c>
      <c r="AK383" t="s">
        <v>54</v>
      </c>
      <c r="AL383">
        <v>0.28000000000000003</v>
      </c>
      <c r="AM383" s="4">
        <f t="shared" si="41"/>
        <v>119.35897435897446</v>
      </c>
      <c r="AN383" s="4">
        <f t="shared" si="42"/>
        <v>183.6057692307694</v>
      </c>
      <c r="AO383" s="4">
        <f t="shared" si="43"/>
        <v>203.9860096153848</v>
      </c>
      <c r="AP383" s="4">
        <f t="shared" si="44"/>
        <v>297.42298557692334</v>
      </c>
      <c r="AQ383" s="10">
        <f t="shared" si="45"/>
        <v>207.57719230769251</v>
      </c>
      <c r="AR383" s="10">
        <f t="shared" si="46"/>
        <v>230.63901837307714</v>
      </c>
      <c r="AS383" s="10">
        <f t="shared" si="47"/>
        <v>323.15617298461569</v>
      </c>
    </row>
    <row r="384" spans="1:45" x14ac:dyDescent="0.3">
      <c r="A384">
        <v>2025</v>
      </c>
      <c r="B384">
        <v>12</v>
      </c>
      <c r="C384" t="s">
        <v>55</v>
      </c>
      <c r="D384">
        <v>10</v>
      </c>
      <c r="E384" t="s">
        <v>36</v>
      </c>
      <c r="F384" t="s">
        <v>37</v>
      </c>
      <c r="G384" t="s">
        <v>38</v>
      </c>
      <c r="H384" t="s">
        <v>78</v>
      </c>
      <c r="I384" t="s">
        <v>57</v>
      </c>
      <c r="J384" t="s">
        <v>58</v>
      </c>
      <c r="K384" t="s">
        <v>59</v>
      </c>
      <c r="L384" t="s">
        <v>1769</v>
      </c>
      <c r="M384" t="s">
        <v>1770</v>
      </c>
      <c r="N384" t="s">
        <v>1771</v>
      </c>
      <c r="O384" t="s">
        <v>1197</v>
      </c>
      <c r="Q384" t="s">
        <v>62</v>
      </c>
      <c r="R384" t="s">
        <v>1772</v>
      </c>
      <c r="S384" t="s">
        <v>1772</v>
      </c>
      <c r="T384" t="s">
        <v>47</v>
      </c>
      <c r="U384" t="s">
        <v>220</v>
      </c>
      <c r="V384" t="s">
        <v>49</v>
      </c>
      <c r="W384" t="s">
        <v>218</v>
      </c>
      <c r="X384" t="s">
        <v>51</v>
      </c>
      <c r="Y384" t="s">
        <v>81</v>
      </c>
      <c r="Z384" t="s">
        <v>81</v>
      </c>
      <c r="AA384" t="s">
        <v>400</v>
      </c>
      <c r="AB384" s="3">
        <f t="shared" si="40"/>
        <v>2.7200000000000366</v>
      </c>
      <c r="AC384">
        <v>356.14</v>
      </c>
      <c r="AD384" s="2">
        <v>130.93382352941001</v>
      </c>
      <c r="AE384" s="2">
        <v>30.65</v>
      </c>
      <c r="AF384" s="2">
        <v>2.38</v>
      </c>
      <c r="AG384" s="2">
        <v>389.17</v>
      </c>
      <c r="AH384">
        <v>0</v>
      </c>
      <c r="AI384">
        <v>143.07720588235</v>
      </c>
      <c r="AJ384">
        <v>1.9458500000000001</v>
      </c>
      <c r="AK384" t="s">
        <v>54</v>
      </c>
      <c r="AL384">
        <v>1.56</v>
      </c>
      <c r="AM384" s="4">
        <f t="shared" si="41"/>
        <v>143.07720588235102</v>
      </c>
      <c r="AN384" s="4">
        <f t="shared" si="42"/>
        <v>245.50091911764378</v>
      </c>
      <c r="AO384" s="4">
        <f t="shared" si="43"/>
        <v>272.75152113970222</v>
      </c>
      <c r="AP384" s="4">
        <f t="shared" si="44"/>
        <v>397.68693887867113</v>
      </c>
      <c r="AQ384" s="10">
        <f t="shared" si="45"/>
        <v>248.82556874999668</v>
      </c>
      <c r="AR384" s="10">
        <f t="shared" si="46"/>
        <v>276.47008943812131</v>
      </c>
      <c r="AS384" s="10">
        <f t="shared" si="47"/>
        <v>387.37164542999483</v>
      </c>
    </row>
    <row r="385" spans="1:45" x14ac:dyDescent="0.3">
      <c r="A385">
        <v>2025</v>
      </c>
      <c r="B385">
        <v>3</v>
      </c>
      <c r="C385" t="s">
        <v>55</v>
      </c>
      <c r="D385">
        <v>10</v>
      </c>
      <c r="E385" t="s">
        <v>36</v>
      </c>
      <c r="F385" t="s">
        <v>37</v>
      </c>
      <c r="G385" t="s">
        <v>38</v>
      </c>
      <c r="H385" t="s">
        <v>78</v>
      </c>
      <c r="I385" t="s">
        <v>190</v>
      </c>
      <c r="J385" t="s">
        <v>58</v>
      </c>
      <c r="K385" t="s">
        <v>59</v>
      </c>
      <c r="M385" t="s">
        <v>209</v>
      </c>
      <c r="N385" t="s">
        <v>61</v>
      </c>
      <c r="O385" t="s">
        <v>43</v>
      </c>
      <c r="Q385" t="s">
        <v>62</v>
      </c>
      <c r="R385" t="s">
        <v>210</v>
      </c>
      <c r="S385" t="s">
        <v>211</v>
      </c>
      <c r="T385" t="s">
        <v>47</v>
      </c>
      <c r="U385" t="s">
        <v>118</v>
      </c>
      <c r="V385" t="s">
        <v>49</v>
      </c>
      <c r="W385" t="s">
        <v>119</v>
      </c>
      <c r="X385" t="s">
        <v>51</v>
      </c>
      <c r="Y385" t="s">
        <v>1786</v>
      </c>
      <c r="Z385" t="s">
        <v>1786</v>
      </c>
      <c r="AA385" t="s">
        <v>400</v>
      </c>
      <c r="AB385" s="3">
        <f t="shared" si="40"/>
        <v>3.0000000000000604</v>
      </c>
      <c r="AC385">
        <v>499.57</v>
      </c>
      <c r="AD385" s="2">
        <v>166.52333333332999</v>
      </c>
      <c r="AE385" s="2">
        <v>148.30000000000001</v>
      </c>
      <c r="AF385" s="2">
        <v>3.75</v>
      </c>
      <c r="AG385" s="2">
        <v>651.63</v>
      </c>
      <c r="AH385">
        <v>0</v>
      </c>
      <c r="AI385">
        <v>217.21</v>
      </c>
      <c r="AJ385">
        <v>3.2581500000000001</v>
      </c>
      <c r="AK385" t="s">
        <v>54</v>
      </c>
      <c r="AL385">
        <v>3.71</v>
      </c>
      <c r="AM385" s="4">
        <f t="shared" si="41"/>
        <v>217.20999999999563</v>
      </c>
      <c r="AN385" s="4">
        <f t="shared" si="42"/>
        <v>312.23124999999374</v>
      </c>
      <c r="AO385" s="4">
        <f t="shared" si="43"/>
        <v>346.88891874999302</v>
      </c>
      <c r="AP385" s="4">
        <f t="shared" si="44"/>
        <v>505.78340187498981</v>
      </c>
      <c r="AQ385" s="10">
        <f t="shared" si="45"/>
        <v>377.74991099999244</v>
      </c>
      <c r="AR385" s="10">
        <f t="shared" si="46"/>
        <v>419.71792611209156</v>
      </c>
      <c r="AS385" s="10">
        <f t="shared" si="47"/>
        <v>588.08106144478825</v>
      </c>
    </row>
    <row r="386" spans="1:45" x14ac:dyDescent="0.3">
      <c r="A386">
        <v>2025</v>
      </c>
      <c r="B386">
        <v>10</v>
      </c>
      <c r="C386" t="s">
        <v>55</v>
      </c>
      <c r="D386">
        <v>10</v>
      </c>
      <c r="E386" t="s">
        <v>36</v>
      </c>
      <c r="F386" t="s">
        <v>37</v>
      </c>
      <c r="G386" t="s">
        <v>38</v>
      </c>
      <c r="H386" t="s">
        <v>622</v>
      </c>
      <c r="I386" t="s">
        <v>375</v>
      </c>
      <c r="J386" t="s">
        <v>376</v>
      </c>
      <c r="K386" t="s">
        <v>59</v>
      </c>
      <c r="L386" t="s">
        <v>1549</v>
      </c>
      <c r="M386" t="s">
        <v>1550</v>
      </c>
      <c r="N386" t="s">
        <v>1551</v>
      </c>
      <c r="O386" t="s">
        <v>1197</v>
      </c>
      <c r="Q386" t="s">
        <v>62</v>
      </c>
      <c r="R386" t="s">
        <v>1552</v>
      </c>
      <c r="S386" t="s">
        <v>1552</v>
      </c>
      <c r="T386" t="s">
        <v>47</v>
      </c>
      <c r="U386" t="s">
        <v>367</v>
      </c>
      <c r="V386" t="s">
        <v>49</v>
      </c>
      <c r="W386" t="s">
        <v>935</v>
      </c>
      <c r="X386" t="s">
        <v>51</v>
      </c>
      <c r="Y386" t="s">
        <v>280</v>
      </c>
      <c r="Z386" t="s">
        <v>64</v>
      </c>
      <c r="AA386" t="s">
        <v>281</v>
      </c>
      <c r="AB386" s="3">
        <f t="shared" si="40"/>
        <v>9.9999999999999982</v>
      </c>
      <c r="AC386">
        <v>133.22999999999999</v>
      </c>
      <c r="AD386" s="2">
        <v>13.323</v>
      </c>
      <c r="AE386" s="2">
        <v>29.76</v>
      </c>
      <c r="AF386" s="2">
        <v>0.98</v>
      </c>
      <c r="AG386" s="2">
        <v>163.97</v>
      </c>
      <c r="AH386">
        <v>0</v>
      </c>
      <c r="AI386">
        <v>16.396999999999998</v>
      </c>
      <c r="AJ386">
        <v>0.81984999999999997</v>
      </c>
      <c r="AK386" t="s">
        <v>54</v>
      </c>
      <c r="AL386">
        <v>22.02</v>
      </c>
      <c r="AM386" s="4">
        <f t="shared" si="41"/>
        <v>16.397000000000002</v>
      </c>
      <c r="AN386" s="4">
        <f t="shared" si="42"/>
        <v>24.980625</v>
      </c>
      <c r="AO386" s="4">
        <f t="shared" si="43"/>
        <v>27.753474375</v>
      </c>
      <c r="AP386" s="4">
        <f t="shared" si="44"/>
        <v>40.466114437499996</v>
      </c>
      <c r="AQ386" s="10">
        <f t="shared" si="45"/>
        <v>28.516022700000004</v>
      </c>
      <c r="AR386" s="10">
        <f t="shared" si="46"/>
        <v>31.684152821970002</v>
      </c>
      <c r="AS386" s="10">
        <f t="shared" si="47"/>
        <v>44.393744139360003</v>
      </c>
    </row>
    <row r="387" spans="1:45" x14ac:dyDescent="0.3">
      <c r="A387">
        <v>2025</v>
      </c>
      <c r="B387">
        <v>3</v>
      </c>
      <c r="C387" t="s">
        <v>55</v>
      </c>
      <c r="D387">
        <v>10</v>
      </c>
      <c r="E387" t="s">
        <v>36</v>
      </c>
      <c r="F387" t="s">
        <v>37</v>
      </c>
      <c r="G387" t="s">
        <v>38</v>
      </c>
      <c r="H387" t="s">
        <v>78</v>
      </c>
      <c r="I387" t="s">
        <v>190</v>
      </c>
      <c r="J387" t="s">
        <v>58</v>
      </c>
      <c r="K387" t="s">
        <v>59</v>
      </c>
      <c r="M387" t="s">
        <v>213</v>
      </c>
      <c r="N387" t="s">
        <v>61</v>
      </c>
      <c r="O387" t="s">
        <v>43</v>
      </c>
      <c r="Q387" t="s">
        <v>62</v>
      </c>
      <c r="R387" t="s">
        <v>214</v>
      </c>
      <c r="S387" t="s">
        <v>215</v>
      </c>
      <c r="T387" t="s">
        <v>47</v>
      </c>
      <c r="U387" t="s">
        <v>220</v>
      </c>
      <c r="V387" t="s">
        <v>49</v>
      </c>
      <c r="W387" t="s">
        <v>218</v>
      </c>
      <c r="X387" t="s">
        <v>51</v>
      </c>
      <c r="Y387" t="s">
        <v>1611</v>
      </c>
      <c r="Z387" t="s">
        <v>1611</v>
      </c>
      <c r="AA387" t="s">
        <v>1612</v>
      </c>
      <c r="AB387" s="3">
        <f t="shared" ref="AB387:AB450" si="48">SUM(AC387/AD387)</f>
        <v>1</v>
      </c>
      <c r="AC387">
        <v>32.5</v>
      </c>
      <c r="AD387" s="2">
        <v>32.5</v>
      </c>
      <c r="AE387" s="2">
        <v>14.64</v>
      </c>
      <c r="AF387" s="2">
        <v>0.28999999999999998</v>
      </c>
      <c r="AG387" s="2">
        <v>46.97</v>
      </c>
      <c r="AH387">
        <v>0</v>
      </c>
      <c r="AI387">
        <v>46.97</v>
      </c>
      <c r="AJ387">
        <v>0.23485</v>
      </c>
      <c r="AK387" t="s">
        <v>54</v>
      </c>
      <c r="AL387">
        <v>0.66</v>
      </c>
      <c r="AM387" s="4">
        <f t="shared" ref="AM387:AM450" si="49">SUM(AG387/AB387)</f>
        <v>46.97</v>
      </c>
      <c r="AN387" s="4">
        <f t="shared" ref="AN387:AN450" si="50">SUM(AD387*1.875)</f>
        <v>60.9375</v>
      </c>
      <c r="AO387" s="4">
        <f t="shared" si="43"/>
        <v>67.701562499999994</v>
      </c>
      <c r="AP387" s="4">
        <f t="shared" si="44"/>
        <v>98.712656249999995</v>
      </c>
      <c r="AQ387" s="10">
        <f t="shared" si="45"/>
        <v>81.685527000000008</v>
      </c>
      <c r="AR387" s="10">
        <f t="shared" si="46"/>
        <v>90.760789049700008</v>
      </c>
      <c r="AS387" s="10">
        <f t="shared" si="47"/>
        <v>127.16802843360001</v>
      </c>
    </row>
    <row r="388" spans="1:45" x14ac:dyDescent="0.3">
      <c r="A388">
        <v>2025</v>
      </c>
      <c r="B388">
        <v>4</v>
      </c>
      <c r="C388" t="s">
        <v>55</v>
      </c>
      <c r="D388">
        <v>10</v>
      </c>
      <c r="E388" t="s">
        <v>36</v>
      </c>
      <c r="F388" t="s">
        <v>37</v>
      </c>
      <c r="G388" t="s">
        <v>38</v>
      </c>
      <c r="H388" t="s">
        <v>78</v>
      </c>
      <c r="I388" t="s">
        <v>375</v>
      </c>
      <c r="J388" t="s">
        <v>376</v>
      </c>
      <c r="K388" t="s">
        <v>59</v>
      </c>
      <c r="M388">
        <v>2503061</v>
      </c>
      <c r="N388" t="s">
        <v>377</v>
      </c>
      <c r="O388" t="s">
        <v>36</v>
      </c>
      <c r="Q388" t="s">
        <v>62</v>
      </c>
      <c r="R388" t="s">
        <v>378</v>
      </c>
      <c r="S388" t="s">
        <v>378</v>
      </c>
      <c r="T388" t="s">
        <v>47</v>
      </c>
      <c r="U388" t="s">
        <v>220</v>
      </c>
      <c r="V388" t="s">
        <v>49</v>
      </c>
      <c r="W388" t="s">
        <v>218</v>
      </c>
      <c r="X388" t="s">
        <v>51</v>
      </c>
      <c r="Y388" t="s">
        <v>81</v>
      </c>
      <c r="Z388" t="s">
        <v>64</v>
      </c>
      <c r="AA388" t="s">
        <v>222</v>
      </c>
      <c r="AB388" s="3">
        <f t="shared" si="48"/>
        <v>2</v>
      </c>
      <c r="AC388">
        <v>213.1</v>
      </c>
      <c r="AD388" s="2">
        <v>106.55</v>
      </c>
      <c r="AE388" s="2">
        <v>44.72</v>
      </c>
      <c r="AF388" s="2">
        <v>1.58</v>
      </c>
      <c r="AG388" s="2">
        <v>259.39999999999998</v>
      </c>
      <c r="AH388">
        <v>0</v>
      </c>
      <c r="AI388">
        <v>129.69999999999999</v>
      </c>
      <c r="AJ388">
        <v>1.2969999999999999</v>
      </c>
      <c r="AK388" t="s">
        <v>54</v>
      </c>
      <c r="AL388">
        <v>3.89</v>
      </c>
      <c r="AM388" s="4">
        <f t="shared" si="49"/>
        <v>129.69999999999999</v>
      </c>
      <c r="AN388" s="4">
        <f t="shared" si="50"/>
        <v>199.78125</v>
      </c>
      <c r="AO388" s="4">
        <f t="shared" ref="AO388:AO451" si="51">SUM(AN388)*1.111</f>
        <v>221.95696874999999</v>
      </c>
      <c r="AP388" s="4">
        <f t="shared" ref="AP388:AP451" si="52">SUM(AN388)*1.6199</f>
        <v>323.62564687499997</v>
      </c>
      <c r="AQ388" s="10">
        <f t="shared" ref="AQ388:AQ451" si="53">SUM(AM388)*1.7391</f>
        <v>225.56126999999998</v>
      </c>
      <c r="AR388" s="10">
        <f t="shared" ref="AR388:AR451" si="54">SUM(AQ388)*1.1111</f>
        <v>250.62112709699997</v>
      </c>
      <c r="AS388" s="10">
        <f t="shared" ref="AS388:AS451" si="55">SUM(AQ388)*1.5568</f>
        <v>351.15378513599995</v>
      </c>
    </row>
    <row r="389" spans="1:45" x14ac:dyDescent="0.3">
      <c r="A389">
        <v>2025</v>
      </c>
      <c r="B389">
        <v>4</v>
      </c>
      <c r="C389" t="s">
        <v>55</v>
      </c>
      <c r="D389">
        <v>10</v>
      </c>
      <c r="E389" t="s">
        <v>36</v>
      </c>
      <c r="F389" t="s">
        <v>37</v>
      </c>
      <c r="G389" t="s">
        <v>38</v>
      </c>
      <c r="H389" t="s">
        <v>78</v>
      </c>
      <c r="I389" t="s">
        <v>375</v>
      </c>
      <c r="J389" t="s">
        <v>376</v>
      </c>
      <c r="K389" t="s">
        <v>59</v>
      </c>
      <c r="M389">
        <v>2503061</v>
      </c>
      <c r="N389" t="s">
        <v>377</v>
      </c>
      <c r="O389" t="s">
        <v>36</v>
      </c>
      <c r="Q389" t="s">
        <v>62</v>
      </c>
      <c r="R389" t="s">
        <v>378</v>
      </c>
      <c r="S389" t="s">
        <v>378</v>
      </c>
      <c r="T389" t="s">
        <v>47</v>
      </c>
      <c r="U389" t="s">
        <v>79</v>
      </c>
      <c r="V389" t="s">
        <v>49</v>
      </c>
      <c r="W389" t="s">
        <v>80</v>
      </c>
      <c r="X389" t="s">
        <v>51</v>
      </c>
      <c r="Y389" t="s">
        <v>399</v>
      </c>
      <c r="Z389" t="s">
        <v>399</v>
      </c>
      <c r="AA389" t="s">
        <v>222</v>
      </c>
      <c r="AB389" s="3">
        <f t="shared" si="48"/>
        <v>3.4499999999999957</v>
      </c>
      <c r="AC389">
        <v>210.59</v>
      </c>
      <c r="AD389" s="2">
        <v>61.040579710145003</v>
      </c>
      <c r="AE389" s="2">
        <v>47.15</v>
      </c>
      <c r="AF389" s="2">
        <v>1.47</v>
      </c>
      <c r="AG389" s="2">
        <v>259.20999999999998</v>
      </c>
      <c r="AH389">
        <v>0</v>
      </c>
      <c r="AI389">
        <v>75.133333333332999</v>
      </c>
      <c r="AJ389">
        <v>1.2960499999999999</v>
      </c>
      <c r="AK389" t="s">
        <v>54</v>
      </c>
      <c r="AL389">
        <v>2.25</v>
      </c>
      <c r="AM389" s="4">
        <f t="shared" si="49"/>
        <v>75.133333333333425</v>
      </c>
      <c r="AN389" s="4">
        <f t="shared" si="50"/>
        <v>114.45108695652188</v>
      </c>
      <c r="AO389" s="4">
        <f t="shared" si="51"/>
        <v>127.1551576086958</v>
      </c>
      <c r="AP389" s="4">
        <f t="shared" si="52"/>
        <v>185.39931576086977</v>
      </c>
      <c r="AQ389" s="10">
        <f t="shared" si="53"/>
        <v>130.66438000000016</v>
      </c>
      <c r="AR389" s="10">
        <f t="shared" si="54"/>
        <v>145.18119261800018</v>
      </c>
      <c r="AS389" s="10">
        <f t="shared" si="55"/>
        <v>203.41830678400026</v>
      </c>
    </row>
    <row r="390" spans="1:45" x14ac:dyDescent="0.3">
      <c r="A390">
        <v>2025</v>
      </c>
      <c r="B390">
        <v>8</v>
      </c>
      <c r="C390" t="s">
        <v>55</v>
      </c>
      <c r="D390">
        <v>10</v>
      </c>
      <c r="E390" t="s">
        <v>36</v>
      </c>
      <c r="F390" t="s">
        <v>37</v>
      </c>
      <c r="G390" t="s">
        <v>38</v>
      </c>
      <c r="H390" t="s">
        <v>141</v>
      </c>
      <c r="I390" t="s">
        <v>190</v>
      </c>
      <c r="J390" t="s">
        <v>58</v>
      </c>
      <c r="K390" t="s">
        <v>59</v>
      </c>
      <c r="L390" t="s">
        <v>1194</v>
      </c>
      <c r="M390" t="s">
        <v>1195</v>
      </c>
      <c r="N390" t="s">
        <v>1196</v>
      </c>
      <c r="O390" t="s">
        <v>1197</v>
      </c>
      <c r="Q390" t="s">
        <v>62</v>
      </c>
      <c r="R390" t="s">
        <v>1198</v>
      </c>
      <c r="S390" t="s">
        <v>1198</v>
      </c>
      <c r="T390" t="s">
        <v>47</v>
      </c>
      <c r="U390" t="s">
        <v>167</v>
      </c>
      <c r="V390" t="s">
        <v>49</v>
      </c>
      <c r="W390" t="s">
        <v>168</v>
      </c>
      <c r="X390" t="s">
        <v>388</v>
      </c>
      <c r="Y390" t="s">
        <v>81</v>
      </c>
      <c r="Z390" t="s">
        <v>81</v>
      </c>
      <c r="AA390" t="s">
        <v>391</v>
      </c>
      <c r="AB390" s="3">
        <f t="shared" si="48"/>
        <v>1.7299999999999689</v>
      </c>
      <c r="AC390">
        <v>211.28</v>
      </c>
      <c r="AD390" s="2">
        <v>122.12716763006</v>
      </c>
      <c r="AE390" s="2">
        <v>23.68</v>
      </c>
      <c r="AF390" s="2">
        <v>1.5</v>
      </c>
      <c r="AG390" s="2">
        <v>236.45</v>
      </c>
      <c r="AH390">
        <v>0</v>
      </c>
      <c r="AI390">
        <v>136.67630057803001</v>
      </c>
      <c r="AJ390">
        <v>1.18225</v>
      </c>
      <c r="AK390" t="s">
        <v>54</v>
      </c>
      <c r="AL390">
        <v>1.1299999999999999</v>
      </c>
      <c r="AM390" s="4">
        <f t="shared" si="49"/>
        <v>136.67630057803714</v>
      </c>
      <c r="AN390" s="4">
        <f t="shared" si="50"/>
        <v>228.98843930636249</v>
      </c>
      <c r="AO390" s="4">
        <f t="shared" si="51"/>
        <v>254.40615606936873</v>
      </c>
      <c r="AP390" s="4">
        <f t="shared" si="52"/>
        <v>370.93837283237656</v>
      </c>
      <c r="AQ390" s="10">
        <f t="shared" si="53"/>
        <v>237.6937543352644</v>
      </c>
      <c r="AR390" s="10">
        <f t="shared" si="54"/>
        <v>264.10153044191225</v>
      </c>
      <c r="AS390" s="10">
        <f t="shared" si="55"/>
        <v>370.04163674913963</v>
      </c>
    </row>
    <row r="391" spans="1:45" x14ac:dyDescent="0.3">
      <c r="A391">
        <v>2025</v>
      </c>
      <c r="B391">
        <v>8</v>
      </c>
      <c r="C391" t="s">
        <v>55</v>
      </c>
      <c r="D391">
        <v>10</v>
      </c>
      <c r="E391" t="s">
        <v>36</v>
      </c>
      <c r="F391" t="s">
        <v>37</v>
      </c>
      <c r="G391" t="s">
        <v>38</v>
      </c>
      <c r="H391" t="s">
        <v>141</v>
      </c>
      <c r="I391" t="s">
        <v>190</v>
      </c>
      <c r="J391" t="s">
        <v>58</v>
      </c>
      <c r="K391" t="s">
        <v>59</v>
      </c>
      <c r="L391" t="s">
        <v>1194</v>
      </c>
      <c r="M391" t="s">
        <v>1195</v>
      </c>
      <c r="N391" t="s">
        <v>1196</v>
      </c>
      <c r="O391" t="s">
        <v>1197</v>
      </c>
      <c r="Q391" t="s">
        <v>62</v>
      </c>
      <c r="R391" t="s">
        <v>1198</v>
      </c>
      <c r="S391" t="s">
        <v>1198</v>
      </c>
      <c r="T391" t="s">
        <v>47</v>
      </c>
      <c r="U391" t="s">
        <v>167</v>
      </c>
      <c r="V391" t="s">
        <v>49</v>
      </c>
      <c r="W391" t="s">
        <v>168</v>
      </c>
      <c r="X391" t="s">
        <v>388</v>
      </c>
      <c r="Y391" t="s">
        <v>1421</v>
      </c>
      <c r="Z391" t="s">
        <v>1421</v>
      </c>
      <c r="AA391" t="s">
        <v>1422</v>
      </c>
      <c r="AB391" s="3">
        <f t="shared" si="48"/>
        <v>1</v>
      </c>
      <c r="AC391">
        <v>60.1</v>
      </c>
      <c r="AD391" s="2">
        <v>60.1</v>
      </c>
      <c r="AE391" s="2">
        <v>4.3099999999999996</v>
      </c>
      <c r="AF391" s="2">
        <v>0.39</v>
      </c>
      <c r="AG391" s="2">
        <v>64.790000000000006</v>
      </c>
      <c r="AH391">
        <v>0</v>
      </c>
      <c r="AI391">
        <v>64.790000000000006</v>
      </c>
      <c r="AJ391">
        <v>0.32395000000000002</v>
      </c>
      <c r="AK391" t="s">
        <v>54</v>
      </c>
      <c r="AL391">
        <v>0.51</v>
      </c>
      <c r="AM391" s="4">
        <f t="shared" si="49"/>
        <v>64.790000000000006</v>
      </c>
      <c r="AN391" s="4">
        <f t="shared" si="50"/>
        <v>112.6875</v>
      </c>
      <c r="AO391" s="4">
        <f t="shared" si="51"/>
        <v>125.1958125</v>
      </c>
      <c r="AP391" s="4">
        <f t="shared" si="52"/>
        <v>182.54248124999998</v>
      </c>
      <c r="AQ391" s="10">
        <f t="shared" si="53"/>
        <v>112.67628900000001</v>
      </c>
      <c r="AR391" s="10">
        <f t="shared" si="54"/>
        <v>125.1946247079</v>
      </c>
      <c r="AS391" s="10">
        <f t="shared" si="55"/>
        <v>175.4144467152</v>
      </c>
    </row>
    <row r="392" spans="1:45" x14ac:dyDescent="0.3">
      <c r="A392">
        <v>2025</v>
      </c>
      <c r="B392">
        <v>9</v>
      </c>
      <c r="C392" t="s">
        <v>55</v>
      </c>
      <c r="D392">
        <v>10</v>
      </c>
      <c r="E392" t="s">
        <v>36</v>
      </c>
      <c r="F392" t="s">
        <v>37</v>
      </c>
      <c r="G392" t="s">
        <v>38</v>
      </c>
      <c r="H392" t="s">
        <v>141</v>
      </c>
      <c r="I392" t="s">
        <v>375</v>
      </c>
      <c r="J392" t="s">
        <v>376</v>
      </c>
      <c r="K392" t="s">
        <v>59</v>
      </c>
      <c r="L392" t="s">
        <v>1483</v>
      </c>
      <c r="M392" t="s">
        <v>1484</v>
      </c>
      <c r="N392" t="s">
        <v>1485</v>
      </c>
      <c r="O392" t="s">
        <v>1197</v>
      </c>
      <c r="Q392" t="s">
        <v>62</v>
      </c>
      <c r="R392" t="s">
        <v>1486</v>
      </c>
      <c r="S392" t="s">
        <v>1486</v>
      </c>
      <c r="T392" t="s">
        <v>47</v>
      </c>
      <c r="U392" t="s">
        <v>167</v>
      </c>
      <c r="V392" t="s">
        <v>49</v>
      </c>
      <c r="W392" t="s">
        <v>168</v>
      </c>
      <c r="X392" t="s">
        <v>51</v>
      </c>
      <c r="Y392" t="s">
        <v>1421</v>
      </c>
      <c r="Z392" t="s">
        <v>1421</v>
      </c>
      <c r="AA392" t="s">
        <v>1422</v>
      </c>
      <c r="AB392" s="3">
        <f t="shared" si="48"/>
        <v>1</v>
      </c>
      <c r="AC392">
        <v>60.1</v>
      </c>
      <c r="AD392" s="2">
        <v>60.1</v>
      </c>
      <c r="AE392" s="2">
        <v>4.3099999999999996</v>
      </c>
      <c r="AF392" s="2">
        <v>0.39</v>
      </c>
      <c r="AG392" s="2">
        <v>64.790000000000006</v>
      </c>
      <c r="AH392">
        <v>0</v>
      </c>
      <c r="AI392">
        <v>64.790000000000006</v>
      </c>
      <c r="AJ392">
        <v>0.32395000000000002</v>
      </c>
      <c r="AK392" t="s">
        <v>54</v>
      </c>
      <c r="AL392">
        <v>0.51</v>
      </c>
      <c r="AM392" s="4">
        <f t="shared" si="49"/>
        <v>64.790000000000006</v>
      </c>
      <c r="AN392" s="4">
        <f t="shared" si="50"/>
        <v>112.6875</v>
      </c>
      <c r="AO392" s="4">
        <f t="shared" si="51"/>
        <v>125.1958125</v>
      </c>
      <c r="AP392" s="4">
        <f t="shared" si="52"/>
        <v>182.54248124999998</v>
      </c>
      <c r="AQ392" s="10">
        <f t="shared" si="53"/>
        <v>112.67628900000001</v>
      </c>
      <c r="AR392" s="10">
        <f t="shared" si="54"/>
        <v>125.1946247079</v>
      </c>
      <c r="AS392" s="10">
        <f t="shared" si="55"/>
        <v>175.4144467152</v>
      </c>
    </row>
    <row r="393" spans="1:45" x14ac:dyDescent="0.3">
      <c r="A393">
        <v>2025</v>
      </c>
      <c r="B393">
        <v>11</v>
      </c>
      <c r="C393" t="s">
        <v>55</v>
      </c>
      <c r="D393">
        <v>10</v>
      </c>
      <c r="E393" t="s">
        <v>36</v>
      </c>
      <c r="F393" t="s">
        <v>37</v>
      </c>
      <c r="G393" t="s">
        <v>38</v>
      </c>
      <c r="H393" t="s">
        <v>141</v>
      </c>
      <c r="I393" t="s">
        <v>375</v>
      </c>
      <c r="J393" t="s">
        <v>376</v>
      </c>
      <c r="K393" t="s">
        <v>51</v>
      </c>
      <c r="L393" t="s">
        <v>1622</v>
      </c>
      <c r="M393" t="s">
        <v>1623</v>
      </c>
      <c r="N393" t="s">
        <v>1485</v>
      </c>
      <c r="O393" t="s">
        <v>1197</v>
      </c>
      <c r="Q393" t="s">
        <v>62</v>
      </c>
      <c r="R393" t="s">
        <v>1624</v>
      </c>
      <c r="S393" t="s">
        <v>1624</v>
      </c>
      <c r="T393" t="s">
        <v>47</v>
      </c>
      <c r="U393" t="s">
        <v>167</v>
      </c>
      <c r="V393" t="s">
        <v>49</v>
      </c>
      <c r="W393" t="s">
        <v>168</v>
      </c>
      <c r="X393" t="s">
        <v>51</v>
      </c>
      <c r="Y393" t="s">
        <v>1421</v>
      </c>
      <c r="Z393" t="s">
        <v>1421</v>
      </c>
      <c r="AA393" t="s">
        <v>1422</v>
      </c>
      <c r="AB393" s="3">
        <f t="shared" si="48"/>
        <v>2</v>
      </c>
      <c r="AC393">
        <v>118.31</v>
      </c>
      <c r="AD393" s="2">
        <v>59.155000000000001</v>
      </c>
      <c r="AE393" s="2">
        <v>18.37</v>
      </c>
      <c r="AF393" s="2">
        <v>0.84</v>
      </c>
      <c r="AG393" s="2">
        <v>137.52000000000001</v>
      </c>
      <c r="AH393">
        <v>0</v>
      </c>
      <c r="AI393">
        <v>68.760000000000005</v>
      </c>
      <c r="AJ393">
        <v>0.68759999999999999</v>
      </c>
      <c r="AK393" t="s">
        <v>54</v>
      </c>
      <c r="AL393">
        <v>0.76</v>
      </c>
      <c r="AM393" s="4">
        <f t="shared" si="49"/>
        <v>68.760000000000005</v>
      </c>
      <c r="AN393" s="4">
        <f t="shared" si="50"/>
        <v>110.91562500000001</v>
      </c>
      <c r="AO393" s="4">
        <f t="shared" si="51"/>
        <v>123.227259375</v>
      </c>
      <c r="AP393" s="4">
        <f t="shared" si="52"/>
        <v>179.67222093749999</v>
      </c>
      <c r="AQ393" s="10">
        <f t="shared" si="53"/>
        <v>119.58051600000002</v>
      </c>
      <c r="AR393" s="10">
        <f t="shared" si="54"/>
        <v>132.8659113276</v>
      </c>
      <c r="AS393" s="10">
        <f t="shared" si="55"/>
        <v>186.16294730880003</v>
      </c>
    </row>
    <row r="394" spans="1:45" x14ac:dyDescent="0.3">
      <c r="A394">
        <v>2025</v>
      </c>
      <c r="B394">
        <v>4</v>
      </c>
      <c r="C394" t="s">
        <v>55</v>
      </c>
      <c r="D394">
        <v>10</v>
      </c>
      <c r="E394" t="s">
        <v>36</v>
      </c>
      <c r="F394" t="s">
        <v>37</v>
      </c>
      <c r="G394" t="s">
        <v>38</v>
      </c>
      <c r="H394" t="s">
        <v>78</v>
      </c>
      <c r="I394" t="s">
        <v>375</v>
      </c>
      <c r="J394" t="s">
        <v>376</v>
      </c>
      <c r="K394" t="s">
        <v>59</v>
      </c>
      <c r="M394">
        <v>2503061</v>
      </c>
      <c r="N394" t="s">
        <v>377</v>
      </c>
      <c r="O394" t="s">
        <v>36</v>
      </c>
      <c r="Q394" t="s">
        <v>62</v>
      </c>
      <c r="R394" t="s">
        <v>378</v>
      </c>
      <c r="S394" t="s">
        <v>378</v>
      </c>
      <c r="T394" t="s">
        <v>47</v>
      </c>
      <c r="U394" t="s">
        <v>79</v>
      </c>
      <c r="V394" t="s">
        <v>49</v>
      </c>
      <c r="W394" t="s">
        <v>80</v>
      </c>
      <c r="X394" t="s">
        <v>51</v>
      </c>
      <c r="Y394" t="s">
        <v>1726</v>
      </c>
      <c r="Z394" t="s">
        <v>1726</v>
      </c>
      <c r="AA394" t="s">
        <v>1422</v>
      </c>
      <c r="AB394" s="3">
        <f t="shared" si="48"/>
        <v>2</v>
      </c>
      <c r="AC394">
        <v>115.82</v>
      </c>
      <c r="AD394" s="2">
        <v>57.91</v>
      </c>
      <c r="AE394" s="2">
        <v>16.22</v>
      </c>
      <c r="AF394" s="2">
        <v>0.8</v>
      </c>
      <c r="AG394" s="2">
        <v>132.84</v>
      </c>
      <c r="AH394">
        <v>0</v>
      </c>
      <c r="AI394">
        <v>66.42</v>
      </c>
      <c r="AJ394">
        <v>0.66420000000000001</v>
      </c>
      <c r="AK394" t="s">
        <v>54</v>
      </c>
      <c r="AL394">
        <v>0.88</v>
      </c>
      <c r="AM394" s="4">
        <f t="shared" si="49"/>
        <v>66.42</v>
      </c>
      <c r="AN394" s="4">
        <f t="shared" si="50"/>
        <v>108.58125</v>
      </c>
      <c r="AO394" s="4">
        <f t="shared" si="51"/>
        <v>120.63376875</v>
      </c>
      <c r="AP394" s="4">
        <f t="shared" si="52"/>
        <v>175.890766875</v>
      </c>
      <c r="AQ394" s="10">
        <f t="shared" si="53"/>
        <v>115.51102200000001</v>
      </c>
      <c r="AR394" s="10">
        <f t="shared" si="54"/>
        <v>128.34429654420001</v>
      </c>
      <c r="AS394" s="10">
        <f t="shared" si="55"/>
        <v>179.82755904960001</v>
      </c>
    </row>
    <row r="395" spans="1:45" x14ac:dyDescent="0.3">
      <c r="A395">
        <v>2025</v>
      </c>
      <c r="B395">
        <v>1</v>
      </c>
      <c r="C395" t="s">
        <v>55</v>
      </c>
      <c r="D395">
        <v>10</v>
      </c>
      <c r="E395" t="s">
        <v>36</v>
      </c>
      <c r="F395" t="s">
        <v>37</v>
      </c>
      <c r="G395" t="s">
        <v>38</v>
      </c>
      <c r="H395" t="s">
        <v>78</v>
      </c>
      <c r="I395" t="s">
        <v>57</v>
      </c>
      <c r="J395" t="s">
        <v>58</v>
      </c>
      <c r="K395" t="s">
        <v>59</v>
      </c>
      <c r="M395" t="s">
        <v>60</v>
      </c>
      <c r="N395" t="s">
        <v>61</v>
      </c>
      <c r="O395" t="s">
        <v>43</v>
      </c>
      <c r="Q395" t="s">
        <v>62</v>
      </c>
      <c r="R395" t="s">
        <v>63</v>
      </c>
      <c r="S395" t="s">
        <v>63</v>
      </c>
      <c r="T395" t="s">
        <v>47</v>
      </c>
      <c r="U395" t="s">
        <v>118</v>
      </c>
      <c r="V395" t="s">
        <v>49</v>
      </c>
      <c r="W395" t="s">
        <v>119</v>
      </c>
      <c r="X395" t="s">
        <v>51</v>
      </c>
      <c r="Y395" t="s">
        <v>81</v>
      </c>
      <c r="Z395" t="s">
        <v>81</v>
      </c>
      <c r="AA395" t="s">
        <v>392</v>
      </c>
      <c r="AB395" s="3">
        <f t="shared" si="48"/>
        <v>1.7299999999999927</v>
      </c>
      <c r="AC395">
        <v>110</v>
      </c>
      <c r="AD395" s="2">
        <v>63.583815028902002</v>
      </c>
      <c r="AE395" s="2">
        <v>23.68</v>
      </c>
      <c r="AF395" s="2">
        <v>0.77</v>
      </c>
      <c r="AG395" s="2">
        <v>134.44999999999999</v>
      </c>
      <c r="AH395">
        <v>0</v>
      </c>
      <c r="AI395">
        <v>77.716763005779995</v>
      </c>
      <c r="AJ395">
        <v>0.67225000000000001</v>
      </c>
      <c r="AK395" t="s">
        <v>54</v>
      </c>
      <c r="AL395">
        <v>1.1299999999999999</v>
      </c>
      <c r="AM395" s="4">
        <f t="shared" si="49"/>
        <v>77.716763005780663</v>
      </c>
      <c r="AN395" s="4">
        <f t="shared" si="50"/>
        <v>119.21965317919125</v>
      </c>
      <c r="AO395" s="4">
        <f t="shared" si="51"/>
        <v>132.45303468208149</v>
      </c>
      <c r="AP395" s="4">
        <f t="shared" si="52"/>
        <v>193.1239161849719</v>
      </c>
      <c r="AQ395" s="10">
        <f t="shared" si="53"/>
        <v>135.15722254335316</v>
      </c>
      <c r="AR395" s="10">
        <f t="shared" si="54"/>
        <v>150.17318996791968</v>
      </c>
      <c r="AS395" s="10">
        <f t="shared" si="55"/>
        <v>210.4127640554922</v>
      </c>
    </row>
    <row r="396" spans="1:45" x14ac:dyDescent="0.3">
      <c r="A396">
        <v>2025</v>
      </c>
      <c r="B396">
        <v>3</v>
      </c>
      <c r="C396" t="s">
        <v>55</v>
      </c>
      <c r="D396">
        <v>10</v>
      </c>
      <c r="E396" t="s">
        <v>36</v>
      </c>
      <c r="F396" t="s">
        <v>37</v>
      </c>
      <c r="G396" t="s">
        <v>38</v>
      </c>
      <c r="H396" t="s">
        <v>78</v>
      </c>
      <c r="I396" t="s">
        <v>190</v>
      </c>
      <c r="J396" t="s">
        <v>58</v>
      </c>
      <c r="K396" t="s">
        <v>59</v>
      </c>
      <c r="M396" t="s">
        <v>209</v>
      </c>
      <c r="N396" t="s">
        <v>61</v>
      </c>
      <c r="O396" t="s">
        <v>43</v>
      </c>
      <c r="Q396" t="s">
        <v>62</v>
      </c>
      <c r="R396" t="s">
        <v>210</v>
      </c>
      <c r="S396" t="s">
        <v>211</v>
      </c>
      <c r="T396" t="s">
        <v>47</v>
      </c>
      <c r="U396" t="s">
        <v>118</v>
      </c>
      <c r="V396" t="s">
        <v>49</v>
      </c>
      <c r="W396" t="s">
        <v>119</v>
      </c>
      <c r="X396" t="s">
        <v>51</v>
      </c>
      <c r="Y396" t="s">
        <v>133</v>
      </c>
      <c r="Z396" t="s">
        <v>64</v>
      </c>
      <c r="AA396" t="s">
        <v>135</v>
      </c>
      <c r="AB396" s="3">
        <f t="shared" si="48"/>
        <v>10</v>
      </c>
      <c r="AC396">
        <v>1136.43</v>
      </c>
      <c r="AD396" s="2">
        <v>113.643</v>
      </c>
      <c r="AE396" s="2">
        <v>273.04000000000002</v>
      </c>
      <c r="AF396" s="2">
        <v>7.85</v>
      </c>
      <c r="AG396" s="2">
        <v>1417.31</v>
      </c>
      <c r="AH396">
        <v>0</v>
      </c>
      <c r="AI396">
        <v>141.73099999999999</v>
      </c>
      <c r="AJ396">
        <v>7.0865499999999999</v>
      </c>
      <c r="AK396" t="s">
        <v>54</v>
      </c>
      <c r="AL396">
        <v>30.05</v>
      </c>
      <c r="AM396" s="4">
        <f t="shared" si="49"/>
        <v>141.73099999999999</v>
      </c>
      <c r="AN396" s="4">
        <f t="shared" si="50"/>
        <v>213.080625</v>
      </c>
      <c r="AO396" s="4">
        <f t="shared" si="51"/>
        <v>236.73257437499998</v>
      </c>
      <c r="AP396" s="4">
        <f t="shared" si="52"/>
        <v>345.16930443749999</v>
      </c>
      <c r="AQ396" s="10">
        <f t="shared" si="53"/>
        <v>246.4843821</v>
      </c>
      <c r="AR396" s="10">
        <f t="shared" si="54"/>
        <v>273.86879695131</v>
      </c>
      <c r="AS396" s="10">
        <f t="shared" si="55"/>
        <v>383.72688605328</v>
      </c>
    </row>
    <row r="397" spans="1:45" x14ac:dyDescent="0.3">
      <c r="A397">
        <v>2025</v>
      </c>
      <c r="B397">
        <v>3</v>
      </c>
      <c r="C397" t="s">
        <v>55</v>
      </c>
      <c r="D397">
        <v>10</v>
      </c>
      <c r="E397" t="s">
        <v>36</v>
      </c>
      <c r="F397" t="s">
        <v>37</v>
      </c>
      <c r="G397" t="s">
        <v>38</v>
      </c>
      <c r="H397" t="s">
        <v>78</v>
      </c>
      <c r="I397" t="s">
        <v>190</v>
      </c>
      <c r="J397" t="s">
        <v>58</v>
      </c>
      <c r="K397" t="s">
        <v>59</v>
      </c>
      <c r="M397" t="s">
        <v>213</v>
      </c>
      <c r="N397" t="s">
        <v>61</v>
      </c>
      <c r="O397" t="s">
        <v>43</v>
      </c>
      <c r="Q397" t="s">
        <v>62</v>
      </c>
      <c r="R397" t="s">
        <v>214</v>
      </c>
      <c r="S397" t="s">
        <v>215</v>
      </c>
      <c r="T397" t="s">
        <v>47</v>
      </c>
      <c r="U397" t="s">
        <v>118</v>
      </c>
      <c r="V397" t="s">
        <v>49</v>
      </c>
      <c r="W397" t="s">
        <v>119</v>
      </c>
      <c r="X397" t="s">
        <v>51</v>
      </c>
      <c r="Y397" t="s">
        <v>133</v>
      </c>
      <c r="Z397" t="s">
        <v>64</v>
      </c>
      <c r="AA397" t="s">
        <v>135</v>
      </c>
      <c r="AB397" s="3">
        <f t="shared" si="48"/>
        <v>14.999999999999554</v>
      </c>
      <c r="AC397">
        <v>1683.46</v>
      </c>
      <c r="AD397" s="2">
        <v>112.23066666667</v>
      </c>
      <c r="AE397" s="2">
        <v>376.03</v>
      </c>
      <c r="AF397" s="2">
        <v>12.33</v>
      </c>
      <c r="AG397" s="2">
        <v>2071.8200000000002</v>
      </c>
      <c r="AH397">
        <v>0</v>
      </c>
      <c r="AI397">
        <v>138.12133333333</v>
      </c>
      <c r="AJ397">
        <v>10.3591</v>
      </c>
      <c r="AK397" t="s">
        <v>54</v>
      </c>
      <c r="AL397">
        <v>33.03</v>
      </c>
      <c r="AM397" s="4">
        <f t="shared" si="49"/>
        <v>138.12133333333745</v>
      </c>
      <c r="AN397" s="4">
        <f t="shared" si="50"/>
        <v>210.43250000000626</v>
      </c>
      <c r="AO397" s="4">
        <f t="shared" si="51"/>
        <v>233.79050750000695</v>
      </c>
      <c r="AP397" s="4">
        <f t="shared" si="52"/>
        <v>340.87960675001011</v>
      </c>
      <c r="AQ397" s="10">
        <f t="shared" si="53"/>
        <v>240.20681080000716</v>
      </c>
      <c r="AR397" s="10">
        <f t="shared" si="54"/>
        <v>266.89378747988798</v>
      </c>
      <c r="AS397" s="10">
        <f t="shared" si="55"/>
        <v>373.95396305345116</v>
      </c>
    </row>
    <row r="398" spans="1:45" x14ac:dyDescent="0.3">
      <c r="A398">
        <v>2025</v>
      </c>
      <c r="B398">
        <v>3</v>
      </c>
      <c r="C398" t="s">
        <v>55</v>
      </c>
      <c r="D398">
        <v>10</v>
      </c>
      <c r="E398" t="s">
        <v>36</v>
      </c>
      <c r="F398" t="s">
        <v>37</v>
      </c>
      <c r="G398" t="s">
        <v>38</v>
      </c>
      <c r="H398" t="s">
        <v>78</v>
      </c>
      <c r="I398" t="s">
        <v>190</v>
      </c>
      <c r="J398" t="s">
        <v>58</v>
      </c>
      <c r="K398" t="s">
        <v>59</v>
      </c>
      <c r="M398" t="s">
        <v>213</v>
      </c>
      <c r="N398" t="s">
        <v>61</v>
      </c>
      <c r="O398" t="s">
        <v>43</v>
      </c>
      <c r="Q398" t="s">
        <v>62</v>
      </c>
      <c r="R398" t="s">
        <v>214</v>
      </c>
      <c r="S398" t="s">
        <v>215</v>
      </c>
      <c r="T398" t="s">
        <v>47</v>
      </c>
      <c r="U398" t="s">
        <v>118</v>
      </c>
      <c r="V398" t="s">
        <v>49</v>
      </c>
      <c r="W398" t="s">
        <v>119</v>
      </c>
      <c r="X398" t="s">
        <v>51</v>
      </c>
      <c r="Y398" t="s">
        <v>133</v>
      </c>
      <c r="Z398" t="s">
        <v>64</v>
      </c>
      <c r="AA398" t="s">
        <v>135</v>
      </c>
      <c r="AB398" s="3">
        <f t="shared" si="48"/>
        <v>1</v>
      </c>
      <c r="AC398">
        <v>98.88</v>
      </c>
      <c r="AD398" s="2">
        <v>98.88</v>
      </c>
      <c r="AE398" s="2">
        <v>20.75</v>
      </c>
      <c r="AF398" s="2">
        <v>0.73</v>
      </c>
      <c r="AG398" s="2">
        <v>120.36</v>
      </c>
      <c r="AH398">
        <v>0</v>
      </c>
      <c r="AI398">
        <v>120.36</v>
      </c>
      <c r="AJ398">
        <v>0.6018</v>
      </c>
      <c r="AK398" t="s">
        <v>54</v>
      </c>
      <c r="AL398">
        <v>1.94</v>
      </c>
      <c r="AM398" s="4">
        <f t="shared" si="49"/>
        <v>120.36</v>
      </c>
      <c r="AN398" s="4">
        <f t="shared" si="50"/>
        <v>185.39999999999998</v>
      </c>
      <c r="AO398" s="4">
        <f t="shared" si="51"/>
        <v>205.97939999999997</v>
      </c>
      <c r="AP398" s="4">
        <f t="shared" si="52"/>
        <v>300.32945999999993</v>
      </c>
      <c r="AQ398" s="10">
        <f t="shared" si="53"/>
        <v>209.31807600000002</v>
      </c>
      <c r="AR398" s="10">
        <f t="shared" si="54"/>
        <v>232.57331424360001</v>
      </c>
      <c r="AS398" s="10">
        <f t="shared" si="55"/>
        <v>325.86638071679999</v>
      </c>
    </row>
    <row r="399" spans="1:45" x14ac:dyDescent="0.3">
      <c r="A399">
        <v>2025</v>
      </c>
      <c r="B399">
        <v>4</v>
      </c>
      <c r="C399" t="s">
        <v>55</v>
      </c>
      <c r="D399">
        <v>10</v>
      </c>
      <c r="E399" t="s">
        <v>36</v>
      </c>
      <c r="F399" t="s">
        <v>37</v>
      </c>
      <c r="G399" t="s">
        <v>38</v>
      </c>
      <c r="H399" t="s">
        <v>78</v>
      </c>
      <c r="I399" t="s">
        <v>375</v>
      </c>
      <c r="J399" t="s">
        <v>376</v>
      </c>
      <c r="K399" t="s">
        <v>59</v>
      </c>
      <c r="M399">
        <v>2503061</v>
      </c>
      <c r="N399" t="s">
        <v>377</v>
      </c>
      <c r="O399" t="s">
        <v>36</v>
      </c>
      <c r="Q399" t="s">
        <v>62</v>
      </c>
      <c r="R399" t="s">
        <v>378</v>
      </c>
      <c r="S399" t="s">
        <v>378</v>
      </c>
      <c r="T399" t="s">
        <v>47</v>
      </c>
      <c r="U399" t="s">
        <v>118</v>
      </c>
      <c r="V399" t="s">
        <v>49</v>
      </c>
      <c r="W399" t="s">
        <v>119</v>
      </c>
      <c r="X399" t="s">
        <v>51</v>
      </c>
      <c r="Y399" t="s">
        <v>133</v>
      </c>
      <c r="Z399" t="s">
        <v>64</v>
      </c>
      <c r="AA399" t="s">
        <v>135</v>
      </c>
      <c r="AB399" s="3">
        <f t="shared" si="48"/>
        <v>8.9999999999999893</v>
      </c>
      <c r="AC399">
        <v>889.91</v>
      </c>
      <c r="AD399" s="2">
        <v>98.878888888888994</v>
      </c>
      <c r="AE399" s="2">
        <v>186.75</v>
      </c>
      <c r="AF399" s="2">
        <v>6.59</v>
      </c>
      <c r="AG399" s="2">
        <v>1083.25</v>
      </c>
      <c r="AH399">
        <v>0</v>
      </c>
      <c r="AI399">
        <v>120.36111111111001</v>
      </c>
      <c r="AJ399">
        <v>5.4162499999999998</v>
      </c>
      <c r="AK399" t="s">
        <v>54</v>
      </c>
      <c r="AL399">
        <v>17.5</v>
      </c>
      <c r="AM399" s="4">
        <f t="shared" si="49"/>
        <v>120.36111111111126</v>
      </c>
      <c r="AN399" s="4">
        <f t="shared" si="50"/>
        <v>185.39791666666687</v>
      </c>
      <c r="AO399" s="4">
        <f t="shared" si="51"/>
        <v>205.97708541666688</v>
      </c>
      <c r="AP399" s="4">
        <f t="shared" si="52"/>
        <v>300.32608520833367</v>
      </c>
      <c r="AQ399" s="10">
        <f t="shared" si="53"/>
        <v>209.32000833333359</v>
      </c>
      <c r="AR399" s="10">
        <f t="shared" si="54"/>
        <v>232.57546125916696</v>
      </c>
      <c r="AS399" s="10">
        <f t="shared" si="55"/>
        <v>325.86938897333374</v>
      </c>
    </row>
    <row r="400" spans="1:45" x14ac:dyDescent="0.3">
      <c r="A400">
        <v>2025</v>
      </c>
      <c r="B400">
        <v>4</v>
      </c>
      <c r="C400" t="s">
        <v>55</v>
      </c>
      <c r="D400">
        <v>10</v>
      </c>
      <c r="E400" t="s">
        <v>36</v>
      </c>
      <c r="F400" t="s">
        <v>37</v>
      </c>
      <c r="G400" t="s">
        <v>38</v>
      </c>
      <c r="H400" t="s">
        <v>78</v>
      </c>
      <c r="I400" t="s">
        <v>375</v>
      </c>
      <c r="J400" t="s">
        <v>376</v>
      </c>
      <c r="K400" t="s">
        <v>59</v>
      </c>
      <c r="M400">
        <v>2503061</v>
      </c>
      <c r="N400" t="s">
        <v>377</v>
      </c>
      <c r="O400" t="s">
        <v>36</v>
      </c>
      <c r="Q400" t="s">
        <v>62</v>
      </c>
      <c r="R400" t="s">
        <v>378</v>
      </c>
      <c r="S400" t="s">
        <v>378</v>
      </c>
      <c r="T400" t="s">
        <v>47</v>
      </c>
      <c r="U400" t="s">
        <v>118</v>
      </c>
      <c r="V400" t="s">
        <v>49</v>
      </c>
      <c r="W400" t="s">
        <v>119</v>
      </c>
      <c r="X400" t="s">
        <v>51</v>
      </c>
      <c r="Y400" t="s">
        <v>133</v>
      </c>
      <c r="Z400" t="s">
        <v>133</v>
      </c>
      <c r="AA400" t="s">
        <v>135</v>
      </c>
      <c r="AB400" s="3">
        <f t="shared" si="48"/>
        <v>4</v>
      </c>
      <c r="AC400">
        <v>445.26</v>
      </c>
      <c r="AD400" s="2">
        <v>111.315</v>
      </c>
      <c r="AE400" s="2">
        <v>60.35</v>
      </c>
      <c r="AF400" s="2">
        <v>3.13</v>
      </c>
      <c r="AG400" s="2">
        <v>508.74</v>
      </c>
      <c r="AH400">
        <v>0</v>
      </c>
      <c r="AI400">
        <v>127.185</v>
      </c>
      <c r="AJ400">
        <v>2.5436999999999999</v>
      </c>
      <c r="AK400" t="s">
        <v>54</v>
      </c>
      <c r="AL400">
        <v>2.88</v>
      </c>
      <c r="AM400" s="4">
        <f t="shared" si="49"/>
        <v>127.185</v>
      </c>
      <c r="AN400" s="4">
        <f t="shared" si="50"/>
        <v>208.71562499999999</v>
      </c>
      <c r="AO400" s="4">
        <f t="shared" si="51"/>
        <v>231.88305937499999</v>
      </c>
      <c r="AP400" s="4">
        <f t="shared" si="52"/>
        <v>338.09844093749996</v>
      </c>
      <c r="AQ400" s="10">
        <f t="shared" si="53"/>
        <v>221.18743350000003</v>
      </c>
      <c r="AR400" s="10">
        <f t="shared" si="54"/>
        <v>245.76135736185003</v>
      </c>
      <c r="AS400" s="10">
        <f t="shared" si="55"/>
        <v>344.34459647280005</v>
      </c>
    </row>
    <row r="401" spans="1:45" x14ac:dyDescent="0.3">
      <c r="A401">
        <v>2025</v>
      </c>
      <c r="B401">
        <v>4</v>
      </c>
      <c r="C401" t="s">
        <v>55</v>
      </c>
      <c r="D401">
        <v>10</v>
      </c>
      <c r="E401" t="s">
        <v>36</v>
      </c>
      <c r="F401" t="s">
        <v>37</v>
      </c>
      <c r="G401" t="s">
        <v>38</v>
      </c>
      <c r="H401" t="s">
        <v>78</v>
      </c>
      <c r="I401" t="s">
        <v>375</v>
      </c>
      <c r="J401" t="s">
        <v>376</v>
      </c>
      <c r="K401" t="s">
        <v>59</v>
      </c>
      <c r="M401">
        <v>2503061</v>
      </c>
      <c r="N401" t="s">
        <v>377</v>
      </c>
      <c r="O401" t="s">
        <v>36</v>
      </c>
      <c r="Q401" t="s">
        <v>62</v>
      </c>
      <c r="R401" t="s">
        <v>378</v>
      </c>
      <c r="S401" t="s">
        <v>378</v>
      </c>
      <c r="T401" t="s">
        <v>47</v>
      </c>
      <c r="U401" t="s">
        <v>118</v>
      </c>
      <c r="V401" t="s">
        <v>49</v>
      </c>
      <c r="W401" t="s">
        <v>119</v>
      </c>
      <c r="X401" t="s">
        <v>51</v>
      </c>
      <c r="Y401" t="s">
        <v>133</v>
      </c>
      <c r="Z401" t="s">
        <v>133</v>
      </c>
      <c r="AA401" t="s">
        <v>135</v>
      </c>
      <c r="AB401" s="3">
        <f t="shared" si="48"/>
        <v>6</v>
      </c>
      <c r="AC401">
        <v>667.89</v>
      </c>
      <c r="AD401" s="2">
        <v>111.315</v>
      </c>
      <c r="AE401" s="2">
        <v>90.52</v>
      </c>
      <c r="AF401" s="2">
        <v>4.7</v>
      </c>
      <c r="AG401" s="2">
        <v>763.11</v>
      </c>
      <c r="AH401">
        <v>0</v>
      </c>
      <c r="AI401">
        <v>127.185</v>
      </c>
      <c r="AJ401">
        <v>3.81555</v>
      </c>
      <c r="AK401" t="s">
        <v>54</v>
      </c>
      <c r="AL401">
        <v>4.32</v>
      </c>
      <c r="AM401" s="4">
        <f t="shared" si="49"/>
        <v>127.185</v>
      </c>
      <c r="AN401" s="4">
        <f t="shared" si="50"/>
        <v>208.71562499999999</v>
      </c>
      <c r="AO401" s="4">
        <f t="shared" si="51"/>
        <v>231.88305937499999</v>
      </c>
      <c r="AP401" s="4">
        <f t="shared" si="52"/>
        <v>338.09844093749996</v>
      </c>
      <c r="AQ401" s="10">
        <f t="shared" si="53"/>
        <v>221.18743350000003</v>
      </c>
      <c r="AR401" s="10">
        <f t="shared" si="54"/>
        <v>245.76135736185003</v>
      </c>
      <c r="AS401" s="10">
        <f t="shared" si="55"/>
        <v>344.34459647280005</v>
      </c>
    </row>
    <row r="402" spans="1:45" x14ac:dyDescent="0.3">
      <c r="A402">
        <v>2025</v>
      </c>
      <c r="B402">
        <v>8</v>
      </c>
      <c r="C402" t="s">
        <v>55</v>
      </c>
      <c r="D402">
        <v>10</v>
      </c>
      <c r="E402" t="s">
        <v>36</v>
      </c>
      <c r="F402" t="s">
        <v>37</v>
      </c>
      <c r="G402" t="s">
        <v>38</v>
      </c>
      <c r="H402" t="s">
        <v>78</v>
      </c>
      <c r="I402" t="s">
        <v>190</v>
      </c>
      <c r="J402" t="s">
        <v>58</v>
      </c>
      <c r="K402" t="s">
        <v>59</v>
      </c>
      <c r="L402" t="s">
        <v>1194</v>
      </c>
      <c r="M402" t="s">
        <v>1195</v>
      </c>
      <c r="N402" t="s">
        <v>1196</v>
      </c>
      <c r="O402" t="s">
        <v>1197</v>
      </c>
      <c r="Q402" t="s">
        <v>62</v>
      </c>
      <c r="R402" t="s">
        <v>1198</v>
      </c>
      <c r="S402" t="s">
        <v>1198</v>
      </c>
      <c r="T402" t="s">
        <v>47</v>
      </c>
      <c r="U402" t="s">
        <v>118</v>
      </c>
      <c r="V402" t="s">
        <v>49</v>
      </c>
      <c r="W402" t="s">
        <v>714</v>
      </c>
      <c r="X402" t="s">
        <v>388</v>
      </c>
      <c r="Y402" t="s">
        <v>483</v>
      </c>
      <c r="Z402" t="s">
        <v>483</v>
      </c>
      <c r="AA402" t="s">
        <v>135</v>
      </c>
      <c r="AB402" s="3">
        <f t="shared" si="48"/>
        <v>5</v>
      </c>
      <c r="AC402">
        <v>562.14</v>
      </c>
      <c r="AD402" s="2">
        <v>112.428</v>
      </c>
      <c r="AE402" s="2">
        <v>117.97</v>
      </c>
      <c r="AF402" s="2">
        <v>3.93</v>
      </c>
      <c r="AG402" s="2">
        <v>684.04</v>
      </c>
      <c r="AH402">
        <v>0</v>
      </c>
      <c r="AI402">
        <v>136.80799999999999</v>
      </c>
      <c r="AJ402">
        <v>3.4201999999999999</v>
      </c>
      <c r="AK402" t="s">
        <v>54</v>
      </c>
      <c r="AL402">
        <v>5.63</v>
      </c>
      <c r="AM402" s="4">
        <f t="shared" si="49"/>
        <v>136.80799999999999</v>
      </c>
      <c r="AN402" s="4">
        <f t="shared" si="50"/>
        <v>210.80250000000001</v>
      </c>
      <c r="AO402" s="4">
        <f t="shared" si="51"/>
        <v>234.20157750000001</v>
      </c>
      <c r="AP402" s="4">
        <f t="shared" si="52"/>
        <v>341.47896974999998</v>
      </c>
      <c r="AQ402" s="10">
        <f t="shared" si="53"/>
        <v>237.9227928</v>
      </c>
      <c r="AR402" s="10">
        <f t="shared" si="54"/>
        <v>264.35601508008</v>
      </c>
      <c r="AS402" s="10">
        <f t="shared" si="55"/>
        <v>370.39820383104001</v>
      </c>
    </row>
    <row r="403" spans="1:45" x14ac:dyDescent="0.3">
      <c r="A403">
        <v>2025</v>
      </c>
      <c r="B403">
        <v>11</v>
      </c>
      <c r="C403" t="s">
        <v>55</v>
      </c>
      <c r="D403">
        <v>10</v>
      </c>
      <c r="E403" t="s">
        <v>36</v>
      </c>
      <c r="F403" t="s">
        <v>37</v>
      </c>
      <c r="G403" t="s">
        <v>38</v>
      </c>
      <c r="H403" t="s">
        <v>78</v>
      </c>
      <c r="I403" t="s">
        <v>375</v>
      </c>
      <c r="J403" t="s">
        <v>376</v>
      </c>
      <c r="K403" t="s">
        <v>59</v>
      </c>
      <c r="L403" t="s">
        <v>1647</v>
      </c>
      <c r="M403" t="s">
        <v>1633</v>
      </c>
      <c r="N403" t="s">
        <v>1485</v>
      </c>
      <c r="O403" t="s">
        <v>1197</v>
      </c>
      <c r="Q403" t="s">
        <v>62</v>
      </c>
      <c r="R403" t="s">
        <v>1648</v>
      </c>
      <c r="S403" t="s">
        <v>1648</v>
      </c>
      <c r="T403" t="s">
        <v>47</v>
      </c>
      <c r="U403" t="s">
        <v>118</v>
      </c>
      <c r="V403" t="s">
        <v>49</v>
      </c>
      <c r="W403" t="s">
        <v>714</v>
      </c>
      <c r="X403" t="s">
        <v>51</v>
      </c>
      <c r="Y403" t="s">
        <v>1086</v>
      </c>
      <c r="Z403" t="s">
        <v>1086</v>
      </c>
      <c r="AA403" t="s">
        <v>135</v>
      </c>
      <c r="AB403" s="3">
        <f t="shared" si="48"/>
        <v>11.999999999999959</v>
      </c>
      <c r="AC403">
        <v>1180.6099999999999</v>
      </c>
      <c r="AD403" s="2">
        <v>98.384166666666999</v>
      </c>
      <c r="AE403" s="2">
        <v>84.61</v>
      </c>
      <c r="AF403" s="2">
        <v>7.64</v>
      </c>
      <c r="AG403" s="2">
        <v>1272.8599999999999</v>
      </c>
      <c r="AH403">
        <v>0</v>
      </c>
      <c r="AI403">
        <v>106.07166666667</v>
      </c>
      <c r="AJ403">
        <v>6.3643000000000001</v>
      </c>
      <c r="AK403" t="s">
        <v>54</v>
      </c>
      <c r="AL403">
        <v>9.94</v>
      </c>
      <c r="AM403" s="4">
        <f t="shared" si="49"/>
        <v>106.07166666666701</v>
      </c>
      <c r="AN403" s="4">
        <f t="shared" si="50"/>
        <v>184.47031250000063</v>
      </c>
      <c r="AO403" s="4">
        <f t="shared" si="51"/>
        <v>204.94651718750069</v>
      </c>
      <c r="AP403" s="4">
        <f t="shared" si="52"/>
        <v>298.823459218751</v>
      </c>
      <c r="AQ403" s="10">
        <f t="shared" si="53"/>
        <v>184.46923550000062</v>
      </c>
      <c r="AR403" s="10">
        <f t="shared" si="54"/>
        <v>204.9637675640507</v>
      </c>
      <c r="AS403" s="10">
        <f t="shared" si="55"/>
        <v>287.18170582640096</v>
      </c>
    </row>
    <row r="404" spans="1:45" x14ac:dyDescent="0.3">
      <c r="A404">
        <v>2025</v>
      </c>
      <c r="B404">
        <v>12</v>
      </c>
      <c r="C404" t="s">
        <v>55</v>
      </c>
      <c r="D404">
        <v>10</v>
      </c>
      <c r="E404" t="s">
        <v>36</v>
      </c>
      <c r="F404" t="s">
        <v>37</v>
      </c>
      <c r="G404" t="s">
        <v>38</v>
      </c>
      <c r="H404" t="s">
        <v>78</v>
      </c>
      <c r="I404" t="s">
        <v>57</v>
      </c>
      <c r="J404" t="s">
        <v>58</v>
      </c>
      <c r="K404" t="s">
        <v>59</v>
      </c>
      <c r="L404" t="s">
        <v>1769</v>
      </c>
      <c r="M404" t="s">
        <v>1770</v>
      </c>
      <c r="N404" t="s">
        <v>1771</v>
      </c>
      <c r="O404" t="s">
        <v>1197</v>
      </c>
      <c r="Q404" t="s">
        <v>62</v>
      </c>
      <c r="R404" t="s">
        <v>1772</v>
      </c>
      <c r="S404" t="s">
        <v>1772</v>
      </c>
      <c r="T404" t="s">
        <v>47</v>
      </c>
      <c r="U404" t="s">
        <v>118</v>
      </c>
      <c r="V404" t="s">
        <v>49</v>
      </c>
      <c r="W404" t="s">
        <v>714</v>
      </c>
      <c r="X404" t="s">
        <v>51</v>
      </c>
      <c r="Y404" t="s">
        <v>1086</v>
      </c>
      <c r="Z404" t="s">
        <v>1086</v>
      </c>
      <c r="AA404" t="s">
        <v>135</v>
      </c>
      <c r="AB404" s="3">
        <f t="shared" si="48"/>
        <v>15.00000000000005</v>
      </c>
      <c r="AC404">
        <v>1493.18</v>
      </c>
      <c r="AD404" s="2">
        <v>99.545333333333005</v>
      </c>
      <c r="AE404" s="2">
        <v>498.4</v>
      </c>
      <c r="AF404" s="2">
        <v>11.74</v>
      </c>
      <c r="AG404" s="2">
        <v>2003.31</v>
      </c>
      <c r="AH404">
        <v>0</v>
      </c>
      <c r="AI404">
        <v>133.554</v>
      </c>
      <c r="AJ404">
        <v>10.016550000000001</v>
      </c>
      <c r="AK404" t="s">
        <v>54</v>
      </c>
      <c r="AL404">
        <v>12.82</v>
      </c>
      <c r="AM404" s="4">
        <f t="shared" si="49"/>
        <v>133.55399999999955</v>
      </c>
      <c r="AN404" s="4">
        <f t="shared" si="50"/>
        <v>186.64749999999938</v>
      </c>
      <c r="AO404" s="4">
        <f t="shared" si="51"/>
        <v>207.36537249999932</v>
      </c>
      <c r="AP404" s="4">
        <f t="shared" si="52"/>
        <v>302.35028524999899</v>
      </c>
      <c r="AQ404" s="10">
        <f t="shared" si="53"/>
        <v>232.26376139999923</v>
      </c>
      <c r="AR404" s="10">
        <f t="shared" si="54"/>
        <v>258.06826529153915</v>
      </c>
      <c r="AS404" s="10">
        <f t="shared" si="55"/>
        <v>361.58822374751878</v>
      </c>
    </row>
    <row r="405" spans="1:45" x14ac:dyDescent="0.3">
      <c r="A405">
        <v>2025</v>
      </c>
      <c r="B405">
        <v>10</v>
      </c>
      <c r="C405" t="s">
        <v>55</v>
      </c>
      <c r="D405">
        <v>10</v>
      </c>
      <c r="E405" t="s">
        <v>36</v>
      </c>
      <c r="F405" t="s">
        <v>37</v>
      </c>
      <c r="G405" t="s">
        <v>38</v>
      </c>
      <c r="H405" t="s">
        <v>141</v>
      </c>
      <c r="I405" t="s">
        <v>375</v>
      </c>
      <c r="J405" t="s">
        <v>376</v>
      </c>
      <c r="K405" t="s">
        <v>59</v>
      </c>
      <c r="L405" t="s">
        <v>1549</v>
      </c>
      <c r="M405" t="s">
        <v>1550</v>
      </c>
      <c r="N405" t="s">
        <v>1551</v>
      </c>
      <c r="O405" t="s">
        <v>1197</v>
      </c>
      <c r="Q405" t="s">
        <v>62</v>
      </c>
      <c r="R405" t="s">
        <v>1552</v>
      </c>
      <c r="S405" t="s">
        <v>1552</v>
      </c>
      <c r="T405" t="s">
        <v>47</v>
      </c>
      <c r="U405" t="s">
        <v>167</v>
      </c>
      <c r="V405" t="s">
        <v>49</v>
      </c>
      <c r="W405" t="s">
        <v>168</v>
      </c>
      <c r="X405" t="s">
        <v>51</v>
      </c>
      <c r="Y405" t="s">
        <v>1086</v>
      </c>
      <c r="Z405" t="s">
        <v>1086</v>
      </c>
      <c r="AA405" t="s">
        <v>135</v>
      </c>
      <c r="AB405" s="3">
        <f t="shared" si="48"/>
        <v>14.99999999999995</v>
      </c>
      <c r="AC405">
        <v>1487.44</v>
      </c>
      <c r="AD405" s="2">
        <v>99.162666666666993</v>
      </c>
      <c r="AE405" s="2">
        <v>441.57</v>
      </c>
      <c r="AF405" s="2">
        <v>11.17</v>
      </c>
      <c r="AG405" s="2">
        <v>1940.17</v>
      </c>
      <c r="AH405">
        <v>0</v>
      </c>
      <c r="AI405">
        <v>129.34466666667001</v>
      </c>
      <c r="AJ405">
        <v>9.7008500000000009</v>
      </c>
      <c r="AK405" t="s">
        <v>54</v>
      </c>
      <c r="AL405">
        <v>11.5</v>
      </c>
      <c r="AM405" s="4">
        <f t="shared" si="49"/>
        <v>129.34466666666711</v>
      </c>
      <c r="AN405" s="4">
        <f t="shared" si="50"/>
        <v>185.9300000000006</v>
      </c>
      <c r="AO405" s="4">
        <f t="shared" si="51"/>
        <v>206.56823000000068</v>
      </c>
      <c r="AP405" s="4">
        <f t="shared" si="52"/>
        <v>301.18800700000094</v>
      </c>
      <c r="AQ405" s="10">
        <f t="shared" si="53"/>
        <v>224.94330980000078</v>
      </c>
      <c r="AR405" s="10">
        <f t="shared" si="54"/>
        <v>249.93451151878085</v>
      </c>
      <c r="AS405" s="10">
        <f t="shared" si="55"/>
        <v>350.19174469664119</v>
      </c>
    </row>
    <row r="406" spans="1:45" x14ac:dyDescent="0.3">
      <c r="A406">
        <v>2025</v>
      </c>
      <c r="B406">
        <v>4</v>
      </c>
      <c r="C406" t="s">
        <v>55</v>
      </c>
      <c r="D406">
        <v>10</v>
      </c>
      <c r="E406" t="s">
        <v>36</v>
      </c>
      <c r="F406" t="s">
        <v>37</v>
      </c>
      <c r="G406" t="s">
        <v>38</v>
      </c>
      <c r="H406" t="s">
        <v>622</v>
      </c>
      <c r="I406" t="s">
        <v>375</v>
      </c>
      <c r="J406" t="s">
        <v>376</v>
      </c>
      <c r="K406" t="s">
        <v>59</v>
      </c>
      <c r="M406">
        <v>2503061</v>
      </c>
      <c r="N406" t="s">
        <v>377</v>
      </c>
      <c r="O406" t="s">
        <v>36</v>
      </c>
      <c r="Q406" t="s">
        <v>62</v>
      </c>
      <c r="R406" t="s">
        <v>378</v>
      </c>
      <c r="S406" t="s">
        <v>378</v>
      </c>
      <c r="T406" t="s">
        <v>47</v>
      </c>
      <c r="U406" t="s">
        <v>623</v>
      </c>
      <c r="V406" t="s">
        <v>49</v>
      </c>
      <c r="W406" t="s">
        <v>360</v>
      </c>
      <c r="X406" t="s">
        <v>51</v>
      </c>
      <c r="Y406" t="s">
        <v>1602</v>
      </c>
      <c r="Z406" t="s">
        <v>1602</v>
      </c>
      <c r="AA406" t="s">
        <v>1603</v>
      </c>
      <c r="AB406" s="3">
        <f t="shared" si="48"/>
        <v>1</v>
      </c>
      <c r="AC406">
        <v>46.82</v>
      </c>
      <c r="AD406" s="2">
        <v>46.82</v>
      </c>
      <c r="AE406" s="2">
        <v>21.4</v>
      </c>
      <c r="AF406" s="2">
        <v>0.42</v>
      </c>
      <c r="AG406" s="2">
        <v>68.63</v>
      </c>
      <c r="AH406">
        <v>0</v>
      </c>
      <c r="AI406">
        <v>68.63</v>
      </c>
      <c r="AJ406">
        <v>0.34315000000000001</v>
      </c>
      <c r="AK406" t="s">
        <v>54</v>
      </c>
      <c r="AL406">
        <v>0.97</v>
      </c>
      <c r="AM406" s="4">
        <f t="shared" si="49"/>
        <v>68.63</v>
      </c>
      <c r="AN406" s="4">
        <f t="shared" si="50"/>
        <v>87.787499999999994</v>
      </c>
      <c r="AO406" s="4">
        <f t="shared" si="51"/>
        <v>97.53191249999999</v>
      </c>
      <c r="AP406" s="4">
        <f t="shared" si="52"/>
        <v>142.20697124999998</v>
      </c>
      <c r="AQ406" s="10">
        <f t="shared" si="53"/>
        <v>119.354433</v>
      </c>
      <c r="AR406" s="10">
        <f t="shared" si="54"/>
        <v>132.61471050629999</v>
      </c>
      <c r="AS406" s="10">
        <f t="shared" si="55"/>
        <v>185.81098129439999</v>
      </c>
    </row>
    <row r="407" spans="1:45" x14ac:dyDescent="0.3">
      <c r="A407">
        <v>2025</v>
      </c>
      <c r="B407">
        <v>4</v>
      </c>
      <c r="C407" t="s">
        <v>55</v>
      </c>
      <c r="D407">
        <v>10</v>
      </c>
      <c r="E407" t="s">
        <v>36</v>
      </c>
      <c r="F407" t="s">
        <v>37</v>
      </c>
      <c r="G407" t="s">
        <v>38</v>
      </c>
      <c r="H407" t="s">
        <v>622</v>
      </c>
      <c r="I407" t="s">
        <v>375</v>
      </c>
      <c r="J407" t="s">
        <v>376</v>
      </c>
      <c r="K407" t="s">
        <v>59</v>
      </c>
      <c r="M407">
        <v>2503061</v>
      </c>
      <c r="N407" t="s">
        <v>377</v>
      </c>
      <c r="O407" t="s">
        <v>36</v>
      </c>
      <c r="Q407" t="s">
        <v>62</v>
      </c>
      <c r="R407" t="s">
        <v>378</v>
      </c>
      <c r="S407" t="s">
        <v>378</v>
      </c>
      <c r="T407" t="s">
        <v>47</v>
      </c>
      <c r="U407" t="s">
        <v>623</v>
      </c>
      <c r="V407" t="s">
        <v>49</v>
      </c>
      <c r="W407" t="s">
        <v>360</v>
      </c>
      <c r="X407" t="s">
        <v>51</v>
      </c>
      <c r="Y407" t="s">
        <v>624</v>
      </c>
      <c r="Z407" t="s">
        <v>624</v>
      </c>
      <c r="AA407" t="s">
        <v>625</v>
      </c>
      <c r="AB407" s="3">
        <f t="shared" si="48"/>
        <v>2</v>
      </c>
      <c r="AC407">
        <v>573.80999999999995</v>
      </c>
      <c r="AD407" s="2">
        <v>286.90499999999997</v>
      </c>
      <c r="AE407" s="2">
        <v>47.15</v>
      </c>
      <c r="AF407" s="2">
        <v>4.08</v>
      </c>
      <c r="AG407" s="2">
        <v>625.04</v>
      </c>
      <c r="AH407">
        <v>0</v>
      </c>
      <c r="AI407">
        <v>312.52</v>
      </c>
      <c r="AJ407">
        <v>3.1252</v>
      </c>
      <c r="AK407" t="s">
        <v>54</v>
      </c>
      <c r="AL407">
        <v>2.25</v>
      </c>
      <c r="AM407" s="4">
        <f t="shared" si="49"/>
        <v>312.52</v>
      </c>
      <c r="AN407" s="4">
        <f t="shared" si="50"/>
        <v>537.94687499999998</v>
      </c>
      <c r="AO407" s="4">
        <f t="shared" si="51"/>
        <v>597.65897812499998</v>
      </c>
      <c r="AP407" s="4">
        <f t="shared" si="52"/>
        <v>871.42014281249988</v>
      </c>
      <c r="AQ407" s="10">
        <f t="shared" si="53"/>
        <v>543.50353199999995</v>
      </c>
      <c r="AR407" s="10">
        <f t="shared" si="54"/>
        <v>603.88677440519996</v>
      </c>
      <c r="AS407" s="10">
        <f t="shared" si="55"/>
        <v>846.1262986175999</v>
      </c>
    </row>
    <row r="408" spans="1:45" x14ac:dyDescent="0.3">
      <c r="A408">
        <v>2025</v>
      </c>
      <c r="B408">
        <v>12</v>
      </c>
      <c r="C408" t="s">
        <v>55</v>
      </c>
      <c r="D408">
        <v>10</v>
      </c>
      <c r="E408" t="s">
        <v>36</v>
      </c>
      <c r="F408" t="s">
        <v>37</v>
      </c>
      <c r="G408" t="s">
        <v>38</v>
      </c>
      <c r="H408" t="s">
        <v>141</v>
      </c>
      <c r="I408" t="s">
        <v>57</v>
      </c>
      <c r="J408" t="s">
        <v>58</v>
      </c>
      <c r="K408" t="s">
        <v>59</v>
      </c>
      <c r="L408" t="s">
        <v>1769</v>
      </c>
      <c r="M408" t="s">
        <v>1770</v>
      </c>
      <c r="N408" t="s">
        <v>1771</v>
      </c>
      <c r="O408" t="s">
        <v>1197</v>
      </c>
      <c r="Q408" t="s">
        <v>62</v>
      </c>
      <c r="R408" t="s">
        <v>1772</v>
      </c>
      <c r="S408" t="s">
        <v>1772</v>
      </c>
      <c r="T408" t="s">
        <v>47</v>
      </c>
      <c r="U408" t="s">
        <v>167</v>
      </c>
      <c r="V408" t="s">
        <v>49</v>
      </c>
      <c r="W408" t="s">
        <v>168</v>
      </c>
      <c r="X408" t="s">
        <v>51</v>
      </c>
      <c r="Y408" t="s">
        <v>626</v>
      </c>
      <c r="Z408" t="s">
        <v>626</v>
      </c>
      <c r="AA408" t="s">
        <v>627</v>
      </c>
      <c r="AB408" s="3">
        <f t="shared" si="48"/>
        <v>2</v>
      </c>
      <c r="AC408">
        <v>789.15</v>
      </c>
      <c r="AD408" s="2">
        <v>394.57499999999999</v>
      </c>
      <c r="AE408" s="2">
        <v>47.15</v>
      </c>
      <c r="AF408" s="2">
        <v>5.63</v>
      </c>
      <c r="AG408" s="2">
        <v>841.92</v>
      </c>
      <c r="AH408">
        <v>0</v>
      </c>
      <c r="AI408">
        <v>420.96</v>
      </c>
      <c r="AJ408">
        <v>4.2096</v>
      </c>
      <c r="AK408" t="s">
        <v>54</v>
      </c>
      <c r="AL408">
        <v>2.25</v>
      </c>
      <c r="AM408" s="4">
        <f t="shared" si="49"/>
        <v>420.96</v>
      </c>
      <c r="AN408" s="4">
        <f t="shared" si="50"/>
        <v>739.828125</v>
      </c>
      <c r="AO408" s="4">
        <f t="shared" si="51"/>
        <v>821.94904687500002</v>
      </c>
      <c r="AP408" s="4">
        <f t="shared" si="52"/>
        <v>1198.4475796874999</v>
      </c>
      <c r="AQ408" s="10">
        <f t="shared" si="53"/>
        <v>732.09153600000002</v>
      </c>
      <c r="AR408" s="10">
        <f t="shared" si="54"/>
        <v>813.42690564960003</v>
      </c>
      <c r="AS408" s="10">
        <f t="shared" si="55"/>
        <v>1139.7201032447999</v>
      </c>
    </row>
    <row r="409" spans="1:45" x14ac:dyDescent="0.3">
      <c r="A409">
        <v>2025</v>
      </c>
      <c r="B409">
        <v>11</v>
      </c>
      <c r="C409" t="s">
        <v>55</v>
      </c>
      <c r="D409">
        <v>10</v>
      </c>
      <c r="E409" t="s">
        <v>36</v>
      </c>
      <c r="F409" t="s">
        <v>37</v>
      </c>
      <c r="G409" t="s">
        <v>38</v>
      </c>
      <c r="H409" t="s">
        <v>78</v>
      </c>
      <c r="I409" t="s">
        <v>375</v>
      </c>
      <c r="J409" t="s">
        <v>376</v>
      </c>
      <c r="K409" t="s">
        <v>51</v>
      </c>
      <c r="L409" t="s">
        <v>1622</v>
      </c>
      <c r="M409" t="s">
        <v>1623</v>
      </c>
      <c r="N409" t="s">
        <v>1485</v>
      </c>
      <c r="O409" t="s">
        <v>1197</v>
      </c>
      <c r="Q409" t="s">
        <v>62</v>
      </c>
      <c r="R409" t="s">
        <v>1624</v>
      </c>
      <c r="S409" t="s">
        <v>1624</v>
      </c>
      <c r="T409" t="s">
        <v>47</v>
      </c>
      <c r="U409" t="s">
        <v>453</v>
      </c>
      <c r="V409" t="s">
        <v>49</v>
      </c>
      <c r="W409" t="s">
        <v>1289</v>
      </c>
      <c r="X409" t="s">
        <v>51</v>
      </c>
      <c r="Y409" t="s">
        <v>1893</v>
      </c>
      <c r="Z409" t="s">
        <v>1893</v>
      </c>
      <c r="AA409" t="s">
        <v>1894</v>
      </c>
      <c r="AB409" s="3">
        <f t="shared" si="48"/>
        <v>1</v>
      </c>
      <c r="AC409">
        <v>60.92</v>
      </c>
      <c r="AD409" s="2">
        <v>60.92</v>
      </c>
      <c r="AE409" s="2">
        <v>18.899999999999999</v>
      </c>
      <c r="AF409" s="2">
        <v>0.46</v>
      </c>
      <c r="AG409" s="2">
        <v>79.47</v>
      </c>
      <c r="AH409">
        <v>0</v>
      </c>
      <c r="AI409">
        <v>79.47</v>
      </c>
      <c r="AJ409">
        <v>0.39734999999999998</v>
      </c>
      <c r="AK409" t="s">
        <v>54</v>
      </c>
      <c r="AL409">
        <v>0.45</v>
      </c>
      <c r="AM409" s="4">
        <f t="shared" si="49"/>
        <v>79.47</v>
      </c>
      <c r="AN409" s="4">
        <f t="shared" si="50"/>
        <v>114.22500000000001</v>
      </c>
      <c r="AO409" s="4">
        <f t="shared" si="51"/>
        <v>126.903975</v>
      </c>
      <c r="AP409" s="4">
        <f t="shared" si="52"/>
        <v>185.03307749999999</v>
      </c>
      <c r="AQ409" s="10">
        <f t="shared" si="53"/>
        <v>138.206277</v>
      </c>
      <c r="AR409" s="10">
        <f t="shared" si="54"/>
        <v>153.56099437469999</v>
      </c>
      <c r="AS409" s="10">
        <f t="shared" si="55"/>
        <v>215.15953203359999</v>
      </c>
    </row>
    <row r="410" spans="1:45" x14ac:dyDescent="0.3">
      <c r="A410">
        <v>2025</v>
      </c>
      <c r="B410">
        <v>11</v>
      </c>
      <c r="C410" t="s">
        <v>55</v>
      </c>
      <c r="D410">
        <v>10</v>
      </c>
      <c r="E410" t="s">
        <v>36</v>
      </c>
      <c r="F410" t="s">
        <v>37</v>
      </c>
      <c r="G410" t="s">
        <v>38</v>
      </c>
      <c r="H410" t="s">
        <v>78</v>
      </c>
      <c r="I410" t="s">
        <v>375</v>
      </c>
      <c r="J410" t="s">
        <v>376</v>
      </c>
      <c r="K410" t="s">
        <v>51</v>
      </c>
      <c r="L410" t="s">
        <v>1622</v>
      </c>
      <c r="M410" t="s">
        <v>1623</v>
      </c>
      <c r="N410" t="s">
        <v>1485</v>
      </c>
      <c r="O410" t="s">
        <v>1197</v>
      </c>
      <c r="Q410" t="s">
        <v>62</v>
      </c>
      <c r="R410" t="s">
        <v>1624</v>
      </c>
      <c r="S410" t="s">
        <v>1624</v>
      </c>
      <c r="T410" t="s">
        <v>47</v>
      </c>
      <c r="U410" t="s">
        <v>453</v>
      </c>
      <c r="V410" t="s">
        <v>49</v>
      </c>
      <c r="W410" t="s">
        <v>1289</v>
      </c>
      <c r="X410" t="s">
        <v>51</v>
      </c>
      <c r="Y410" t="s">
        <v>1667</v>
      </c>
      <c r="Z410" t="s">
        <v>1667</v>
      </c>
      <c r="AA410" t="s">
        <v>1668</v>
      </c>
      <c r="AB410" s="3">
        <f t="shared" si="48"/>
        <v>1</v>
      </c>
      <c r="AC410">
        <v>890.91</v>
      </c>
      <c r="AD410" s="2">
        <v>890.91</v>
      </c>
      <c r="AE410" s="2">
        <v>124.75</v>
      </c>
      <c r="AF410" s="2">
        <v>6.17</v>
      </c>
      <c r="AG410" s="2">
        <v>1021.82</v>
      </c>
      <c r="AH410">
        <v>0</v>
      </c>
      <c r="AI410">
        <v>1021.82</v>
      </c>
      <c r="AJ410">
        <v>5.1090999999999998</v>
      </c>
      <c r="AK410" t="s">
        <v>54</v>
      </c>
      <c r="AL410">
        <v>6.79</v>
      </c>
      <c r="AM410" s="4">
        <f t="shared" si="49"/>
        <v>1021.82</v>
      </c>
      <c r="AN410" s="4">
        <f t="shared" si="50"/>
        <v>1670.45625</v>
      </c>
      <c r="AO410" s="4">
        <f t="shared" si="51"/>
        <v>1855.8768937499999</v>
      </c>
      <c r="AP410" s="4">
        <f t="shared" si="52"/>
        <v>2705.9720793749998</v>
      </c>
      <c r="AQ410" s="10">
        <f t="shared" si="53"/>
        <v>1777.0471620000001</v>
      </c>
      <c r="AR410" s="10">
        <f t="shared" si="54"/>
        <v>1974.4771016981999</v>
      </c>
      <c r="AS410" s="10">
        <f t="shared" si="55"/>
        <v>2766.5070218015999</v>
      </c>
    </row>
    <row r="411" spans="1:45" x14ac:dyDescent="0.3">
      <c r="A411">
        <v>2025</v>
      </c>
      <c r="B411">
        <v>8</v>
      </c>
      <c r="C411" t="s">
        <v>55</v>
      </c>
      <c r="D411">
        <v>10</v>
      </c>
      <c r="E411" t="s">
        <v>36</v>
      </c>
      <c r="F411" t="s">
        <v>37</v>
      </c>
      <c r="G411" t="s">
        <v>38</v>
      </c>
      <c r="H411" t="s">
        <v>141</v>
      </c>
      <c r="I411" t="s">
        <v>190</v>
      </c>
      <c r="J411" t="s">
        <v>58</v>
      </c>
      <c r="K411" t="s">
        <v>59</v>
      </c>
      <c r="L411" t="s">
        <v>1194</v>
      </c>
      <c r="M411" t="s">
        <v>1195</v>
      </c>
      <c r="N411" t="s">
        <v>1196</v>
      </c>
      <c r="O411" t="s">
        <v>1197</v>
      </c>
      <c r="Q411" t="s">
        <v>62</v>
      </c>
      <c r="R411" t="s">
        <v>1198</v>
      </c>
      <c r="S411" t="s">
        <v>1198</v>
      </c>
      <c r="T411" t="s">
        <v>47</v>
      </c>
      <c r="U411" t="s">
        <v>163</v>
      </c>
      <c r="V411" t="s">
        <v>49</v>
      </c>
      <c r="W411" t="s">
        <v>164</v>
      </c>
      <c r="X411" t="s">
        <v>388</v>
      </c>
      <c r="Y411" t="s">
        <v>1667</v>
      </c>
      <c r="Z411" t="s">
        <v>1667</v>
      </c>
      <c r="AA411" t="s">
        <v>1668</v>
      </c>
      <c r="AB411" s="3">
        <f t="shared" si="48"/>
        <v>1</v>
      </c>
      <c r="AC411">
        <v>890.91</v>
      </c>
      <c r="AD411" s="2">
        <v>890.91</v>
      </c>
      <c r="AE411" s="2">
        <v>124.75</v>
      </c>
      <c r="AF411" s="2">
        <v>6.17</v>
      </c>
      <c r="AG411" s="2">
        <v>1021.82</v>
      </c>
      <c r="AH411">
        <v>0</v>
      </c>
      <c r="AI411">
        <v>1021.82</v>
      </c>
      <c r="AJ411">
        <v>5.1090999999999998</v>
      </c>
      <c r="AK411" t="s">
        <v>54</v>
      </c>
      <c r="AL411">
        <v>6.79</v>
      </c>
      <c r="AM411" s="4">
        <f t="shared" si="49"/>
        <v>1021.82</v>
      </c>
      <c r="AN411" s="4">
        <f t="shared" si="50"/>
        <v>1670.45625</v>
      </c>
      <c r="AO411" s="4">
        <f t="shared" si="51"/>
        <v>1855.8768937499999</v>
      </c>
      <c r="AP411" s="4">
        <f t="shared" si="52"/>
        <v>2705.9720793749998</v>
      </c>
      <c r="AQ411" s="10">
        <f t="shared" si="53"/>
        <v>1777.0471620000001</v>
      </c>
      <c r="AR411" s="10">
        <f t="shared" si="54"/>
        <v>1974.4771016981999</v>
      </c>
      <c r="AS411" s="10">
        <f t="shared" si="55"/>
        <v>2766.5070218015999</v>
      </c>
    </row>
    <row r="412" spans="1:45" x14ac:dyDescent="0.3">
      <c r="A412">
        <v>2025</v>
      </c>
      <c r="B412">
        <v>11</v>
      </c>
      <c r="C412" t="s">
        <v>55</v>
      </c>
      <c r="D412">
        <v>10</v>
      </c>
      <c r="E412" t="s">
        <v>36</v>
      </c>
      <c r="F412" t="s">
        <v>37</v>
      </c>
      <c r="G412" t="s">
        <v>38</v>
      </c>
      <c r="H412" t="s">
        <v>141</v>
      </c>
      <c r="I412" t="s">
        <v>190</v>
      </c>
      <c r="J412" t="s">
        <v>58</v>
      </c>
      <c r="K412" t="s">
        <v>59</v>
      </c>
      <c r="L412" t="s">
        <v>1629</v>
      </c>
      <c r="M412" t="s">
        <v>1630</v>
      </c>
      <c r="N412" t="s">
        <v>1485</v>
      </c>
      <c r="O412" t="s">
        <v>1197</v>
      </c>
      <c r="Q412" t="s">
        <v>62</v>
      </c>
      <c r="R412" t="s">
        <v>1631</v>
      </c>
      <c r="S412" t="s">
        <v>1631</v>
      </c>
      <c r="T412" t="s">
        <v>47</v>
      </c>
      <c r="U412" t="s">
        <v>163</v>
      </c>
      <c r="V412" t="s">
        <v>49</v>
      </c>
      <c r="W412" t="s">
        <v>164</v>
      </c>
      <c r="X412" t="s">
        <v>1578</v>
      </c>
      <c r="Y412" t="s">
        <v>1391</v>
      </c>
      <c r="Z412" t="s">
        <v>1391</v>
      </c>
      <c r="AA412" t="s">
        <v>1392</v>
      </c>
      <c r="AB412" s="3">
        <f t="shared" si="48"/>
        <v>1</v>
      </c>
      <c r="AC412">
        <v>480.79</v>
      </c>
      <c r="AD412" s="2">
        <v>480.79</v>
      </c>
      <c r="AE412" s="2">
        <v>34.46</v>
      </c>
      <c r="AF412" s="2">
        <v>3.11</v>
      </c>
      <c r="AG412" s="2">
        <v>518.35</v>
      </c>
      <c r="AH412">
        <v>0</v>
      </c>
      <c r="AI412">
        <v>518.35</v>
      </c>
      <c r="AJ412">
        <v>2.5917500000000002</v>
      </c>
      <c r="AK412" t="s">
        <v>54</v>
      </c>
      <c r="AL412">
        <v>4.5</v>
      </c>
      <c r="AM412" s="4">
        <f t="shared" si="49"/>
        <v>518.35</v>
      </c>
      <c r="AN412" s="4">
        <f t="shared" si="50"/>
        <v>901.48125000000005</v>
      </c>
      <c r="AO412" s="4">
        <f t="shared" si="51"/>
        <v>1001.54566875</v>
      </c>
      <c r="AP412" s="4">
        <f t="shared" si="52"/>
        <v>1460.309476875</v>
      </c>
      <c r="AQ412" s="10">
        <f t="shared" si="53"/>
        <v>901.46248500000013</v>
      </c>
      <c r="AR412" s="10">
        <f t="shared" si="54"/>
        <v>1001.6149670835001</v>
      </c>
      <c r="AS412" s="10">
        <f t="shared" si="55"/>
        <v>1403.3967966480002</v>
      </c>
    </row>
    <row r="413" spans="1:45" x14ac:dyDescent="0.3">
      <c r="A413">
        <v>2025</v>
      </c>
      <c r="B413">
        <v>4</v>
      </c>
      <c r="C413" t="s">
        <v>55</v>
      </c>
      <c r="D413">
        <v>10</v>
      </c>
      <c r="E413" t="s">
        <v>36</v>
      </c>
      <c r="F413" t="s">
        <v>37</v>
      </c>
      <c r="G413" t="s">
        <v>38</v>
      </c>
      <c r="H413" t="s">
        <v>83</v>
      </c>
      <c r="I413" t="s">
        <v>375</v>
      </c>
      <c r="J413" t="s">
        <v>376</v>
      </c>
      <c r="K413" t="s">
        <v>59</v>
      </c>
      <c r="M413">
        <v>2503061</v>
      </c>
      <c r="N413" t="s">
        <v>377</v>
      </c>
      <c r="O413" t="s">
        <v>36</v>
      </c>
      <c r="Q413" t="s">
        <v>62</v>
      </c>
      <c r="R413" t="s">
        <v>378</v>
      </c>
      <c r="S413" t="s">
        <v>378</v>
      </c>
      <c r="T413" t="s">
        <v>47</v>
      </c>
      <c r="U413" t="s">
        <v>664</v>
      </c>
      <c r="V413" t="s">
        <v>49</v>
      </c>
      <c r="W413" t="s">
        <v>665</v>
      </c>
      <c r="X413" t="s">
        <v>51</v>
      </c>
      <c r="Y413" t="s">
        <v>1724</v>
      </c>
      <c r="Z413" t="s">
        <v>1724</v>
      </c>
      <c r="AA413" t="s">
        <v>1725</v>
      </c>
      <c r="AB413" s="3">
        <f t="shared" si="48"/>
        <v>1</v>
      </c>
      <c r="AC413">
        <v>135.30000000000001</v>
      </c>
      <c r="AD413" s="2">
        <v>135.30000000000001</v>
      </c>
      <c r="AE413" s="2">
        <v>35.159999999999997</v>
      </c>
      <c r="AF413" s="2">
        <v>1.4</v>
      </c>
      <c r="AG413" s="2">
        <v>171.23</v>
      </c>
      <c r="AH413">
        <v>0</v>
      </c>
      <c r="AI413">
        <v>171.23</v>
      </c>
      <c r="AJ413">
        <v>0.85614999999999997</v>
      </c>
      <c r="AK413" t="s">
        <v>54</v>
      </c>
      <c r="AL413">
        <v>1.7</v>
      </c>
      <c r="AM413" s="4">
        <f t="shared" si="49"/>
        <v>171.23</v>
      </c>
      <c r="AN413" s="4">
        <f t="shared" si="50"/>
        <v>253.68750000000003</v>
      </c>
      <c r="AO413" s="4">
        <f t="shared" si="51"/>
        <v>281.84681250000006</v>
      </c>
      <c r="AP413" s="4">
        <f t="shared" si="52"/>
        <v>410.94838125000001</v>
      </c>
      <c r="AQ413" s="10">
        <f t="shared" si="53"/>
        <v>297.78609299999999</v>
      </c>
      <c r="AR413" s="10">
        <f t="shared" si="54"/>
        <v>330.87012793229997</v>
      </c>
      <c r="AS413" s="10">
        <f t="shared" si="55"/>
        <v>463.59338958239999</v>
      </c>
    </row>
    <row r="414" spans="1:45" x14ac:dyDescent="0.3">
      <c r="A414">
        <v>2025</v>
      </c>
      <c r="B414">
        <v>11</v>
      </c>
      <c r="C414" t="s">
        <v>55</v>
      </c>
      <c r="D414">
        <v>10</v>
      </c>
      <c r="E414" t="s">
        <v>36</v>
      </c>
      <c r="F414" t="s">
        <v>37</v>
      </c>
      <c r="G414" t="s">
        <v>38</v>
      </c>
      <c r="H414" t="s">
        <v>141</v>
      </c>
      <c r="I414" t="s">
        <v>375</v>
      </c>
      <c r="J414" t="s">
        <v>376</v>
      </c>
      <c r="K414" t="s">
        <v>51</v>
      </c>
      <c r="L414" t="s">
        <v>1622</v>
      </c>
      <c r="M414" t="s">
        <v>1623</v>
      </c>
      <c r="N414" t="s">
        <v>1485</v>
      </c>
      <c r="O414" t="s">
        <v>1197</v>
      </c>
      <c r="Q414" t="s">
        <v>62</v>
      </c>
      <c r="R414" t="s">
        <v>1624</v>
      </c>
      <c r="S414" t="s">
        <v>1624</v>
      </c>
      <c r="T414" t="s">
        <v>47</v>
      </c>
      <c r="U414" t="s">
        <v>167</v>
      </c>
      <c r="V414" t="s">
        <v>49</v>
      </c>
      <c r="W414" t="s">
        <v>168</v>
      </c>
      <c r="X414" t="s">
        <v>51</v>
      </c>
      <c r="Y414" t="s">
        <v>666</v>
      </c>
      <c r="Z414" t="s">
        <v>666</v>
      </c>
      <c r="AA414" t="s">
        <v>667</v>
      </c>
      <c r="AB414" s="3">
        <f t="shared" si="48"/>
        <v>2</v>
      </c>
      <c r="AC414">
        <v>254.97</v>
      </c>
      <c r="AD414" s="2">
        <v>127.485</v>
      </c>
      <c r="AE414" s="2">
        <v>30.17</v>
      </c>
      <c r="AF414" s="2">
        <v>1.8</v>
      </c>
      <c r="AG414" s="2">
        <v>286.94</v>
      </c>
      <c r="AH414">
        <v>0</v>
      </c>
      <c r="AI414">
        <v>143.47</v>
      </c>
      <c r="AJ414">
        <v>1.4347000000000001</v>
      </c>
      <c r="AK414" t="s">
        <v>54</v>
      </c>
      <c r="AL414">
        <v>1.44</v>
      </c>
      <c r="AM414" s="4">
        <f t="shared" si="49"/>
        <v>143.47</v>
      </c>
      <c r="AN414" s="4">
        <f t="shared" si="50"/>
        <v>239.03437500000001</v>
      </c>
      <c r="AO414" s="4">
        <f t="shared" si="51"/>
        <v>265.56719062500002</v>
      </c>
      <c r="AP414" s="4">
        <f t="shared" si="52"/>
        <v>387.21178406249999</v>
      </c>
      <c r="AQ414" s="10">
        <f t="shared" si="53"/>
        <v>249.50867700000001</v>
      </c>
      <c r="AR414" s="10">
        <f t="shared" si="54"/>
        <v>277.22909101469997</v>
      </c>
      <c r="AS414" s="10">
        <f t="shared" si="55"/>
        <v>388.43510835360001</v>
      </c>
    </row>
    <row r="415" spans="1:45" x14ac:dyDescent="0.3">
      <c r="A415">
        <v>2025</v>
      </c>
      <c r="B415">
        <v>8</v>
      </c>
      <c r="C415" t="s">
        <v>55</v>
      </c>
      <c r="D415">
        <v>10</v>
      </c>
      <c r="E415" t="s">
        <v>36</v>
      </c>
      <c r="F415" t="s">
        <v>37</v>
      </c>
      <c r="G415" t="s">
        <v>38</v>
      </c>
      <c r="H415" t="s">
        <v>622</v>
      </c>
      <c r="I415" t="s">
        <v>190</v>
      </c>
      <c r="J415" t="s">
        <v>58</v>
      </c>
      <c r="K415" t="s">
        <v>59</v>
      </c>
      <c r="L415" t="s">
        <v>1194</v>
      </c>
      <c r="M415" t="s">
        <v>1195</v>
      </c>
      <c r="N415" t="s">
        <v>1196</v>
      </c>
      <c r="O415" t="s">
        <v>1197</v>
      </c>
      <c r="Q415" t="s">
        <v>62</v>
      </c>
      <c r="R415" t="s">
        <v>1198</v>
      </c>
      <c r="S415" t="s">
        <v>1198</v>
      </c>
      <c r="T415" t="s">
        <v>47</v>
      </c>
      <c r="U415" t="s">
        <v>1436</v>
      </c>
      <c r="V415" t="s">
        <v>49</v>
      </c>
      <c r="W415" t="s">
        <v>1437</v>
      </c>
      <c r="X415" t="s">
        <v>388</v>
      </c>
      <c r="Y415" t="s">
        <v>1730</v>
      </c>
      <c r="Z415" t="s">
        <v>1730</v>
      </c>
      <c r="AA415" t="s">
        <v>1731</v>
      </c>
      <c r="AB415" s="3">
        <f t="shared" si="48"/>
        <v>1</v>
      </c>
      <c r="AC415">
        <v>79.510000000000005</v>
      </c>
      <c r="AD415" s="2">
        <v>79.510000000000005</v>
      </c>
      <c r="AE415" s="2">
        <v>11.13</v>
      </c>
      <c r="AF415" s="2">
        <v>0.55000000000000004</v>
      </c>
      <c r="AG415" s="2">
        <v>91.19</v>
      </c>
      <c r="AH415">
        <v>0</v>
      </c>
      <c r="AI415">
        <v>91.19</v>
      </c>
      <c r="AJ415">
        <v>0.45595000000000002</v>
      </c>
      <c r="AK415" t="s">
        <v>54</v>
      </c>
      <c r="AL415">
        <v>0.61</v>
      </c>
      <c r="AM415" s="4">
        <f t="shared" si="49"/>
        <v>91.19</v>
      </c>
      <c r="AN415" s="4">
        <f t="shared" si="50"/>
        <v>149.08125000000001</v>
      </c>
      <c r="AO415" s="4">
        <f t="shared" si="51"/>
        <v>165.62926875000002</v>
      </c>
      <c r="AP415" s="4">
        <f t="shared" si="52"/>
        <v>241.496716875</v>
      </c>
      <c r="AQ415" s="10">
        <f t="shared" si="53"/>
        <v>158.58852899999999</v>
      </c>
      <c r="AR415" s="10">
        <f t="shared" si="54"/>
        <v>176.2077145719</v>
      </c>
      <c r="AS415" s="10">
        <f t="shared" si="55"/>
        <v>246.89062194719997</v>
      </c>
    </row>
    <row r="416" spans="1:45" x14ac:dyDescent="0.3">
      <c r="A416">
        <v>2025</v>
      </c>
      <c r="B416">
        <v>8</v>
      </c>
      <c r="C416" t="s">
        <v>55</v>
      </c>
      <c r="D416">
        <v>10</v>
      </c>
      <c r="E416" t="s">
        <v>36</v>
      </c>
      <c r="F416" t="s">
        <v>37</v>
      </c>
      <c r="G416" t="s">
        <v>38</v>
      </c>
      <c r="H416" t="s">
        <v>622</v>
      </c>
      <c r="I416" t="s">
        <v>190</v>
      </c>
      <c r="J416" t="s">
        <v>58</v>
      </c>
      <c r="K416" t="s">
        <v>59</v>
      </c>
      <c r="L416" t="s">
        <v>1194</v>
      </c>
      <c r="M416" t="s">
        <v>1195</v>
      </c>
      <c r="N416" t="s">
        <v>1196</v>
      </c>
      <c r="O416" t="s">
        <v>1197</v>
      </c>
      <c r="Q416" t="s">
        <v>62</v>
      </c>
      <c r="R416" t="s">
        <v>1198</v>
      </c>
      <c r="S416" t="s">
        <v>1198</v>
      </c>
      <c r="T416" t="s">
        <v>47</v>
      </c>
      <c r="U416" t="s">
        <v>1436</v>
      </c>
      <c r="V416" t="s">
        <v>49</v>
      </c>
      <c r="W416" t="s">
        <v>1437</v>
      </c>
      <c r="X416" t="s">
        <v>388</v>
      </c>
      <c r="Y416" t="s">
        <v>1440</v>
      </c>
      <c r="Z416" t="s">
        <v>1440</v>
      </c>
      <c r="AA416" t="s">
        <v>1441</v>
      </c>
      <c r="AB416" s="3">
        <f t="shared" si="48"/>
        <v>1</v>
      </c>
      <c r="AC416">
        <v>233.13</v>
      </c>
      <c r="AD416" s="2">
        <v>233.13</v>
      </c>
      <c r="AE416" s="2">
        <v>16.71</v>
      </c>
      <c r="AF416" s="2">
        <v>1.51</v>
      </c>
      <c r="AG416" s="2">
        <v>251.35</v>
      </c>
      <c r="AH416">
        <v>0</v>
      </c>
      <c r="AI416">
        <v>251.35</v>
      </c>
      <c r="AJ416">
        <v>1.25675</v>
      </c>
      <c r="AK416" t="s">
        <v>54</v>
      </c>
      <c r="AL416">
        <v>1.96</v>
      </c>
      <c r="AM416" s="4">
        <f t="shared" si="49"/>
        <v>251.35</v>
      </c>
      <c r="AN416" s="4">
        <f t="shared" si="50"/>
        <v>437.11874999999998</v>
      </c>
      <c r="AO416" s="4">
        <f t="shared" si="51"/>
        <v>485.63893124999998</v>
      </c>
      <c r="AP416" s="4">
        <f t="shared" si="52"/>
        <v>708.08866312499993</v>
      </c>
      <c r="AQ416" s="10">
        <f t="shared" si="53"/>
        <v>437.12278500000002</v>
      </c>
      <c r="AR416" s="10">
        <f t="shared" si="54"/>
        <v>485.68712641350004</v>
      </c>
      <c r="AS416" s="10">
        <f t="shared" si="55"/>
        <v>680.51275168799998</v>
      </c>
    </row>
    <row r="417" spans="1:45" x14ac:dyDescent="0.3">
      <c r="A417">
        <v>2025</v>
      </c>
      <c r="B417">
        <v>12</v>
      </c>
      <c r="C417" t="s">
        <v>55</v>
      </c>
      <c r="D417">
        <v>10</v>
      </c>
      <c r="E417" t="s">
        <v>36</v>
      </c>
      <c r="F417" t="s">
        <v>37</v>
      </c>
      <c r="G417" t="s">
        <v>38</v>
      </c>
      <c r="H417" t="s">
        <v>341</v>
      </c>
      <c r="I417" t="s">
        <v>57</v>
      </c>
      <c r="J417" t="s">
        <v>58</v>
      </c>
      <c r="K417" t="s">
        <v>59</v>
      </c>
      <c r="L417" t="s">
        <v>1769</v>
      </c>
      <c r="M417" t="s">
        <v>1770</v>
      </c>
      <c r="N417" t="s">
        <v>1771</v>
      </c>
      <c r="O417" t="s">
        <v>1197</v>
      </c>
      <c r="Q417" t="s">
        <v>62</v>
      </c>
      <c r="R417" t="s">
        <v>1772</v>
      </c>
      <c r="S417" t="s">
        <v>1772</v>
      </c>
      <c r="T417" t="s">
        <v>47</v>
      </c>
      <c r="U417" t="s">
        <v>102</v>
      </c>
      <c r="V417" t="s">
        <v>49</v>
      </c>
      <c r="X417" t="s">
        <v>51</v>
      </c>
      <c r="Y417" t="s">
        <v>1438</v>
      </c>
      <c r="Z417" t="s">
        <v>1438</v>
      </c>
      <c r="AA417" t="s">
        <v>1439</v>
      </c>
      <c r="AB417" s="3">
        <f t="shared" si="48"/>
        <v>1</v>
      </c>
      <c r="AC417">
        <v>423.1</v>
      </c>
      <c r="AD417" s="2">
        <v>423.1</v>
      </c>
      <c r="AE417" s="2">
        <v>30.32</v>
      </c>
      <c r="AF417" s="2">
        <v>2.74</v>
      </c>
      <c r="AG417" s="2">
        <v>456.16</v>
      </c>
      <c r="AH417">
        <v>0</v>
      </c>
      <c r="AI417">
        <v>456.16</v>
      </c>
      <c r="AJ417">
        <v>2.2808000000000002</v>
      </c>
      <c r="AK417" t="s">
        <v>54</v>
      </c>
      <c r="AL417">
        <v>3.56</v>
      </c>
      <c r="AM417" s="4">
        <f t="shared" si="49"/>
        <v>456.16</v>
      </c>
      <c r="AN417" s="4">
        <f t="shared" si="50"/>
        <v>793.3125</v>
      </c>
      <c r="AO417" s="4">
        <f t="shared" si="51"/>
        <v>881.37018750000004</v>
      </c>
      <c r="AP417" s="4">
        <f t="shared" si="52"/>
        <v>1285.08691875</v>
      </c>
      <c r="AQ417" s="10">
        <f t="shared" si="53"/>
        <v>793.30785600000013</v>
      </c>
      <c r="AR417" s="10">
        <f t="shared" si="54"/>
        <v>881.44435880160017</v>
      </c>
      <c r="AS417" s="10">
        <f t="shared" si="55"/>
        <v>1235.0216702208002</v>
      </c>
    </row>
    <row r="418" spans="1:45" x14ac:dyDescent="0.3">
      <c r="A418">
        <v>2025</v>
      </c>
      <c r="B418">
        <v>11</v>
      </c>
      <c r="C418" t="s">
        <v>55</v>
      </c>
      <c r="D418">
        <v>10</v>
      </c>
      <c r="E418" t="s">
        <v>36</v>
      </c>
      <c r="F418" t="s">
        <v>37</v>
      </c>
      <c r="G418" t="s">
        <v>38</v>
      </c>
      <c r="H418" t="s">
        <v>622</v>
      </c>
      <c r="I418" t="s">
        <v>375</v>
      </c>
      <c r="J418" t="s">
        <v>376</v>
      </c>
      <c r="K418" t="s">
        <v>51</v>
      </c>
      <c r="L418" t="s">
        <v>1622</v>
      </c>
      <c r="M418" t="s">
        <v>1623</v>
      </c>
      <c r="N418" t="s">
        <v>1485</v>
      </c>
      <c r="O418" t="s">
        <v>1197</v>
      </c>
      <c r="Q418" t="s">
        <v>62</v>
      </c>
      <c r="R418" t="s">
        <v>1624</v>
      </c>
      <c r="S418" t="s">
        <v>1624</v>
      </c>
      <c r="T418" t="s">
        <v>47</v>
      </c>
      <c r="U418" t="s">
        <v>367</v>
      </c>
      <c r="V418" t="s">
        <v>89</v>
      </c>
      <c r="W418" t="s">
        <v>935</v>
      </c>
      <c r="X418" t="s">
        <v>51</v>
      </c>
      <c r="Y418" t="s">
        <v>1844</v>
      </c>
      <c r="Z418" t="s">
        <v>1844</v>
      </c>
      <c r="AA418" t="s">
        <v>1845</v>
      </c>
      <c r="AB418" s="3">
        <f t="shared" si="48"/>
        <v>1</v>
      </c>
      <c r="AC418">
        <v>2007.55</v>
      </c>
      <c r="AD418" s="2">
        <v>2007.55</v>
      </c>
      <c r="AE418" s="2">
        <v>595.97</v>
      </c>
      <c r="AF418" s="2">
        <v>15.7</v>
      </c>
      <c r="AG418" s="2">
        <v>2618.59</v>
      </c>
      <c r="AH418">
        <v>0</v>
      </c>
      <c r="AI418">
        <v>2618.59</v>
      </c>
      <c r="AJ418">
        <v>13.09295</v>
      </c>
      <c r="AK418" t="s">
        <v>54</v>
      </c>
      <c r="AL418">
        <v>14.92</v>
      </c>
      <c r="AM418" s="4">
        <f t="shared" si="49"/>
        <v>2618.59</v>
      </c>
      <c r="AN418" s="4">
        <f t="shared" si="50"/>
        <v>3764.15625</v>
      </c>
      <c r="AO418" s="4">
        <f t="shared" si="51"/>
        <v>4181.9775937499999</v>
      </c>
      <c r="AP418" s="4">
        <f t="shared" si="52"/>
        <v>6097.5567093749996</v>
      </c>
      <c r="AQ418" s="10">
        <f t="shared" si="53"/>
        <v>4553.9898690000009</v>
      </c>
      <c r="AR418" s="10">
        <f t="shared" si="54"/>
        <v>5059.938143445901</v>
      </c>
      <c r="AS418" s="10">
        <f t="shared" si="55"/>
        <v>7089.651428059201</v>
      </c>
    </row>
    <row r="419" spans="1:45" x14ac:dyDescent="0.3">
      <c r="A419">
        <v>2025</v>
      </c>
      <c r="B419">
        <v>11</v>
      </c>
      <c r="C419" t="s">
        <v>55</v>
      </c>
      <c r="D419">
        <v>10</v>
      </c>
      <c r="E419" t="s">
        <v>36</v>
      </c>
      <c r="F419" t="s">
        <v>37</v>
      </c>
      <c r="G419" t="s">
        <v>38</v>
      </c>
      <c r="H419" t="s">
        <v>622</v>
      </c>
      <c r="I419" t="s">
        <v>375</v>
      </c>
      <c r="J419" t="s">
        <v>376</v>
      </c>
      <c r="K419" t="s">
        <v>51</v>
      </c>
      <c r="L419" t="s">
        <v>1622</v>
      </c>
      <c r="M419" t="s">
        <v>1623</v>
      </c>
      <c r="N419" t="s">
        <v>1485</v>
      </c>
      <c r="O419" t="s">
        <v>1197</v>
      </c>
      <c r="Q419" t="s">
        <v>62</v>
      </c>
      <c r="R419" t="s">
        <v>1624</v>
      </c>
      <c r="S419" t="s">
        <v>1624</v>
      </c>
      <c r="T419" t="s">
        <v>47</v>
      </c>
      <c r="U419" t="s">
        <v>367</v>
      </c>
      <c r="V419" t="s">
        <v>89</v>
      </c>
      <c r="W419" t="s">
        <v>935</v>
      </c>
      <c r="X419" t="s">
        <v>51</v>
      </c>
      <c r="Y419" t="s">
        <v>1754</v>
      </c>
      <c r="Z419" t="s">
        <v>1754</v>
      </c>
      <c r="AA419" t="s">
        <v>1758</v>
      </c>
      <c r="AB419" s="3">
        <f t="shared" si="48"/>
        <v>1</v>
      </c>
      <c r="AC419">
        <v>398.25</v>
      </c>
      <c r="AD419" s="2">
        <v>398.25</v>
      </c>
      <c r="AE419" s="2">
        <v>55.76</v>
      </c>
      <c r="AF419" s="2">
        <v>2.76</v>
      </c>
      <c r="AG419" s="2">
        <v>456.77</v>
      </c>
      <c r="AH419">
        <v>0</v>
      </c>
      <c r="AI419">
        <v>456.77</v>
      </c>
      <c r="AJ419">
        <v>2.2838500000000002</v>
      </c>
      <c r="AK419" t="s">
        <v>54</v>
      </c>
      <c r="AL419">
        <v>2.9</v>
      </c>
      <c r="AM419" s="4">
        <f t="shared" si="49"/>
        <v>456.77</v>
      </c>
      <c r="AN419" s="4">
        <f t="shared" si="50"/>
        <v>746.71875</v>
      </c>
      <c r="AO419" s="4">
        <f t="shared" si="51"/>
        <v>829.60453125000004</v>
      </c>
      <c r="AP419" s="4">
        <f t="shared" si="52"/>
        <v>1209.6097031249999</v>
      </c>
      <c r="AQ419" s="10">
        <f t="shared" si="53"/>
        <v>794.36870699999997</v>
      </c>
      <c r="AR419" s="10">
        <f t="shared" si="54"/>
        <v>882.62307034769992</v>
      </c>
      <c r="AS419" s="10">
        <f t="shared" si="55"/>
        <v>1236.6732030575999</v>
      </c>
    </row>
    <row r="420" spans="1:45" x14ac:dyDescent="0.3">
      <c r="A420">
        <v>2025</v>
      </c>
      <c r="B420">
        <v>4</v>
      </c>
      <c r="C420" t="s">
        <v>55</v>
      </c>
      <c r="D420">
        <v>10</v>
      </c>
      <c r="E420" t="s">
        <v>36</v>
      </c>
      <c r="F420" t="s">
        <v>37</v>
      </c>
      <c r="G420" t="s">
        <v>38</v>
      </c>
      <c r="H420" t="s">
        <v>78</v>
      </c>
      <c r="I420" t="s">
        <v>190</v>
      </c>
      <c r="J420" t="s">
        <v>58</v>
      </c>
      <c r="K420" t="s">
        <v>59</v>
      </c>
      <c r="M420" t="s">
        <v>383</v>
      </c>
      <c r="N420" t="s">
        <v>384</v>
      </c>
      <c r="O420" t="s">
        <v>36</v>
      </c>
      <c r="Q420" t="s">
        <v>62</v>
      </c>
      <c r="R420" t="s">
        <v>385</v>
      </c>
      <c r="S420" t="s">
        <v>385</v>
      </c>
      <c r="T420" t="s">
        <v>47</v>
      </c>
      <c r="U420" t="s">
        <v>411</v>
      </c>
      <c r="V420" t="s">
        <v>49</v>
      </c>
      <c r="W420" t="s">
        <v>412</v>
      </c>
      <c r="X420" t="s">
        <v>388</v>
      </c>
      <c r="Y420" t="s">
        <v>1754</v>
      </c>
      <c r="Z420" t="s">
        <v>1754</v>
      </c>
      <c r="AA420" t="s">
        <v>1758</v>
      </c>
      <c r="AB420" s="3">
        <f t="shared" si="48"/>
        <v>1</v>
      </c>
      <c r="AC420">
        <v>399.27</v>
      </c>
      <c r="AD420" s="2">
        <v>399.27</v>
      </c>
      <c r="AE420" s="2">
        <v>55.91</v>
      </c>
      <c r="AF420" s="2">
        <v>2.76</v>
      </c>
      <c r="AG420" s="2">
        <v>457.95</v>
      </c>
      <c r="AH420">
        <v>0</v>
      </c>
      <c r="AI420">
        <v>457.95</v>
      </c>
      <c r="AJ420">
        <v>2.2897500000000002</v>
      </c>
      <c r="AK420" t="s">
        <v>54</v>
      </c>
      <c r="AL420">
        <v>3.4</v>
      </c>
      <c r="AM420" s="4">
        <f t="shared" si="49"/>
        <v>457.95</v>
      </c>
      <c r="AN420" s="4">
        <f t="shared" si="50"/>
        <v>748.63124999999991</v>
      </c>
      <c r="AO420" s="4">
        <f t="shared" si="51"/>
        <v>831.72931874999983</v>
      </c>
      <c r="AP420" s="4">
        <f t="shared" si="52"/>
        <v>1212.7077618749997</v>
      </c>
      <c r="AQ420" s="10">
        <f t="shared" si="53"/>
        <v>796.42084499999999</v>
      </c>
      <c r="AR420" s="10">
        <f t="shared" si="54"/>
        <v>884.90320087949999</v>
      </c>
      <c r="AS420" s="10">
        <f t="shared" si="55"/>
        <v>1239.8679714959999</v>
      </c>
    </row>
    <row r="421" spans="1:45" x14ac:dyDescent="0.3">
      <c r="A421">
        <v>2025</v>
      </c>
      <c r="B421">
        <v>8</v>
      </c>
      <c r="C421" t="s">
        <v>55</v>
      </c>
      <c r="D421">
        <v>10</v>
      </c>
      <c r="E421" t="s">
        <v>36</v>
      </c>
      <c r="F421" t="s">
        <v>37</v>
      </c>
      <c r="G421" t="s">
        <v>38</v>
      </c>
      <c r="H421" t="s">
        <v>141</v>
      </c>
      <c r="I421" t="s">
        <v>190</v>
      </c>
      <c r="J421" t="s">
        <v>58</v>
      </c>
      <c r="K421" t="s">
        <v>59</v>
      </c>
      <c r="L421" t="s">
        <v>1194</v>
      </c>
      <c r="M421" t="s">
        <v>1195</v>
      </c>
      <c r="N421" t="s">
        <v>1196</v>
      </c>
      <c r="O421" t="s">
        <v>1197</v>
      </c>
      <c r="Q421" t="s">
        <v>62</v>
      </c>
      <c r="R421" t="s">
        <v>1198</v>
      </c>
      <c r="S421" t="s">
        <v>1198</v>
      </c>
      <c r="T421" t="s">
        <v>47</v>
      </c>
      <c r="U421" t="s">
        <v>167</v>
      </c>
      <c r="V421" t="s">
        <v>49</v>
      </c>
      <c r="W421" t="s">
        <v>168</v>
      </c>
      <c r="X421" t="s">
        <v>388</v>
      </c>
      <c r="Y421" t="s">
        <v>415</v>
      </c>
      <c r="Z421" t="s">
        <v>415</v>
      </c>
      <c r="AA421" t="s">
        <v>416</v>
      </c>
      <c r="AB421" s="3">
        <f t="shared" si="48"/>
        <v>2</v>
      </c>
      <c r="AC421">
        <v>157.06</v>
      </c>
      <c r="AD421" s="2">
        <v>78.53</v>
      </c>
      <c r="AE421" s="2">
        <v>30.65</v>
      </c>
      <c r="AF421" s="2">
        <v>1.01</v>
      </c>
      <c r="AG421" s="2">
        <v>188.71</v>
      </c>
      <c r="AH421">
        <v>0</v>
      </c>
      <c r="AI421">
        <v>94.355000000000004</v>
      </c>
      <c r="AJ421">
        <v>0.94355</v>
      </c>
      <c r="AK421" t="s">
        <v>54</v>
      </c>
      <c r="AL421">
        <v>1.56</v>
      </c>
      <c r="AM421" s="4">
        <f t="shared" si="49"/>
        <v>94.355000000000004</v>
      </c>
      <c r="AN421" s="4">
        <f t="shared" si="50"/>
        <v>147.24375000000001</v>
      </c>
      <c r="AO421" s="4">
        <f t="shared" si="51"/>
        <v>163.58780625</v>
      </c>
      <c r="AP421" s="4">
        <f t="shared" si="52"/>
        <v>238.52015062499999</v>
      </c>
      <c r="AQ421" s="10">
        <f t="shared" si="53"/>
        <v>164.0927805</v>
      </c>
      <c r="AR421" s="10">
        <f t="shared" si="54"/>
        <v>182.32348841355</v>
      </c>
      <c r="AS421" s="10">
        <f t="shared" si="55"/>
        <v>255.45964068239999</v>
      </c>
    </row>
    <row r="422" spans="1:45" x14ac:dyDescent="0.3">
      <c r="A422">
        <v>2025</v>
      </c>
      <c r="B422">
        <v>9</v>
      </c>
      <c r="C422" t="s">
        <v>55</v>
      </c>
      <c r="D422">
        <v>10</v>
      </c>
      <c r="E422" t="s">
        <v>36</v>
      </c>
      <c r="F422" t="s">
        <v>37</v>
      </c>
      <c r="G422" t="s">
        <v>38</v>
      </c>
      <c r="H422" t="s">
        <v>141</v>
      </c>
      <c r="I422" t="s">
        <v>375</v>
      </c>
      <c r="J422" t="s">
        <v>376</v>
      </c>
      <c r="K422" t="s">
        <v>59</v>
      </c>
      <c r="L422" t="s">
        <v>1483</v>
      </c>
      <c r="M422" t="s">
        <v>1484</v>
      </c>
      <c r="N422" t="s">
        <v>1485</v>
      </c>
      <c r="O422" t="s">
        <v>1197</v>
      </c>
      <c r="Q422" t="s">
        <v>62</v>
      </c>
      <c r="R422" t="s">
        <v>1486</v>
      </c>
      <c r="S422" t="s">
        <v>1486</v>
      </c>
      <c r="T422" t="s">
        <v>47</v>
      </c>
      <c r="U422" t="s">
        <v>167</v>
      </c>
      <c r="V422" t="s">
        <v>49</v>
      </c>
      <c r="W422" t="s">
        <v>168</v>
      </c>
      <c r="X422" t="s">
        <v>51</v>
      </c>
      <c r="Y422" t="s">
        <v>1131</v>
      </c>
      <c r="Z422" t="s">
        <v>1131</v>
      </c>
      <c r="AA422" t="s">
        <v>1423</v>
      </c>
      <c r="AB422" s="3">
        <f t="shared" si="48"/>
        <v>10</v>
      </c>
      <c r="AC422">
        <v>13.4</v>
      </c>
      <c r="AD422" s="2">
        <v>1.34</v>
      </c>
      <c r="AE422" s="2">
        <v>0.96</v>
      </c>
      <c r="AF422" s="2">
        <v>0.9</v>
      </c>
      <c r="AG422" s="2">
        <v>14.45</v>
      </c>
      <c r="AH422">
        <v>0</v>
      </c>
      <c r="AI422">
        <v>1.4450000000000001</v>
      </c>
      <c r="AJ422">
        <v>7.2249999999999995E-2</v>
      </c>
      <c r="AK422" t="s">
        <v>54</v>
      </c>
      <c r="AL422">
        <v>0.11</v>
      </c>
      <c r="AM422" s="4">
        <f t="shared" si="49"/>
        <v>1.4449999999999998</v>
      </c>
      <c r="AN422" s="4">
        <f t="shared" si="50"/>
        <v>2.5125000000000002</v>
      </c>
      <c r="AO422" s="4">
        <f t="shared" si="51"/>
        <v>2.7913875000000004</v>
      </c>
      <c r="AP422" s="4">
        <f t="shared" si="52"/>
        <v>4.0699987499999999</v>
      </c>
      <c r="AQ422" s="10">
        <f t="shared" si="53"/>
        <v>2.5129994999999998</v>
      </c>
      <c r="AR422" s="10">
        <f t="shared" si="54"/>
        <v>2.7921937444499996</v>
      </c>
      <c r="AS422" s="10">
        <f t="shared" si="55"/>
        <v>3.9122376215999997</v>
      </c>
    </row>
    <row r="423" spans="1:45" x14ac:dyDescent="0.3">
      <c r="A423">
        <v>2025</v>
      </c>
      <c r="B423">
        <v>11</v>
      </c>
      <c r="C423" t="s">
        <v>55</v>
      </c>
      <c r="D423">
        <v>10</v>
      </c>
      <c r="E423" t="s">
        <v>36</v>
      </c>
      <c r="F423" t="s">
        <v>37</v>
      </c>
      <c r="G423" t="s">
        <v>38</v>
      </c>
      <c r="H423" t="s">
        <v>101</v>
      </c>
      <c r="I423" t="s">
        <v>190</v>
      </c>
      <c r="J423" t="s">
        <v>58</v>
      </c>
      <c r="K423" t="s">
        <v>59</v>
      </c>
      <c r="L423" t="s">
        <v>1629</v>
      </c>
      <c r="M423" t="s">
        <v>1630</v>
      </c>
      <c r="N423" t="s">
        <v>1485</v>
      </c>
      <c r="O423" t="s">
        <v>1197</v>
      </c>
      <c r="Q423" t="s">
        <v>62</v>
      </c>
      <c r="R423" t="s">
        <v>1631</v>
      </c>
      <c r="S423" t="s">
        <v>1631</v>
      </c>
      <c r="T423" t="s">
        <v>47</v>
      </c>
      <c r="U423" t="s">
        <v>623</v>
      </c>
      <c r="V423" t="s">
        <v>49</v>
      </c>
      <c r="W423" t="s">
        <v>896</v>
      </c>
      <c r="X423" t="s">
        <v>1578</v>
      </c>
      <c r="Y423" t="s">
        <v>1131</v>
      </c>
      <c r="Z423" t="s">
        <v>1131</v>
      </c>
      <c r="AA423" t="s">
        <v>1423</v>
      </c>
      <c r="AB423" s="3">
        <f t="shared" si="48"/>
        <v>6</v>
      </c>
      <c r="AC423">
        <v>7.92</v>
      </c>
      <c r="AD423" s="2">
        <v>1.32</v>
      </c>
      <c r="AE423" s="2">
        <v>1.21</v>
      </c>
      <c r="AF423" s="2">
        <v>0.6</v>
      </c>
      <c r="AG423" s="2">
        <v>9.19</v>
      </c>
      <c r="AH423">
        <v>0</v>
      </c>
      <c r="AI423">
        <v>1.5316666666667</v>
      </c>
      <c r="AJ423">
        <v>4.5949999999999998E-2</v>
      </c>
      <c r="AK423" t="s">
        <v>54</v>
      </c>
      <c r="AL423">
        <v>0.5</v>
      </c>
      <c r="AM423" s="4">
        <f t="shared" si="49"/>
        <v>1.5316666666666665</v>
      </c>
      <c r="AN423" s="4">
        <f t="shared" si="50"/>
        <v>2.4750000000000001</v>
      </c>
      <c r="AO423" s="4">
        <f t="shared" si="51"/>
        <v>2.7497250000000002</v>
      </c>
      <c r="AP423" s="4">
        <f t="shared" si="52"/>
        <v>4.0092524999999997</v>
      </c>
      <c r="AQ423" s="10">
        <f t="shared" si="53"/>
        <v>2.6637214999999999</v>
      </c>
      <c r="AR423" s="10">
        <f t="shared" si="54"/>
        <v>2.9596609586499998</v>
      </c>
      <c r="AS423" s="10">
        <f t="shared" si="55"/>
        <v>4.1468816311999994</v>
      </c>
    </row>
    <row r="424" spans="1:45" x14ac:dyDescent="0.3">
      <c r="A424">
        <v>2025</v>
      </c>
      <c r="B424">
        <v>12</v>
      </c>
      <c r="C424" t="s">
        <v>55</v>
      </c>
      <c r="D424">
        <v>10</v>
      </c>
      <c r="E424" t="s">
        <v>36</v>
      </c>
      <c r="F424" t="s">
        <v>37</v>
      </c>
      <c r="G424" t="s">
        <v>38</v>
      </c>
      <c r="H424" t="s">
        <v>628</v>
      </c>
      <c r="I424" t="s">
        <v>57</v>
      </c>
      <c r="J424" t="s">
        <v>58</v>
      </c>
      <c r="K424" t="s">
        <v>59</v>
      </c>
      <c r="L424" t="s">
        <v>1769</v>
      </c>
      <c r="M424" t="s">
        <v>1770</v>
      </c>
      <c r="N424" t="s">
        <v>1771</v>
      </c>
      <c r="O424" t="s">
        <v>1197</v>
      </c>
      <c r="Q424" t="s">
        <v>62</v>
      </c>
      <c r="R424" t="s">
        <v>1772</v>
      </c>
      <c r="S424" t="s">
        <v>1772</v>
      </c>
      <c r="T424" t="s">
        <v>47</v>
      </c>
      <c r="U424" t="s">
        <v>359</v>
      </c>
      <c r="V424" t="s">
        <v>49</v>
      </c>
      <c r="W424" t="s">
        <v>896</v>
      </c>
      <c r="X424" t="s">
        <v>51</v>
      </c>
      <c r="Y424" t="s">
        <v>1743</v>
      </c>
      <c r="Z424" t="s">
        <v>1743</v>
      </c>
      <c r="AA424" t="s">
        <v>1744</v>
      </c>
      <c r="AB424" s="3">
        <f t="shared" si="48"/>
        <v>2</v>
      </c>
      <c r="AC424">
        <v>1447.25</v>
      </c>
      <c r="AD424" s="2">
        <v>723.625</v>
      </c>
      <c r="AE424" s="2">
        <v>376.82</v>
      </c>
      <c r="AF424" s="2">
        <v>11.15</v>
      </c>
      <c r="AG424" s="2">
        <v>1835.22</v>
      </c>
      <c r="AH424">
        <v>0</v>
      </c>
      <c r="AI424">
        <v>917.61</v>
      </c>
      <c r="AJ424">
        <v>9.1760999999999999</v>
      </c>
      <c r="AK424" t="s">
        <v>54</v>
      </c>
      <c r="AL424">
        <v>18.21</v>
      </c>
      <c r="AM424" s="4">
        <f t="shared" si="49"/>
        <v>917.61</v>
      </c>
      <c r="AN424" s="4">
        <f t="shared" si="50"/>
        <v>1356.796875</v>
      </c>
      <c r="AO424" s="4">
        <f t="shared" si="51"/>
        <v>1507.401328125</v>
      </c>
      <c r="AP424" s="4">
        <f t="shared" si="52"/>
        <v>2197.8752578125</v>
      </c>
      <c r="AQ424" s="10">
        <f t="shared" si="53"/>
        <v>1595.8155510000001</v>
      </c>
      <c r="AR424" s="10">
        <f t="shared" si="54"/>
        <v>1773.1106587161</v>
      </c>
      <c r="AS424" s="10">
        <f t="shared" si="55"/>
        <v>2484.3656497968</v>
      </c>
    </row>
    <row r="425" spans="1:45" x14ac:dyDescent="0.3">
      <c r="A425">
        <v>2025</v>
      </c>
      <c r="B425">
        <v>12</v>
      </c>
      <c r="C425" t="s">
        <v>55</v>
      </c>
      <c r="D425">
        <v>10</v>
      </c>
      <c r="E425" t="s">
        <v>36</v>
      </c>
      <c r="F425" t="s">
        <v>37</v>
      </c>
      <c r="G425" t="s">
        <v>38</v>
      </c>
      <c r="H425" t="s">
        <v>628</v>
      </c>
      <c r="I425" t="s">
        <v>57</v>
      </c>
      <c r="J425" t="s">
        <v>58</v>
      </c>
      <c r="K425" t="s">
        <v>59</v>
      </c>
      <c r="L425" t="s">
        <v>1769</v>
      </c>
      <c r="M425" t="s">
        <v>1770</v>
      </c>
      <c r="N425" t="s">
        <v>1771</v>
      </c>
      <c r="O425" t="s">
        <v>1197</v>
      </c>
      <c r="Q425" t="s">
        <v>62</v>
      </c>
      <c r="R425" t="s">
        <v>1772</v>
      </c>
      <c r="S425" t="s">
        <v>1772</v>
      </c>
      <c r="T425" t="s">
        <v>47</v>
      </c>
      <c r="U425" t="s">
        <v>359</v>
      </c>
      <c r="V425" t="s">
        <v>49</v>
      </c>
      <c r="W425" t="s">
        <v>896</v>
      </c>
      <c r="X425" t="s">
        <v>51</v>
      </c>
      <c r="Y425" t="s">
        <v>1915</v>
      </c>
      <c r="Z425" t="s">
        <v>1915</v>
      </c>
      <c r="AA425" t="s">
        <v>1917</v>
      </c>
      <c r="AB425" s="3">
        <f t="shared" si="48"/>
        <v>2</v>
      </c>
      <c r="AC425">
        <v>143.69999999999999</v>
      </c>
      <c r="AD425" s="2">
        <v>71.849999999999994</v>
      </c>
      <c r="AE425" s="2">
        <v>42.47</v>
      </c>
      <c r="AF425" s="2">
        <v>1.7</v>
      </c>
      <c r="AG425" s="2">
        <v>186.61</v>
      </c>
      <c r="AH425">
        <v>0</v>
      </c>
      <c r="AI425">
        <v>93.305000000000007</v>
      </c>
      <c r="AJ425">
        <v>0.93305000000000005</v>
      </c>
      <c r="AK425" t="s">
        <v>54</v>
      </c>
      <c r="AL425">
        <v>1.6</v>
      </c>
      <c r="AM425" s="4">
        <f t="shared" si="49"/>
        <v>93.305000000000007</v>
      </c>
      <c r="AN425" s="4">
        <f t="shared" si="50"/>
        <v>134.71875</v>
      </c>
      <c r="AO425" s="4">
        <f t="shared" si="51"/>
        <v>149.67253124999999</v>
      </c>
      <c r="AP425" s="4">
        <f t="shared" si="52"/>
        <v>218.230903125</v>
      </c>
      <c r="AQ425" s="10">
        <f t="shared" si="53"/>
        <v>162.26672550000001</v>
      </c>
      <c r="AR425" s="10">
        <f t="shared" si="54"/>
        <v>180.29455870305</v>
      </c>
      <c r="AS425" s="10">
        <f t="shared" si="55"/>
        <v>252.61683825840001</v>
      </c>
    </row>
    <row r="426" spans="1:45" x14ac:dyDescent="0.3">
      <c r="A426">
        <v>2025</v>
      </c>
      <c r="B426">
        <v>12</v>
      </c>
      <c r="C426" t="s">
        <v>55</v>
      </c>
      <c r="D426">
        <v>10</v>
      </c>
      <c r="E426" t="s">
        <v>36</v>
      </c>
      <c r="F426" t="s">
        <v>37</v>
      </c>
      <c r="G426" t="s">
        <v>38</v>
      </c>
      <c r="H426" t="s">
        <v>542</v>
      </c>
      <c r="I426" t="s">
        <v>57</v>
      </c>
      <c r="J426" t="s">
        <v>58</v>
      </c>
      <c r="K426" t="s">
        <v>59</v>
      </c>
      <c r="L426" t="s">
        <v>1769</v>
      </c>
      <c r="M426" t="s">
        <v>1770</v>
      </c>
      <c r="N426" t="s">
        <v>1771</v>
      </c>
      <c r="O426" t="s">
        <v>1197</v>
      </c>
      <c r="Q426" t="s">
        <v>62</v>
      </c>
      <c r="R426" t="s">
        <v>1772</v>
      </c>
      <c r="S426" t="s">
        <v>1772</v>
      </c>
      <c r="T426" t="s">
        <v>47</v>
      </c>
      <c r="U426" t="s">
        <v>178</v>
      </c>
      <c r="V426" t="s">
        <v>49</v>
      </c>
      <c r="W426" t="s">
        <v>179</v>
      </c>
      <c r="X426" t="s">
        <v>51</v>
      </c>
      <c r="Y426" t="s">
        <v>1915</v>
      </c>
      <c r="Z426" t="s">
        <v>1915</v>
      </c>
      <c r="AA426" t="s">
        <v>1916</v>
      </c>
      <c r="AB426" s="3">
        <f t="shared" si="48"/>
        <v>1</v>
      </c>
      <c r="AC426">
        <v>67.209999999999994</v>
      </c>
      <c r="AD426" s="2">
        <v>67.209999999999994</v>
      </c>
      <c r="AE426" s="2">
        <v>19.95</v>
      </c>
      <c r="AF426" s="2">
        <v>0.5</v>
      </c>
      <c r="AG426" s="2">
        <v>87.67</v>
      </c>
      <c r="AH426">
        <v>0</v>
      </c>
      <c r="AI426">
        <v>87.67</v>
      </c>
      <c r="AJ426">
        <v>0.43835000000000002</v>
      </c>
      <c r="AK426" t="s">
        <v>54</v>
      </c>
      <c r="AL426">
        <v>0.5</v>
      </c>
      <c r="AM426" s="4">
        <f t="shared" si="49"/>
        <v>87.67</v>
      </c>
      <c r="AN426" s="4">
        <f t="shared" si="50"/>
        <v>126.01874999999998</v>
      </c>
      <c r="AO426" s="4">
        <f t="shared" si="51"/>
        <v>140.00683124999998</v>
      </c>
      <c r="AP426" s="4">
        <f t="shared" si="52"/>
        <v>204.13777312499997</v>
      </c>
      <c r="AQ426" s="10">
        <f t="shared" si="53"/>
        <v>152.46689700000002</v>
      </c>
      <c r="AR426" s="10">
        <f t="shared" si="54"/>
        <v>169.40596925670002</v>
      </c>
      <c r="AS426" s="10">
        <f t="shared" si="55"/>
        <v>237.36046524960003</v>
      </c>
    </row>
    <row r="427" spans="1:45" x14ac:dyDescent="0.3">
      <c r="A427">
        <v>2025</v>
      </c>
      <c r="B427">
        <v>12</v>
      </c>
      <c r="C427" t="s">
        <v>55</v>
      </c>
      <c r="D427">
        <v>10</v>
      </c>
      <c r="E427" t="s">
        <v>36</v>
      </c>
      <c r="F427" t="s">
        <v>37</v>
      </c>
      <c r="G427" t="s">
        <v>38</v>
      </c>
      <c r="H427" t="s">
        <v>542</v>
      </c>
      <c r="I427" t="s">
        <v>57</v>
      </c>
      <c r="J427" t="s">
        <v>58</v>
      </c>
      <c r="K427" t="s">
        <v>59</v>
      </c>
      <c r="L427" t="s">
        <v>1769</v>
      </c>
      <c r="M427" t="s">
        <v>1770</v>
      </c>
      <c r="N427" t="s">
        <v>1771</v>
      </c>
      <c r="O427" t="s">
        <v>1197</v>
      </c>
      <c r="Q427" t="s">
        <v>62</v>
      </c>
      <c r="R427" t="s">
        <v>1772</v>
      </c>
      <c r="S427" t="s">
        <v>1772</v>
      </c>
      <c r="T427" t="s">
        <v>47</v>
      </c>
      <c r="U427" t="s">
        <v>178</v>
      </c>
      <c r="V427" t="s">
        <v>49</v>
      </c>
      <c r="W427" t="s">
        <v>179</v>
      </c>
      <c r="X427" t="s">
        <v>51</v>
      </c>
      <c r="Y427" t="s">
        <v>1925</v>
      </c>
      <c r="Z427" t="s">
        <v>1925</v>
      </c>
      <c r="AA427" t="s">
        <v>1926</v>
      </c>
      <c r="AB427" s="3">
        <f t="shared" si="48"/>
        <v>2</v>
      </c>
      <c r="AC427">
        <v>275.7</v>
      </c>
      <c r="AD427" s="2">
        <v>137.85</v>
      </c>
      <c r="AE427" s="2">
        <v>81.849999999999994</v>
      </c>
      <c r="AF427" s="2">
        <v>2.7</v>
      </c>
      <c r="AG427" s="2">
        <v>359.61</v>
      </c>
      <c r="AH427">
        <v>0</v>
      </c>
      <c r="AI427">
        <v>179.80500000000001</v>
      </c>
      <c r="AJ427">
        <v>1.7980499999999999</v>
      </c>
      <c r="AK427" t="s">
        <v>54</v>
      </c>
      <c r="AL427">
        <v>2.5</v>
      </c>
      <c r="AM427" s="4">
        <f t="shared" si="49"/>
        <v>179.80500000000001</v>
      </c>
      <c r="AN427" s="4">
        <f t="shared" si="50"/>
        <v>258.46875</v>
      </c>
      <c r="AO427" s="4">
        <f t="shared" si="51"/>
        <v>287.15878125</v>
      </c>
      <c r="AP427" s="4">
        <f t="shared" si="52"/>
        <v>418.693528125</v>
      </c>
      <c r="AQ427" s="10">
        <f t="shared" si="53"/>
        <v>312.69887550000004</v>
      </c>
      <c r="AR427" s="10">
        <f t="shared" si="54"/>
        <v>347.43972056805006</v>
      </c>
      <c r="AS427" s="10">
        <f t="shared" si="55"/>
        <v>486.80960937840007</v>
      </c>
    </row>
    <row r="428" spans="1:45" x14ac:dyDescent="0.3">
      <c r="A428">
        <v>2025</v>
      </c>
      <c r="B428">
        <v>6</v>
      </c>
      <c r="C428" t="s">
        <v>55</v>
      </c>
      <c r="D428">
        <v>10</v>
      </c>
      <c r="E428" t="s">
        <v>36</v>
      </c>
      <c r="F428" t="s">
        <v>37</v>
      </c>
      <c r="G428" t="s">
        <v>38</v>
      </c>
      <c r="H428" t="s">
        <v>78</v>
      </c>
      <c r="I428" t="s">
        <v>190</v>
      </c>
      <c r="J428" t="s">
        <v>58</v>
      </c>
      <c r="K428" t="s">
        <v>59</v>
      </c>
      <c r="M428" t="s">
        <v>730</v>
      </c>
      <c r="N428" t="s">
        <v>731</v>
      </c>
      <c r="O428" t="s">
        <v>36</v>
      </c>
      <c r="Q428" t="s">
        <v>62</v>
      </c>
      <c r="R428" t="s">
        <v>732</v>
      </c>
      <c r="S428" t="s">
        <v>732</v>
      </c>
      <c r="T428" t="s">
        <v>47</v>
      </c>
      <c r="U428" t="s">
        <v>629</v>
      </c>
      <c r="V428" t="s">
        <v>49</v>
      </c>
      <c r="W428" t="s">
        <v>908</v>
      </c>
      <c r="X428" t="s">
        <v>686</v>
      </c>
      <c r="Y428" t="s">
        <v>1923</v>
      </c>
      <c r="Z428" t="s">
        <v>1923</v>
      </c>
      <c r="AA428" t="s">
        <v>1924</v>
      </c>
      <c r="AB428" s="3">
        <f t="shared" si="48"/>
        <v>1</v>
      </c>
      <c r="AC428">
        <v>136.27000000000001</v>
      </c>
      <c r="AD428" s="2">
        <v>136.27000000000001</v>
      </c>
      <c r="AE428" s="2">
        <v>40.450000000000003</v>
      </c>
      <c r="AF428" s="2">
        <v>1.2</v>
      </c>
      <c r="AG428" s="2">
        <v>177.75</v>
      </c>
      <c r="AH428">
        <v>0</v>
      </c>
      <c r="AI428">
        <v>177.75</v>
      </c>
      <c r="AJ428">
        <v>0.88875000000000004</v>
      </c>
      <c r="AK428" t="s">
        <v>54</v>
      </c>
      <c r="AL428">
        <v>1.1000000000000001</v>
      </c>
      <c r="AM428" s="4">
        <f t="shared" si="49"/>
        <v>177.75</v>
      </c>
      <c r="AN428" s="4">
        <f t="shared" si="50"/>
        <v>255.50625000000002</v>
      </c>
      <c r="AO428" s="4">
        <f t="shared" si="51"/>
        <v>283.86744375000001</v>
      </c>
      <c r="AP428" s="4">
        <f t="shared" si="52"/>
        <v>413.89457437499999</v>
      </c>
      <c r="AQ428" s="10">
        <f t="shared" si="53"/>
        <v>309.12502499999999</v>
      </c>
      <c r="AR428" s="10">
        <f t="shared" si="54"/>
        <v>343.46881527749997</v>
      </c>
      <c r="AS428" s="10">
        <f t="shared" si="55"/>
        <v>481.24583891999998</v>
      </c>
    </row>
    <row r="429" spans="1:45" x14ac:dyDescent="0.3">
      <c r="A429">
        <v>2025</v>
      </c>
      <c r="B429">
        <v>12</v>
      </c>
      <c r="C429" t="s">
        <v>55</v>
      </c>
      <c r="D429">
        <v>10</v>
      </c>
      <c r="E429" t="s">
        <v>36</v>
      </c>
      <c r="F429" t="s">
        <v>37</v>
      </c>
      <c r="G429" t="s">
        <v>38</v>
      </c>
      <c r="H429" t="s">
        <v>78</v>
      </c>
      <c r="I429" t="s">
        <v>57</v>
      </c>
      <c r="J429" t="s">
        <v>58</v>
      </c>
      <c r="K429" t="s">
        <v>59</v>
      </c>
      <c r="L429" t="s">
        <v>1769</v>
      </c>
      <c r="M429" t="s">
        <v>1770</v>
      </c>
      <c r="N429" t="s">
        <v>1771</v>
      </c>
      <c r="O429" t="s">
        <v>1197</v>
      </c>
      <c r="Q429" t="s">
        <v>62</v>
      </c>
      <c r="R429" t="s">
        <v>1772</v>
      </c>
      <c r="S429" t="s">
        <v>1772</v>
      </c>
      <c r="T429" t="s">
        <v>47</v>
      </c>
      <c r="U429" t="s">
        <v>629</v>
      </c>
      <c r="V429" t="s">
        <v>49</v>
      </c>
      <c r="W429" t="s">
        <v>908</v>
      </c>
      <c r="X429" t="s">
        <v>51</v>
      </c>
      <c r="Y429" t="s">
        <v>909</v>
      </c>
      <c r="Z429" t="s">
        <v>909</v>
      </c>
      <c r="AA429" t="s">
        <v>910</v>
      </c>
      <c r="AB429" s="3">
        <f t="shared" si="48"/>
        <v>1</v>
      </c>
      <c r="AC429">
        <v>98.6</v>
      </c>
      <c r="AD429" s="2">
        <v>98.6</v>
      </c>
      <c r="AE429" s="2">
        <v>20.85</v>
      </c>
      <c r="AF429" s="2">
        <v>0.73</v>
      </c>
      <c r="AG429" s="2">
        <v>120.17</v>
      </c>
      <c r="AH429">
        <v>0</v>
      </c>
      <c r="AI429">
        <v>120.17</v>
      </c>
      <c r="AJ429">
        <v>0.60085</v>
      </c>
      <c r="AK429" t="s">
        <v>54</v>
      </c>
      <c r="AL429">
        <v>0.71</v>
      </c>
      <c r="AM429" s="4">
        <f t="shared" si="49"/>
        <v>120.17</v>
      </c>
      <c r="AN429" s="4">
        <f t="shared" si="50"/>
        <v>184.875</v>
      </c>
      <c r="AO429" s="4">
        <f t="shared" si="51"/>
        <v>205.39612499999998</v>
      </c>
      <c r="AP429" s="4">
        <f t="shared" si="52"/>
        <v>299.47901249999995</v>
      </c>
      <c r="AQ429" s="10">
        <f t="shared" si="53"/>
        <v>208.98764700000001</v>
      </c>
      <c r="AR429" s="10">
        <f t="shared" si="54"/>
        <v>232.2061745817</v>
      </c>
      <c r="AS429" s="10">
        <f t="shared" si="55"/>
        <v>325.35196884959998</v>
      </c>
    </row>
    <row r="430" spans="1:45" x14ac:dyDescent="0.3">
      <c r="A430">
        <v>2025</v>
      </c>
      <c r="B430">
        <v>8</v>
      </c>
      <c r="C430" t="s">
        <v>55</v>
      </c>
      <c r="D430">
        <v>10</v>
      </c>
      <c r="E430" t="s">
        <v>36</v>
      </c>
      <c r="F430" t="s">
        <v>37</v>
      </c>
      <c r="G430" t="s">
        <v>38</v>
      </c>
      <c r="H430" t="s">
        <v>78</v>
      </c>
      <c r="I430" t="s">
        <v>190</v>
      </c>
      <c r="J430" t="s">
        <v>58</v>
      </c>
      <c r="K430" t="s">
        <v>59</v>
      </c>
      <c r="L430" t="s">
        <v>1194</v>
      </c>
      <c r="M430" t="s">
        <v>1195</v>
      </c>
      <c r="N430" t="s">
        <v>1196</v>
      </c>
      <c r="O430" t="s">
        <v>1197</v>
      </c>
      <c r="Q430" t="s">
        <v>62</v>
      </c>
      <c r="R430" t="s">
        <v>1198</v>
      </c>
      <c r="S430" t="s">
        <v>1198</v>
      </c>
      <c r="T430" t="s">
        <v>47</v>
      </c>
      <c r="U430" t="s">
        <v>629</v>
      </c>
      <c r="V430" t="s">
        <v>49</v>
      </c>
      <c r="W430" t="s">
        <v>908</v>
      </c>
      <c r="X430" t="s">
        <v>388</v>
      </c>
      <c r="Y430" t="s">
        <v>1918</v>
      </c>
      <c r="Z430" t="s">
        <v>1918</v>
      </c>
      <c r="AA430" t="s">
        <v>1919</v>
      </c>
      <c r="AB430" s="3">
        <f t="shared" si="48"/>
        <v>1</v>
      </c>
      <c r="AC430">
        <v>238</v>
      </c>
      <c r="AD430" s="2">
        <v>238</v>
      </c>
      <c r="AE430" s="2">
        <v>70.650000000000006</v>
      </c>
      <c r="AF430" s="2">
        <v>1.79</v>
      </c>
      <c r="AG430" s="2">
        <v>310.44</v>
      </c>
      <c r="AH430">
        <v>0</v>
      </c>
      <c r="AI430">
        <v>310.44</v>
      </c>
      <c r="AJ430">
        <v>1.5522</v>
      </c>
      <c r="AK430" t="s">
        <v>54</v>
      </c>
      <c r="AL430">
        <v>1.77</v>
      </c>
      <c r="AM430" s="4">
        <f t="shared" si="49"/>
        <v>310.44</v>
      </c>
      <c r="AN430" s="4">
        <f t="shared" si="50"/>
        <v>446.25</v>
      </c>
      <c r="AO430" s="4">
        <f t="shared" si="51"/>
        <v>495.78375</v>
      </c>
      <c r="AP430" s="4">
        <f t="shared" si="52"/>
        <v>722.88037499999996</v>
      </c>
      <c r="AQ430" s="10">
        <f t="shared" si="53"/>
        <v>539.88620400000002</v>
      </c>
      <c r="AR430" s="10">
        <f t="shared" si="54"/>
        <v>599.86756126440002</v>
      </c>
      <c r="AS430" s="10">
        <f t="shared" si="55"/>
        <v>840.49484238720004</v>
      </c>
    </row>
    <row r="431" spans="1:45" x14ac:dyDescent="0.3">
      <c r="A431">
        <v>2025</v>
      </c>
      <c r="B431">
        <v>12</v>
      </c>
      <c r="C431" t="s">
        <v>55</v>
      </c>
      <c r="D431">
        <v>10</v>
      </c>
      <c r="E431" t="s">
        <v>36</v>
      </c>
      <c r="F431" t="s">
        <v>37</v>
      </c>
      <c r="G431" t="s">
        <v>38</v>
      </c>
      <c r="H431" t="s">
        <v>78</v>
      </c>
      <c r="I431" t="s">
        <v>57</v>
      </c>
      <c r="J431" t="s">
        <v>58</v>
      </c>
      <c r="K431" t="s">
        <v>59</v>
      </c>
      <c r="L431" t="s">
        <v>1769</v>
      </c>
      <c r="M431" t="s">
        <v>1770</v>
      </c>
      <c r="N431" t="s">
        <v>1771</v>
      </c>
      <c r="O431" t="s">
        <v>1197</v>
      </c>
      <c r="Q431" t="s">
        <v>62</v>
      </c>
      <c r="R431" t="s">
        <v>1772</v>
      </c>
      <c r="S431" t="s">
        <v>1772</v>
      </c>
      <c r="T431" t="s">
        <v>47</v>
      </c>
      <c r="U431" t="s">
        <v>629</v>
      </c>
      <c r="V431" t="s">
        <v>49</v>
      </c>
      <c r="W431" t="s">
        <v>908</v>
      </c>
      <c r="X431" t="s">
        <v>51</v>
      </c>
      <c r="Y431" t="s">
        <v>1442</v>
      </c>
      <c r="Z431" t="s">
        <v>1442</v>
      </c>
      <c r="AA431" t="s">
        <v>1443</v>
      </c>
      <c r="AB431" s="3">
        <f t="shared" si="48"/>
        <v>2</v>
      </c>
      <c r="AC431">
        <v>207.69</v>
      </c>
      <c r="AD431" s="2">
        <v>103.845</v>
      </c>
      <c r="AE431" s="2">
        <v>14.88</v>
      </c>
      <c r="AF431" s="2">
        <v>1.34</v>
      </c>
      <c r="AG431" s="2">
        <v>223.91</v>
      </c>
      <c r="AH431">
        <v>0</v>
      </c>
      <c r="AI431">
        <v>111.955</v>
      </c>
      <c r="AJ431">
        <v>1.11955</v>
      </c>
      <c r="AK431" t="s">
        <v>54</v>
      </c>
      <c r="AL431">
        <v>1.75</v>
      </c>
      <c r="AM431" s="4">
        <f t="shared" si="49"/>
        <v>111.955</v>
      </c>
      <c r="AN431" s="4">
        <f t="shared" si="50"/>
        <v>194.70937499999999</v>
      </c>
      <c r="AO431" s="4">
        <f t="shared" si="51"/>
        <v>216.32211562499998</v>
      </c>
      <c r="AP431" s="4">
        <f t="shared" si="52"/>
        <v>315.40971656249997</v>
      </c>
      <c r="AQ431" s="10">
        <f t="shared" si="53"/>
        <v>194.7009405</v>
      </c>
      <c r="AR431" s="10">
        <f t="shared" si="54"/>
        <v>216.33221498955001</v>
      </c>
      <c r="AS431" s="10">
        <f t="shared" si="55"/>
        <v>303.11042417039999</v>
      </c>
    </row>
    <row r="432" spans="1:45" x14ac:dyDescent="0.3">
      <c r="A432">
        <v>2025</v>
      </c>
      <c r="B432">
        <v>7</v>
      </c>
      <c r="C432" t="s">
        <v>55</v>
      </c>
      <c r="D432">
        <v>10</v>
      </c>
      <c r="E432" t="s">
        <v>36</v>
      </c>
      <c r="F432" t="s">
        <v>37</v>
      </c>
      <c r="G432" t="s">
        <v>38</v>
      </c>
      <c r="H432" t="s">
        <v>622</v>
      </c>
      <c r="I432" t="s">
        <v>190</v>
      </c>
      <c r="J432" t="s">
        <v>58</v>
      </c>
      <c r="K432" t="s">
        <v>41</v>
      </c>
      <c r="L432" t="s">
        <v>953</v>
      </c>
      <c r="M432" t="s">
        <v>954</v>
      </c>
      <c r="N432" t="s">
        <v>731</v>
      </c>
      <c r="O432" t="s">
        <v>36</v>
      </c>
      <c r="Q432" t="s">
        <v>62</v>
      </c>
      <c r="R432" t="s">
        <v>955</v>
      </c>
      <c r="S432" t="s">
        <v>956</v>
      </c>
      <c r="T432" t="s">
        <v>47</v>
      </c>
      <c r="U432" t="s">
        <v>629</v>
      </c>
      <c r="V432" t="s">
        <v>49</v>
      </c>
      <c r="W432" t="s">
        <v>908</v>
      </c>
      <c r="X432" t="s">
        <v>51</v>
      </c>
      <c r="Y432" t="s">
        <v>1920</v>
      </c>
      <c r="Z432" t="s">
        <v>1920</v>
      </c>
      <c r="AA432" t="s">
        <v>1921</v>
      </c>
      <c r="AB432" s="3">
        <f t="shared" si="48"/>
        <v>1</v>
      </c>
      <c r="AC432">
        <v>300.67</v>
      </c>
      <c r="AD432" s="2">
        <v>300.67</v>
      </c>
      <c r="AE432" s="2">
        <v>89.26</v>
      </c>
      <c r="AF432" s="2">
        <v>2.2599999999999998</v>
      </c>
      <c r="AG432" s="2">
        <v>392.19</v>
      </c>
      <c r="AH432">
        <v>0</v>
      </c>
      <c r="AI432">
        <v>392.19</v>
      </c>
      <c r="AJ432">
        <v>1.96095</v>
      </c>
      <c r="AK432" t="s">
        <v>54</v>
      </c>
      <c r="AL432">
        <v>2.23</v>
      </c>
      <c r="AM432" s="4">
        <f t="shared" si="49"/>
        <v>392.19</v>
      </c>
      <c r="AN432" s="4">
        <f t="shared" si="50"/>
        <v>563.75625000000002</v>
      </c>
      <c r="AO432" s="4">
        <f t="shared" si="51"/>
        <v>626.33319374999996</v>
      </c>
      <c r="AP432" s="4">
        <f t="shared" si="52"/>
        <v>913.22874937500001</v>
      </c>
      <c r="AQ432" s="10">
        <f t="shared" si="53"/>
        <v>682.05762900000002</v>
      </c>
      <c r="AR432" s="10">
        <f t="shared" si="54"/>
        <v>757.83423158189999</v>
      </c>
      <c r="AS432" s="10">
        <f t="shared" si="55"/>
        <v>1061.8273168272001</v>
      </c>
    </row>
    <row r="433" spans="1:45" x14ac:dyDescent="0.3">
      <c r="A433">
        <v>2025</v>
      </c>
      <c r="B433">
        <v>12</v>
      </c>
      <c r="C433" t="s">
        <v>55</v>
      </c>
      <c r="D433">
        <v>10</v>
      </c>
      <c r="E433" t="s">
        <v>36</v>
      </c>
      <c r="F433" t="s">
        <v>37</v>
      </c>
      <c r="G433" t="s">
        <v>38</v>
      </c>
      <c r="H433" t="s">
        <v>622</v>
      </c>
      <c r="I433" t="s">
        <v>57</v>
      </c>
      <c r="J433" t="s">
        <v>58</v>
      </c>
      <c r="K433" t="s">
        <v>59</v>
      </c>
      <c r="L433" t="s">
        <v>1803</v>
      </c>
      <c r="M433" t="s">
        <v>1804</v>
      </c>
      <c r="N433" t="s">
        <v>377</v>
      </c>
      <c r="O433" t="s">
        <v>1197</v>
      </c>
      <c r="Q433" t="s">
        <v>62</v>
      </c>
      <c r="R433" t="s">
        <v>1805</v>
      </c>
      <c r="S433" t="s">
        <v>1805</v>
      </c>
      <c r="T433" t="s">
        <v>47</v>
      </c>
      <c r="U433" t="s">
        <v>367</v>
      </c>
      <c r="V433" t="s">
        <v>49</v>
      </c>
      <c r="W433" t="s">
        <v>935</v>
      </c>
      <c r="X433" t="s">
        <v>51</v>
      </c>
      <c r="Y433" t="s">
        <v>1159</v>
      </c>
      <c r="Z433" t="s">
        <v>1159</v>
      </c>
      <c r="AA433" t="s">
        <v>1160</v>
      </c>
      <c r="AB433" s="3">
        <f t="shared" si="48"/>
        <v>1</v>
      </c>
      <c r="AC433">
        <v>460.87</v>
      </c>
      <c r="AD433" s="2">
        <v>460.87</v>
      </c>
      <c r="AE433" s="2">
        <v>29.4</v>
      </c>
      <c r="AF433" s="2">
        <v>3.19</v>
      </c>
      <c r="AG433" s="2">
        <v>493.1</v>
      </c>
      <c r="AH433">
        <v>0</v>
      </c>
      <c r="AI433">
        <v>493.1</v>
      </c>
      <c r="AJ433">
        <v>2.4655</v>
      </c>
      <c r="AK433" t="s">
        <v>54</v>
      </c>
      <c r="AL433">
        <v>2.17</v>
      </c>
      <c r="AM433" s="4">
        <f t="shared" si="49"/>
        <v>493.1</v>
      </c>
      <c r="AN433" s="4">
        <f t="shared" si="50"/>
        <v>864.13125000000002</v>
      </c>
      <c r="AO433" s="4">
        <f t="shared" si="51"/>
        <v>960.04981874999999</v>
      </c>
      <c r="AP433" s="4">
        <f t="shared" si="52"/>
        <v>1399.8062118749999</v>
      </c>
      <c r="AQ433" s="10">
        <f t="shared" si="53"/>
        <v>857.55021000000011</v>
      </c>
      <c r="AR433" s="10">
        <f t="shared" si="54"/>
        <v>952.82403833100011</v>
      </c>
      <c r="AS433" s="10">
        <f t="shared" si="55"/>
        <v>1335.0341669280001</v>
      </c>
    </row>
    <row r="434" spans="1:45" x14ac:dyDescent="0.3">
      <c r="A434">
        <v>2025</v>
      </c>
      <c r="B434">
        <v>4</v>
      </c>
      <c r="C434" t="s">
        <v>55</v>
      </c>
      <c r="D434">
        <v>10</v>
      </c>
      <c r="E434" t="s">
        <v>36</v>
      </c>
      <c r="F434" t="s">
        <v>37</v>
      </c>
      <c r="G434" t="s">
        <v>38</v>
      </c>
      <c r="H434" t="s">
        <v>67</v>
      </c>
      <c r="I434" t="s">
        <v>375</v>
      </c>
      <c r="J434" t="s">
        <v>376</v>
      </c>
      <c r="K434" t="s">
        <v>59</v>
      </c>
      <c r="M434">
        <v>2503061</v>
      </c>
      <c r="N434" t="s">
        <v>377</v>
      </c>
      <c r="O434" t="s">
        <v>36</v>
      </c>
      <c r="Q434" t="s">
        <v>62</v>
      </c>
      <c r="R434" t="s">
        <v>378</v>
      </c>
      <c r="S434" t="s">
        <v>378</v>
      </c>
      <c r="T434" t="s">
        <v>47</v>
      </c>
      <c r="U434" t="s">
        <v>167</v>
      </c>
      <c r="V434" t="s">
        <v>49</v>
      </c>
      <c r="W434" t="s">
        <v>168</v>
      </c>
      <c r="X434" t="s">
        <v>51</v>
      </c>
      <c r="Y434" t="s">
        <v>1934</v>
      </c>
      <c r="Z434" t="s">
        <v>1934</v>
      </c>
      <c r="AA434" t="s">
        <v>1935</v>
      </c>
      <c r="AB434" s="3">
        <f t="shared" si="48"/>
        <v>0.8499999999999982</v>
      </c>
      <c r="AC434">
        <v>740.81</v>
      </c>
      <c r="AD434" s="2">
        <v>871.54117647059002</v>
      </c>
      <c r="AE434" s="2">
        <v>288.3</v>
      </c>
      <c r="AF434" s="2">
        <v>10.93</v>
      </c>
      <c r="AG434" s="2">
        <v>1039.77</v>
      </c>
      <c r="AH434">
        <v>0</v>
      </c>
      <c r="AI434">
        <v>1223.2588235293999</v>
      </c>
      <c r="AJ434">
        <v>5.1988500000000002</v>
      </c>
      <c r="AK434" t="s">
        <v>54</v>
      </c>
      <c r="AL434">
        <v>0.46</v>
      </c>
      <c r="AM434" s="4">
        <f t="shared" si="49"/>
        <v>1223.2588235294143</v>
      </c>
      <c r="AN434" s="4">
        <f t="shared" si="50"/>
        <v>1634.1397058823563</v>
      </c>
      <c r="AO434" s="4">
        <f t="shared" si="51"/>
        <v>1815.5292132352979</v>
      </c>
      <c r="AP434" s="4">
        <f t="shared" si="52"/>
        <v>2647.1429095588287</v>
      </c>
      <c r="AQ434" s="10">
        <f t="shared" si="53"/>
        <v>2127.3694200000045</v>
      </c>
      <c r="AR434" s="10">
        <f t="shared" si="54"/>
        <v>2363.720162562005</v>
      </c>
      <c r="AS434" s="10">
        <f t="shared" si="55"/>
        <v>3311.888713056007</v>
      </c>
    </row>
    <row r="435" spans="1:45" x14ac:dyDescent="0.3">
      <c r="A435">
        <v>2025</v>
      </c>
      <c r="B435">
        <v>7</v>
      </c>
      <c r="C435" t="s">
        <v>55</v>
      </c>
      <c r="D435">
        <v>10</v>
      </c>
      <c r="E435" t="s">
        <v>36</v>
      </c>
      <c r="F435" t="s">
        <v>37</v>
      </c>
      <c r="G435" t="s">
        <v>38</v>
      </c>
      <c r="H435" t="s">
        <v>622</v>
      </c>
      <c r="I435" t="s">
        <v>190</v>
      </c>
      <c r="J435" t="s">
        <v>58</v>
      </c>
      <c r="K435" t="s">
        <v>41</v>
      </c>
      <c r="L435" t="s">
        <v>953</v>
      </c>
      <c r="M435" t="s">
        <v>954</v>
      </c>
      <c r="N435" t="s">
        <v>731</v>
      </c>
      <c r="O435" t="s">
        <v>36</v>
      </c>
      <c r="Q435" t="s">
        <v>62</v>
      </c>
      <c r="R435" t="s">
        <v>955</v>
      </c>
      <c r="S435" t="s">
        <v>956</v>
      </c>
      <c r="T435" t="s">
        <v>47</v>
      </c>
      <c r="U435" t="s">
        <v>629</v>
      </c>
      <c r="V435" t="s">
        <v>49</v>
      </c>
      <c r="W435" t="s">
        <v>908</v>
      </c>
      <c r="X435" t="s">
        <v>51</v>
      </c>
      <c r="Y435" t="s">
        <v>570</v>
      </c>
      <c r="Z435" t="s">
        <v>570</v>
      </c>
      <c r="AA435" t="s">
        <v>571</v>
      </c>
      <c r="AB435" s="3">
        <f t="shared" si="48"/>
        <v>20</v>
      </c>
      <c r="AC435">
        <v>1306.9000000000001</v>
      </c>
      <c r="AD435" s="2">
        <v>65.344999999999999</v>
      </c>
      <c r="AE435" s="2">
        <v>301.74</v>
      </c>
      <c r="AF435" s="2">
        <v>9.08</v>
      </c>
      <c r="AG435" s="2">
        <v>1617.72</v>
      </c>
      <c r="AH435">
        <v>0</v>
      </c>
      <c r="AI435">
        <v>80.885999999999996</v>
      </c>
      <c r="AJ435">
        <v>8.0885999999999996</v>
      </c>
      <c r="AK435" t="s">
        <v>54</v>
      </c>
      <c r="AL435">
        <v>14.4</v>
      </c>
      <c r="AM435" s="4">
        <f t="shared" si="49"/>
        <v>80.885999999999996</v>
      </c>
      <c r="AN435" s="4">
        <f t="shared" si="50"/>
        <v>122.52187499999999</v>
      </c>
      <c r="AO435" s="4">
        <f t="shared" si="51"/>
        <v>136.12180312499999</v>
      </c>
      <c r="AP435" s="4">
        <f t="shared" si="52"/>
        <v>198.47318531249996</v>
      </c>
      <c r="AQ435" s="10">
        <f t="shared" si="53"/>
        <v>140.6688426</v>
      </c>
      <c r="AR435" s="10">
        <f t="shared" si="54"/>
        <v>156.29715101286001</v>
      </c>
      <c r="AS435" s="10">
        <f t="shared" si="55"/>
        <v>218.99325415967999</v>
      </c>
    </row>
    <row r="436" spans="1:45" x14ac:dyDescent="0.3">
      <c r="A436">
        <v>2025</v>
      </c>
      <c r="B436">
        <v>10</v>
      </c>
      <c r="C436" t="s">
        <v>55</v>
      </c>
      <c r="D436">
        <v>10</v>
      </c>
      <c r="E436" t="s">
        <v>36</v>
      </c>
      <c r="F436" t="s">
        <v>37</v>
      </c>
      <c r="G436" t="s">
        <v>38</v>
      </c>
      <c r="H436" t="s">
        <v>101</v>
      </c>
      <c r="I436" t="s">
        <v>375</v>
      </c>
      <c r="J436" t="s">
        <v>376</v>
      </c>
      <c r="K436" t="s">
        <v>59</v>
      </c>
      <c r="L436" t="s">
        <v>1549</v>
      </c>
      <c r="M436" t="s">
        <v>1550</v>
      </c>
      <c r="N436" t="s">
        <v>1551</v>
      </c>
      <c r="O436" t="s">
        <v>1197</v>
      </c>
      <c r="Q436" t="s">
        <v>62</v>
      </c>
      <c r="R436" t="s">
        <v>1552</v>
      </c>
      <c r="S436" t="s">
        <v>1552</v>
      </c>
      <c r="T436" t="s">
        <v>47</v>
      </c>
      <c r="U436" t="s">
        <v>167</v>
      </c>
      <c r="V436" t="s">
        <v>49</v>
      </c>
      <c r="W436" t="s">
        <v>168</v>
      </c>
      <c r="X436" t="s">
        <v>51</v>
      </c>
      <c r="Y436" t="s">
        <v>1165</v>
      </c>
      <c r="Z436" t="s">
        <v>1165</v>
      </c>
      <c r="AA436" t="s">
        <v>1166</v>
      </c>
      <c r="AB436" s="3">
        <f t="shared" si="48"/>
        <v>1</v>
      </c>
      <c r="AC436">
        <v>473.29</v>
      </c>
      <c r="AD436" s="2">
        <v>473.29</v>
      </c>
      <c r="AE436" s="2">
        <v>29.4</v>
      </c>
      <c r="AF436" s="2">
        <v>3.28</v>
      </c>
      <c r="AG436" s="2">
        <v>505.6</v>
      </c>
      <c r="AH436">
        <v>0</v>
      </c>
      <c r="AI436">
        <v>505.6</v>
      </c>
      <c r="AJ436">
        <v>2.528</v>
      </c>
      <c r="AK436" t="s">
        <v>54</v>
      </c>
      <c r="AL436">
        <v>2.17</v>
      </c>
      <c r="AM436" s="4">
        <f t="shared" si="49"/>
        <v>505.6</v>
      </c>
      <c r="AN436" s="4">
        <f t="shared" si="50"/>
        <v>887.41875000000005</v>
      </c>
      <c r="AO436" s="4">
        <f t="shared" si="51"/>
        <v>985.9222312500001</v>
      </c>
      <c r="AP436" s="4">
        <f t="shared" si="52"/>
        <v>1437.5296331249999</v>
      </c>
      <c r="AQ436" s="10">
        <f t="shared" si="53"/>
        <v>879.28896000000009</v>
      </c>
      <c r="AR436" s="10">
        <f t="shared" si="54"/>
        <v>976.97796345600011</v>
      </c>
      <c r="AS436" s="10">
        <f t="shared" si="55"/>
        <v>1368.877052928</v>
      </c>
    </row>
    <row r="437" spans="1:45" x14ac:dyDescent="0.3">
      <c r="A437">
        <v>2025</v>
      </c>
      <c r="B437">
        <v>6</v>
      </c>
      <c r="C437" t="s">
        <v>55</v>
      </c>
      <c r="D437">
        <v>10</v>
      </c>
      <c r="E437" t="s">
        <v>36</v>
      </c>
      <c r="F437" t="s">
        <v>37</v>
      </c>
      <c r="G437" t="s">
        <v>38</v>
      </c>
      <c r="H437" t="s">
        <v>101</v>
      </c>
      <c r="I437" t="s">
        <v>190</v>
      </c>
      <c r="J437" t="s">
        <v>58</v>
      </c>
      <c r="K437" t="s">
        <v>59</v>
      </c>
      <c r="M437" t="s">
        <v>730</v>
      </c>
      <c r="N437" t="s">
        <v>731</v>
      </c>
      <c r="O437" t="s">
        <v>36</v>
      </c>
      <c r="Q437" t="s">
        <v>62</v>
      </c>
      <c r="R437" t="s">
        <v>732</v>
      </c>
      <c r="S437" t="s">
        <v>732</v>
      </c>
      <c r="T437" t="s">
        <v>47</v>
      </c>
      <c r="U437" t="s">
        <v>649</v>
      </c>
      <c r="V437" t="s">
        <v>49</v>
      </c>
      <c r="W437" t="s">
        <v>928</v>
      </c>
      <c r="X437" t="s">
        <v>686</v>
      </c>
      <c r="Y437" t="s">
        <v>1604</v>
      </c>
      <c r="Z437" t="s">
        <v>1604</v>
      </c>
      <c r="AA437" t="s">
        <v>1605</v>
      </c>
      <c r="AB437" s="3">
        <f t="shared" si="48"/>
        <v>1</v>
      </c>
      <c r="AC437">
        <v>125.9</v>
      </c>
      <c r="AD437" s="2">
        <v>125.9</v>
      </c>
      <c r="AE437" s="2">
        <v>57.17</v>
      </c>
      <c r="AF437" s="2">
        <v>1.1200000000000001</v>
      </c>
      <c r="AG437" s="2">
        <v>183.37</v>
      </c>
      <c r="AH437">
        <v>0</v>
      </c>
      <c r="AI437">
        <v>183.37</v>
      </c>
      <c r="AJ437">
        <v>0.91685000000000005</v>
      </c>
      <c r="AK437" t="s">
        <v>54</v>
      </c>
      <c r="AL437">
        <v>2.59</v>
      </c>
      <c r="AM437" s="4">
        <f t="shared" si="49"/>
        <v>183.37</v>
      </c>
      <c r="AN437" s="4">
        <f t="shared" si="50"/>
        <v>236.0625</v>
      </c>
      <c r="AO437" s="4">
        <f t="shared" si="51"/>
        <v>262.26543750000002</v>
      </c>
      <c r="AP437" s="4">
        <f t="shared" si="52"/>
        <v>382.39764374999999</v>
      </c>
      <c r="AQ437" s="10">
        <f t="shared" si="53"/>
        <v>318.89876700000002</v>
      </c>
      <c r="AR437" s="10">
        <f t="shared" si="54"/>
        <v>354.3284200137</v>
      </c>
      <c r="AS437" s="10">
        <f t="shared" si="55"/>
        <v>496.46160046560004</v>
      </c>
    </row>
    <row r="438" spans="1:45" x14ac:dyDescent="0.3">
      <c r="A438">
        <v>2025</v>
      </c>
      <c r="B438">
        <v>8</v>
      </c>
      <c r="C438" t="s">
        <v>55</v>
      </c>
      <c r="D438">
        <v>10</v>
      </c>
      <c r="E438" t="s">
        <v>36</v>
      </c>
      <c r="F438" t="s">
        <v>37</v>
      </c>
      <c r="G438" t="s">
        <v>38</v>
      </c>
      <c r="H438" t="s">
        <v>924</v>
      </c>
      <c r="I438" t="s">
        <v>190</v>
      </c>
      <c r="J438" t="s">
        <v>58</v>
      </c>
      <c r="K438" t="s">
        <v>59</v>
      </c>
      <c r="L438" t="s">
        <v>1194</v>
      </c>
      <c r="M438" t="s">
        <v>1195</v>
      </c>
      <c r="N438" t="s">
        <v>1196</v>
      </c>
      <c r="O438" t="s">
        <v>1197</v>
      </c>
      <c r="Q438" t="s">
        <v>62</v>
      </c>
      <c r="R438" t="s">
        <v>1198</v>
      </c>
      <c r="S438" t="s">
        <v>1198</v>
      </c>
      <c r="T438" t="s">
        <v>47</v>
      </c>
      <c r="U438" t="s">
        <v>105</v>
      </c>
      <c r="V438" t="s">
        <v>49</v>
      </c>
      <c r="W438" t="s">
        <v>708</v>
      </c>
      <c r="X438" t="s">
        <v>388</v>
      </c>
      <c r="Y438" t="s">
        <v>931</v>
      </c>
      <c r="Z438" t="s">
        <v>931</v>
      </c>
      <c r="AA438" t="s">
        <v>932</v>
      </c>
      <c r="AB438" s="3">
        <f t="shared" si="48"/>
        <v>1</v>
      </c>
      <c r="AC438">
        <v>159.69</v>
      </c>
      <c r="AD438" s="2">
        <v>159.69</v>
      </c>
      <c r="AE438" s="2">
        <v>33.76</v>
      </c>
      <c r="AF438" s="2">
        <v>1.18</v>
      </c>
      <c r="AG438" s="2">
        <v>194.64</v>
      </c>
      <c r="AH438">
        <v>0</v>
      </c>
      <c r="AI438">
        <v>194.64</v>
      </c>
      <c r="AJ438">
        <v>0.97319999999999995</v>
      </c>
      <c r="AK438" t="s">
        <v>54</v>
      </c>
      <c r="AL438">
        <v>1.1499999999999999</v>
      </c>
      <c r="AM438" s="4">
        <f t="shared" si="49"/>
        <v>194.64</v>
      </c>
      <c r="AN438" s="4">
        <f t="shared" si="50"/>
        <v>299.41874999999999</v>
      </c>
      <c r="AO438" s="4">
        <f t="shared" si="51"/>
        <v>332.65423125000001</v>
      </c>
      <c r="AP438" s="4">
        <f t="shared" si="52"/>
        <v>485.02843312499994</v>
      </c>
      <c r="AQ438" s="10">
        <f t="shared" si="53"/>
        <v>338.498424</v>
      </c>
      <c r="AR438" s="10">
        <f t="shared" si="54"/>
        <v>376.10559890640002</v>
      </c>
      <c r="AS438" s="10">
        <f t="shared" si="55"/>
        <v>526.97434648319995</v>
      </c>
    </row>
    <row r="439" spans="1:45" x14ac:dyDescent="0.3">
      <c r="A439">
        <v>2025</v>
      </c>
      <c r="B439">
        <v>8</v>
      </c>
      <c r="C439" t="s">
        <v>55</v>
      </c>
      <c r="D439">
        <v>10</v>
      </c>
      <c r="E439" t="s">
        <v>36</v>
      </c>
      <c r="F439" t="s">
        <v>37</v>
      </c>
      <c r="G439" t="s">
        <v>38</v>
      </c>
      <c r="H439" t="s">
        <v>1296</v>
      </c>
      <c r="I439" t="s">
        <v>190</v>
      </c>
      <c r="J439" t="s">
        <v>58</v>
      </c>
      <c r="K439" t="s">
        <v>59</v>
      </c>
      <c r="L439" t="s">
        <v>1194</v>
      </c>
      <c r="M439" t="s">
        <v>1195</v>
      </c>
      <c r="N439" t="s">
        <v>1196</v>
      </c>
      <c r="O439" t="s">
        <v>1197</v>
      </c>
      <c r="Q439" t="s">
        <v>62</v>
      </c>
      <c r="R439" t="s">
        <v>1198</v>
      </c>
      <c r="S439" t="s">
        <v>1198</v>
      </c>
      <c r="T439" t="s">
        <v>47</v>
      </c>
      <c r="U439" t="s">
        <v>199</v>
      </c>
      <c r="V439" t="s">
        <v>49</v>
      </c>
      <c r="W439" t="s">
        <v>697</v>
      </c>
      <c r="X439" t="s">
        <v>388</v>
      </c>
      <c r="Y439" t="s">
        <v>1313</v>
      </c>
      <c r="Z439" t="s">
        <v>1313</v>
      </c>
      <c r="AA439" t="s">
        <v>1314</v>
      </c>
      <c r="AB439" s="3">
        <f t="shared" si="48"/>
        <v>1</v>
      </c>
      <c r="AC439">
        <v>19.989999999999998</v>
      </c>
      <c r="AD439" s="2">
        <v>19.989999999999998</v>
      </c>
      <c r="AE439" s="2">
        <v>1.43</v>
      </c>
      <c r="AF439" s="2">
        <v>0.13</v>
      </c>
      <c r="AG439" s="2">
        <v>21.55</v>
      </c>
      <c r="AH439">
        <v>0</v>
      </c>
      <c r="AI439">
        <v>21.55</v>
      </c>
      <c r="AJ439">
        <v>0.10775</v>
      </c>
      <c r="AK439" t="s">
        <v>54</v>
      </c>
      <c r="AL439">
        <v>0.17</v>
      </c>
      <c r="AM439" s="4">
        <f t="shared" si="49"/>
        <v>21.55</v>
      </c>
      <c r="AN439" s="4">
        <f t="shared" si="50"/>
        <v>37.481249999999996</v>
      </c>
      <c r="AO439" s="4">
        <f t="shared" si="51"/>
        <v>41.641668749999994</v>
      </c>
      <c r="AP439" s="4">
        <f t="shared" si="52"/>
        <v>60.715876874999992</v>
      </c>
      <c r="AQ439" s="10">
        <f t="shared" si="53"/>
        <v>37.477605000000004</v>
      </c>
      <c r="AR439" s="10">
        <f t="shared" si="54"/>
        <v>41.641366915500001</v>
      </c>
      <c r="AS439" s="10">
        <f t="shared" si="55"/>
        <v>58.345135464000002</v>
      </c>
    </row>
    <row r="440" spans="1:45" x14ac:dyDescent="0.3">
      <c r="A440">
        <v>2025</v>
      </c>
      <c r="B440">
        <v>4</v>
      </c>
      <c r="C440" t="s">
        <v>55</v>
      </c>
      <c r="D440">
        <v>10</v>
      </c>
      <c r="E440" t="s">
        <v>36</v>
      </c>
      <c r="F440" t="s">
        <v>37</v>
      </c>
      <c r="G440" t="s">
        <v>38</v>
      </c>
      <c r="H440" t="s">
        <v>101</v>
      </c>
      <c r="I440" t="s">
        <v>375</v>
      </c>
      <c r="J440" t="s">
        <v>376</v>
      </c>
      <c r="K440" t="s">
        <v>59</v>
      </c>
      <c r="M440">
        <v>2503061</v>
      </c>
      <c r="N440" t="s">
        <v>377</v>
      </c>
      <c r="O440" t="s">
        <v>36</v>
      </c>
      <c r="Q440" t="s">
        <v>62</v>
      </c>
      <c r="R440" t="s">
        <v>378</v>
      </c>
      <c r="S440" t="s">
        <v>378</v>
      </c>
      <c r="T440" t="s">
        <v>47</v>
      </c>
      <c r="U440" t="s">
        <v>157</v>
      </c>
      <c r="V440" t="s">
        <v>49</v>
      </c>
      <c r="W440" t="s">
        <v>158</v>
      </c>
      <c r="X440" t="s">
        <v>51</v>
      </c>
      <c r="Y440" t="s">
        <v>1297</v>
      </c>
      <c r="Z440" t="s">
        <v>1297</v>
      </c>
      <c r="AA440" t="s">
        <v>1298</v>
      </c>
      <c r="AB440" s="3">
        <f t="shared" si="48"/>
        <v>1</v>
      </c>
      <c r="AC440">
        <v>377.6</v>
      </c>
      <c r="AD440" s="2">
        <v>377.6</v>
      </c>
      <c r="AE440" s="2">
        <v>27.2</v>
      </c>
      <c r="AF440" s="2">
        <v>2.44</v>
      </c>
      <c r="AG440" s="2">
        <v>406.53</v>
      </c>
      <c r="AH440">
        <v>0</v>
      </c>
      <c r="AI440">
        <v>406.53</v>
      </c>
      <c r="AJ440">
        <v>2.0326499999999998</v>
      </c>
      <c r="AK440" t="s">
        <v>54</v>
      </c>
      <c r="AL440">
        <v>3.18</v>
      </c>
      <c r="AM440" s="4">
        <f t="shared" si="49"/>
        <v>406.53</v>
      </c>
      <c r="AN440" s="4">
        <f t="shared" si="50"/>
        <v>708</v>
      </c>
      <c r="AO440" s="4">
        <f t="shared" si="51"/>
        <v>786.58799999999997</v>
      </c>
      <c r="AP440" s="4">
        <f t="shared" si="52"/>
        <v>1146.8891999999998</v>
      </c>
      <c r="AQ440" s="10">
        <f t="shared" si="53"/>
        <v>706.99632299999996</v>
      </c>
      <c r="AR440" s="10">
        <f t="shared" si="54"/>
        <v>785.54361448529994</v>
      </c>
      <c r="AS440" s="10">
        <f t="shared" si="55"/>
        <v>1100.6518756464</v>
      </c>
    </row>
    <row r="441" spans="1:45" x14ac:dyDescent="0.3">
      <c r="A441">
        <v>2025</v>
      </c>
      <c r="B441">
        <v>7</v>
      </c>
      <c r="C441" t="s">
        <v>55</v>
      </c>
      <c r="D441">
        <v>10</v>
      </c>
      <c r="E441" t="s">
        <v>36</v>
      </c>
      <c r="F441" t="s">
        <v>37</v>
      </c>
      <c r="G441" t="s">
        <v>38</v>
      </c>
      <c r="H441" t="s">
        <v>101</v>
      </c>
      <c r="I441" t="s">
        <v>190</v>
      </c>
      <c r="J441" t="s">
        <v>58</v>
      </c>
      <c r="K441" t="s">
        <v>41</v>
      </c>
      <c r="L441" t="s">
        <v>953</v>
      </c>
      <c r="M441" t="s">
        <v>954</v>
      </c>
      <c r="N441" t="s">
        <v>731</v>
      </c>
      <c r="O441" t="s">
        <v>36</v>
      </c>
      <c r="Q441" t="s">
        <v>62</v>
      </c>
      <c r="R441" t="s">
        <v>955</v>
      </c>
      <c r="S441" t="s">
        <v>956</v>
      </c>
      <c r="T441" t="s">
        <v>47</v>
      </c>
      <c r="U441" t="s">
        <v>157</v>
      </c>
      <c r="V441" t="s">
        <v>49</v>
      </c>
      <c r="W441" t="s">
        <v>158</v>
      </c>
      <c r="X441" t="s">
        <v>51</v>
      </c>
      <c r="Y441" t="s">
        <v>534</v>
      </c>
      <c r="Z441" t="s">
        <v>534</v>
      </c>
      <c r="AA441" t="s">
        <v>535</v>
      </c>
      <c r="AB441" s="3">
        <f t="shared" si="48"/>
        <v>2</v>
      </c>
      <c r="AC441">
        <v>261.05</v>
      </c>
      <c r="AD441" s="2">
        <v>130.52500000000001</v>
      </c>
      <c r="AE441" s="2">
        <v>47.15</v>
      </c>
      <c r="AF441" s="2">
        <v>1.83</v>
      </c>
      <c r="AG441" s="2">
        <v>310.02999999999997</v>
      </c>
      <c r="AH441">
        <v>0</v>
      </c>
      <c r="AI441">
        <v>155.01499999999999</v>
      </c>
      <c r="AJ441">
        <v>1.5501499999999999</v>
      </c>
      <c r="AK441" t="s">
        <v>54</v>
      </c>
      <c r="AL441">
        <v>2.25</v>
      </c>
      <c r="AM441" s="4">
        <f t="shared" si="49"/>
        <v>155.01499999999999</v>
      </c>
      <c r="AN441" s="4">
        <f t="shared" si="50"/>
        <v>244.734375</v>
      </c>
      <c r="AO441" s="4">
        <f t="shared" si="51"/>
        <v>271.89989062500001</v>
      </c>
      <c r="AP441" s="4">
        <f t="shared" si="52"/>
        <v>396.44521406249999</v>
      </c>
      <c r="AQ441" s="10">
        <f t="shared" si="53"/>
        <v>269.58658650000001</v>
      </c>
      <c r="AR441" s="10">
        <f t="shared" si="54"/>
        <v>299.53765626015002</v>
      </c>
      <c r="AS441" s="10">
        <f t="shared" si="55"/>
        <v>419.69239786320003</v>
      </c>
    </row>
    <row r="442" spans="1:45" x14ac:dyDescent="0.3">
      <c r="A442">
        <v>2025</v>
      </c>
      <c r="B442">
        <v>9</v>
      </c>
      <c r="C442" t="s">
        <v>55</v>
      </c>
      <c r="D442">
        <v>10</v>
      </c>
      <c r="E442" t="s">
        <v>36</v>
      </c>
      <c r="F442" t="s">
        <v>37</v>
      </c>
      <c r="G442" t="s">
        <v>38</v>
      </c>
      <c r="H442" t="s">
        <v>101</v>
      </c>
      <c r="I442" t="s">
        <v>375</v>
      </c>
      <c r="J442" t="s">
        <v>376</v>
      </c>
      <c r="K442" t="s">
        <v>41</v>
      </c>
      <c r="L442" t="s">
        <v>1503</v>
      </c>
      <c r="M442" t="s">
        <v>1504</v>
      </c>
      <c r="N442" t="s">
        <v>377</v>
      </c>
      <c r="O442" t="s">
        <v>1197</v>
      </c>
      <c r="Q442" t="s">
        <v>62</v>
      </c>
      <c r="R442" t="s">
        <v>1505</v>
      </c>
      <c r="S442" t="s">
        <v>1505</v>
      </c>
      <c r="T442" t="s">
        <v>47</v>
      </c>
      <c r="U442" t="s">
        <v>157</v>
      </c>
      <c r="V442" t="s">
        <v>49</v>
      </c>
      <c r="W442" t="s">
        <v>158</v>
      </c>
      <c r="X442" t="s">
        <v>388</v>
      </c>
      <c r="Y442" t="s">
        <v>1118</v>
      </c>
      <c r="Z442" t="s">
        <v>1118</v>
      </c>
      <c r="AA442" t="s">
        <v>535</v>
      </c>
      <c r="AB442" s="3">
        <f t="shared" si="48"/>
        <v>1</v>
      </c>
      <c r="AC442">
        <v>117.9</v>
      </c>
      <c r="AD442" s="2">
        <v>117.9</v>
      </c>
      <c r="AE442" s="2">
        <v>29.4</v>
      </c>
      <c r="AF442" s="2">
        <v>0.81</v>
      </c>
      <c r="AG442" s="2">
        <v>146.93</v>
      </c>
      <c r="AH442">
        <v>0</v>
      </c>
      <c r="AI442">
        <v>146.93</v>
      </c>
      <c r="AJ442">
        <v>0.73465000000000003</v>
      </c>
      <c r="AK442" t="s">
        <v>54</v>
      </c>
      <c r="AL442">
        <v>2.17</v>
      </c>
      <c r="AM442" s="4">
        <f t="shared" si="49"/>
        <v>146.93</v>
      </c>
      <c r="AN442" s="4">
        <f t="shared" si="50"/>
        <v>221.0625</v>
      </c>
      <c r="AO442" s="4">
        <f t="shared" si="51"/>
        <v>245.6004375</v>
      </c>
      <c r="AP442" s="4">
        <f t="shared" si="52"/>
        <v>358.09914375</v>
      </c>
      <c r="AQ442" s="10">
        <f t="shared" si="53"/>
        <v>255.52596300000002</v>
      </c>
      <c r="AR442" s="10">
        <f t="shared" si="54"/>
        <v>283.91489748930002</v>
      </c>
      <c r="AS442" s="10">
        <f t="shared" si="55"/>
        <v>397.80281919840002</v>
      </c>
    </row>
    <row r="443" spans="1:45" x14ac:dyDescent="0.3">
      <c r="A443">
        <v>2025</v>
      </c>
      <c r="B443">
        <v>11</v>
      </c>
      <c r="C443" t="s">
        <v>55</v>
      </c>
      <c r="D443">
        <v>10</v>
      </c>
      <c r="E443" t="s">
        <v>36</v>
      </c>
      <c r="F443" t="s">
        <v>37</v>
      </c>
      <c r="G443" t="s">
        <v>38</v>
      </c>
      <c r="H443" t="s">
        <v>101</v>
      </c>
      <c r="I443" t="s">
        <v>375</v>
      </c>
      <c r="J443" t="s">
        <v>376</v>
      </c>
      <c r="K443" t="s">
        <v>51</v>
      </c>
      <c r="L443" t="s">
        <v>1622</v>
      </c>
      <c r="M443" t="s">
        <v>1623</v>
      </c>
      <c r="N443" t="s">
        <v>1485</v>
      </c>
      <c r="O443" t="s">
        <v>1197</v>
      </c>
      <c r="Q443" t="s">
        <v>62</v>
      </c>
      <c r="R443" t="s">
        <v>1624</v>
      </c>
      <c r="S443" t="s">
        <v>1624</v>
      </c>
      <c r="T443" t="s">
        <v>47</v>
      </c>
      <c r="U443" t="s">
        <v>157</v>
      </c>
      <c r="V443" t="s">
        <v>49</v>
      </c>
      <c r="W443" t="s">
        <v>158</v>
      </c>
      <c r="X443" t="s">
        <v>51</v>
      </c>
      <c r="Y443" t="s">
        <v>1118</v>
      </c>
      <c r="Z443" t="s">
        <v>1118</v>
      </c>
      <c r="AA443" t="s">
        <v>535</v>
      </c>
      <c r="AB443" s="3">
        <f t="shared" si="48"/>
        <v>4</v>
      </c>
      <c r="AC443">
        <v>484.2</v>
      </c>
      <c r="AD443" s="2">
        <v>121.05</v>
      </c>
      <c r="AE443" s="2">
        <v>175.99</v>
      </c>
      <c r="AF443" s="2">
        <v>4.5</v>
      </c>
      <c r="AG443" s="2">
        <v>664.6</v>
      </c>
      <c r="AH443">
        <v>0</v>
      </c>
      <c r="AI443">
        <v>166.15</v>
      </c>
      <c r="AJ443">
        <v>3.323</v>
      </c>
      <c r="AK443" t="s">
        <v>54</v>
      </c>
      <c r="AL443">
        <v>8.9</v>
      </c>
      <c r="AM443" s="4">
        <f t="shared" si="49"/>
        <v>166.15</v>
      </c>
      <c r="AN443" s="4">
        <f t="shared" si="50"/>
        <v>226.96875</v>
      </c>
      <c r="AO443" s="4">
        <f t="shared" si="51"/>
        <v>252.16228125000001</v>
      </c>
      <c r="AP443" s="4">
        <f t="shared" si="52"/>
        <v>367.66667812499998</v>
      </c>
      <c r="AQ443" s="10">
        <f t="shared" si="53"/>
        <v>288.95146500000004</v>
      </c>
      <c r="AR443" s="10">
        <f t="shared" si="54"/>
        <v>321.05397276150006</v>
      </c>
      <c r="AS443" s="10">
        <f t="shared" si="55"/>
        <v>449.83964071200006</v>
      </c>
    </row>
    <row r="444" spans="1:45" x14ac:dyDescent="0.3">
      <c r="A444">
        <v>2025</v>
      </c>
      <c r="B444">
        <v>11</v>
      </c>
      <c r="C444" t="s">
        <v>55</v>
      </c>
      <c r="D444">
        <v>10</v>
      </c>
      <c r="E444" t="s">
        <v>36</v>
      </c>
      <c r="F444" t="s">
        <v>37</v>
      </c>
      <c r="G444" t="s">
        <v>38</v>
      </c>
      <c r="H444" t="s">
        <v>101</v>
      </c>
      <c r="I444" t="s">
        <v>375</v>
      </c>
      <c r="J444" t="s">
        <v>376</v>
      </c>
      <c r="K444" t="s">
        <v>51</v>
      </c>
      <c r="L444" t="s">
        <v>1622</v>
      </c>
      <c r="M444" t="s">
        <v>1623</v>
      </c>
      <c r="N444" t="s">
        <v>1485</v>
      </c>
      <c r="O444" t="s">
        <v>1197</v>
      </c>
      <c r="Q444" t="s">
        <v>62</v>
      </c>
      <c r="R444" t="s">
        <v>1624</v>
      </c>
      <c r="S444" t="s">
        <v>1624</v>
      </c>
      <c r="T444" t="s">
        <v>47</v>
      </c>
      <c r="U444" t="s">
        <v>157</v>
      </c>
      <c r="V444" t="s">
        <v>49</v>
      </c>
      <c r="W444" t="s">
        <v>158</v>
      </c>
      <c r="X444" t="s">
        <v>51</v>
      </c>
      <c r="Y444" t="s">
        <v>1532</v>
      </c>
      <c r="Z444" t="s">
        <v>1532</v>
      </c>
      <c r="AA444" t="s">
        <v>535</v>
      </c>
      <c r="AB444" s="3">
        <f t="shared" si="48"/>
        <v>1</v>
      </c>
      <c r="AC444">
        <v>118.82</v>
      </c>
      <c r="AD444" s="2">
        <v>118.82</v>
      </c>
      <c r="AE444" s="2">
        <v>16.64</v>
      </c>
      <c r="AF444" s="2">
        <v>0.82</v>
      </c>
      <c r="AG444" s="2">
        <v>136.28</v>
      </c>
      <c r="AH444">
        <v>0</v>
      </c>
      <c r="AI444">
        <v>136.28</v>
      </c>
      <c r="AJ444">
        <v>0.68140000000000001</v>
      </c>
      <c r="AK444" t="s">
        <v>54</v>
      </c>
      <c r="AL444">
        <v>0.62</v>
      </c>
      <c r="AM444" s="4">
        <f t="shared" si="49"/>
        <v>136.28</v>
      </c>
      <c r="AN444" s="4">
        <f t="shared" si="50"/>
        <v>222.78749999999999</v>
      </c>
      <c r="AO444" s="4">
        <f t="shared" si="51"/>
        <v>247.51691249999999</v>
      </c>
      <c r="AP444" s="4">
        <f t="shared" si="52"/>
        <v>360.89347124999995</v>
      </c>
      <c r="AQ444" s="10">
        <f t="shared" si="53"/>
        <v>237.00454800000003</v>
      </c>
      <c r="AR444" s="10">
        <f t="shared" si="54"/>
        <v>263.3357532828</v>
      </c>
      <c r="AS444" s="10">
        <f t="shared" si="55"/>
        <v>368.96868032640003</v>
      </c>
    </row>
    <row r="445" spans="1:45" x14ac:dyDescent="0.3">
      <c r="A445">
        <v>2025</v>
      </c>
      <c r="B445">
        <v>12</v>
      </c>
      <c r="C445" t="s">
        <v>55</v>
      </c>
      <c r="D445">
        <v>10</v>
      </c>
      <c r="E445" t="s">
        <v>36</v>
      </c>
      <c r="F445" t="s">
        <v>37</v>
      </c>
      <c r="G445" t="s">
        <v>38</v>
      </c>
      <c r="H445" t="s">
        <v>101</v>
      </c>
      <c r="I445" t="s">
        <v>57</v>
      </c>
      <c r="J445" t="s">
        <v>58</v>
      </c>
      <c r="K445" t="s">
        <v>59</v>
      </c>
      <c r="L445" t="s">
        <v>1769</v>
      </c>
      <c r="M445" t="s">
        <v>1770</v>
      </c>
      <c r="N445" t="s">
        <v>1771</v>
      </c>
      <c r="O445" t="s">
        <v>1197</v>
      </c>
      <c r="Q445" t="s">
        <v>62</v>
      </c>
      <c r="R445" t="s">
        <v>1772</v>
      </c>
      <c r="S445" t="s">
        <v>1772</v>
      </c>
      <c r="T445" t="s">
        <v>47</v>
      </c>
      <c r="U445" t="s">
        <v>157</v>
      </c>
      <c r="V445" t="s">
        <v>49</v>
      </c>
      <c r="W445" t="s">
        <v>158</v>
      </c>
      <c r="X445" t="s">
        <v>51</v>
      </c>
      <c r="Y445" t="s">
        <v>1532</v>
      </c>
      <c r="Z445" t="s">
        <v>1532</v>
      </c>
      <c r="AA445" t="s">
        <v>535</v>
      </c>
      <c r="AB445" s="3">
        <f t="shared" si="48"/>
        <v>4.9999999999999991</v>
      </c>
      <c r="AC445">
        <v>595.66</v>
      </c>
      <c r="AD445" s="2">
        <v>119.13200000000001</v>
      </c>
      <c r="AE445" s="2">
        <v>83.41</v>
      </c>
      <c r="AF445" s="2">
        <v>4.12</v>
      </c>
      <c r="AG445" s="2">
        <v>683.19</v>
      </c>
      <c r="AH445">
        <v>0</v>
      </c>
      <c r="AI445">
        <v>136.63800000000001</v>
      </c>
      <c r="AJ445">
        <v>3.41595</v>
      </c>
      <c r="AK445" t="s">
        <v>54</v>
      </c>
      <c r="AL445">
        <v>4.54</v>
      </c>
      <c r="AM445" s="4">
        <f t="shared" si="49"/>
        <v>136.63800000000003</v>
      </c>
      <c r="AN445" s="4">
        <f t="shared" si="50"/>
        <v>223.3725</v>
      </c>
      <c r="AO445" s="4">
        <f t="shared" si="51"/>
        <v>248.16684749999999</v>
      </c>
      <c r="AP445" s="4">
        <f t="shared" si="52"/>
        <v>361.84111274999998</v>
      </c>
      <c r="AQ445" s="10">
        <f t="shared" si="53"/>
        <v>237.62714580000008</v>
      </c>
      <c r="AR445" s="10">
        <f t="shared" si="54"/>
        <v>264.0275216983801</v>
      </c>
      <c r="AS445" s="10">
        <f t="shared" si="55"/>
        <v>369.9379405814401</v>
      </c>
    </row>
    <row r="446" spans="1:45" x14ac:dyDescent="0.3">
      <c r="A446">
        <v>2025</v>
      </c>
      <c r="B446">
        <v>6</v>
      </c>
      <c r="C446" t="s">
        <v>55</v>
      </c>
      <c r="D446">
        <v>10</v>
      </c>
      <c r="E446" t="s">
        <v>36</v>
      </c>
      <c r="F446" t="s">
        <v>37</v>
      </c>
      <c r="G446" t="s">
        <v>38</v>
      </c>
      <c r="H446" t="s">
        <v>83</v>
      </c>
      <c r="I446" t="s">
        <v>190</v>
      </c>
      <c r="J446" t="s">
        <v>58</v>
      </c>
      <c r="K446" t="s">
        <v>59</v>
      </c>
      <c r="M446" t="s">
        <v>730</v>
      </c>
      <c r="N446" t="s">
        <v>731</v>
      </c>
      <c r="O446" t="s">
        <v>36</v>
      </c>
      <c r="Q446" t="s">
        <v>62</v>
      </c>
      <c r="R446" t="s">
        <v>732</v>
      </c>
      <c r="S446" t="s">
        <v>732</v>
      </c>
      <c r="T446" t="s">
        <v>47</v>
      </c>
      <c r="U446" t="s">
        <v>428</v>
      </c>
      <c r="V446" t="s">
        <v>49</v>
      </c>
      <c r="W446" t="s">
        <v>425</v>
      </c>
      <c r="X446" t="s">
        <v>686</v>
      </c>
      <c r="Y446" t="s">
        <v>1118</v>
      </c>
      <c r="Z446" t="s">
        <v>1118</v>
      </c>
      <c r="AA446" t="s">
        <v>535</v>
      </c>
      <c r="AB446" s="3">
        <f t="shared" si="48"/>
        <v>5</v>
      </c>
      <c r="AC446">
        <v>623.6</v>
      </c>
      <c r="AD446" s="2">
        <v>124.72</v>
      </c>
      <c r="AE446" s="2">
        <v>184.96</v>
      </c>
      <c r="AF446" s="2">
        <v>4.68</v>
      </c>
      <c r="AG446" s="2">
        <v>812.7</v>
      </c>
      <c r="AH446">
        <v>0</v>
      </c>
      <c r="AI446">
        <v>162.54</v>
      </c>
      <c r="AJ446">
        <v>4.0635000000000003</v>
      </c>
      <c r="AK446" t="s">
        <v>54</v>
      </c>
      <c r="AL446">
        <v>4.63</v>
      </c>
      <c r="AM446" s="4">
        <f t="shared" si="49"/>
        <v>162.54000000000002</v>
      </c>
      <c r="AN446" s="4">
        <f t="shared" si="50"/>
        <v>233.85</v>
      </c>
      <c r="AO446" s="4">
        <f t="shared" si="51"/>
        <v>259.80734999999999</v>
      </c>
      <c r="AP446" s="4">
        <f t="shared" si="52"/>
        <v>378.81361499999997</v>
      </c>
      <c r="AQ446" s="10">
        <f t="shared" si="53"/>
        <v>282.67331400000006</v>
      </c>
      <c r="AR446" s="10">
        <f t="shared" si="54"/>
        <v>314.07831918540006</v>
      </c>
      <c r="AS446" s="10">
        <f t="shared" si="55"/>
        <v>440.06581523520009</v>
      </c>
    </row>
    <row r="447" spans="1:45" x14ac:dyDescent="0.3">
      <c r="A447">
        <v>2025</v>
      </c>
      <c r="B447">
        <v>6</v>
      </c>
      <c r="C447" t="s">
        <v>55</v>
      </c>
      <c r="D447">
        <v>10</v>
      </c>
      <c r="E447" t="s">
        <v>36</v>
      </c>
      <c r="F447" t="s">
        <v>37</v>
      </c>
      <c r="G447" t="s">
        <v>38</v>
      </c>
      <c r="H447" t="s">
        <v>78</v>
      </c>
      <c r="I447" t="s">
        <v>190</v>
      </c>
      <c r="J447" t="s">
        <v>58</v>
      </c>
      <c r="K447" t="s">
        <v>59</v>
      </c>
      <c r="M447" t="s">
        <v>730</v>
      </c>
      <c r="N447" t="s">
        <v>731</v>
      </c>
      <c r="O447" t="s">
        <v>36</v>
      </c>
      <c r="Q447" t="s">
        <v>62</v>
      </c>
      <c r="R447" t="s">
        <v>732</v>
      </c>
      <c r="S447" t="s">
        <v>732</v>
      </c>
      <c r="T447" t="s">
        <v>47</v>
      </c>
      <c r="U447" t="s">
        <v>105</v>
      </c>
      <c r="V447" t="s">
        <v>49</v>
      </c>
      <c r="W447" t="s">
        <v>708</v>
      </c>
      <c r="X447" t="s">
        <v>686</v>
      </c>
      <c r="Y447" t="s">
        <v>770</v>
      </c>
      <c r="Z447" t="s">
        <v>770</v>
      </c>
      <c r="AA447" t="s">
        <v>771</v>
      </c>
      <c r="AB447" s="3">
        <f t="shared" si="48"/>
        <v>0.57000000000001394</v>
      </c>
      <c r="AC447">
        <v>5.72</v>
      </c>
      <c r="AD447" s="2">
        <v>10.035087719298</v>
      </c>
      <c r="AE447" s="2">
        <v>1.21</v>
      </c>
      <c r="AF447" s="2">
        <v>0.4</v>
      </c>
      <c r="AG447" s="2">
        <v>6.97</v>
      </c>
      <c r="AH447">
        <v>0</v>
      </c>
      <c r="AI447">
        <v>12.228070175439001</v>
      </c>
      <c r="AJ447">
        <v>3.4849999999999999E-2</v>
      </c>
      <c r="AK447" t="s">
        <v>54</v>
      </c>
      <c r="AL447">
        <v>0.4</v>
      </c>
      <c r="AM447" s="4">
        <f t="shared" si="49"/>
        <v>12.228070175438297</v>
      </c>
      <c r="AN447" s="4">
        <f t="shared" si="50"/>
        <v>18.815789473683751</v>
      </c>
      <c r="AO447" s="4">
        <f t="shared" si="51"/>
        <v>20.904342105262646</v>
      </c>
      <c r="AP447" s="4">
        <f t="shared" si="52"/>
        <v>30.479697368420304</v>
      </c>
      <c r="AQ447" s="10">
        <f t="shared" si="53"/>
        <v>21.265836842104743</v>
      </c>
      <c r="AR447" s="10">
        <f t="shared" si="54"/>
        <v>23.62847131526258</v>
      </c>
      <c r="AS447" s="10">
        <f t="shared" si="55"/>
        <v>33.106654795788664</v>
      </c>
    </row>
    <row r="448" spans="1:45" x14ac:dyDescent="0.3">
      <c r="A448">
        <v>2025</v>
      </c>
      <c r="B448">
        <v>6</v>
      </c>
      <c r="C448" t="s">
        <v>55</v>
      </c>
      <c r="D448">
        <v>10</v>
      </c>
      <c r="E448" t="s">
        <v>36</v>
      </c>
      <c r="F448" t="s">
        <v>37</v>
      </c>
      <c r="G448" t="s">
        <v>38</v>
      </c>
      <c r="H448" t="s">
        <v>141</v>
      </c>
      <c r="I448" t="s">
        <v>190</v>
      </c>
      <c r="J448" t="s">
        <v>58</v>
      </c>
      <c r="K448" t="s">
        <v>59</v>
      </c>
      <c r="M448" t="s">
        <v>730</v>
      </c>
      <c r="N448" t="s">
        <v>731</v>
      </c>
      <c r="O448" t="s">
        <v>36</v>
      </c>
      <c r="Q448" t="s">
        <v>62</v>
      </c>
      <c r="R448" t="s">
        <v>732</v>
      </c>
      <c r="S448" t="s">
        <v>732</v>
      </c>
      <c r="T448" t="s">
        <v>47</v>
      </c>
      <c r="U448" t="s">
        <v>167</v>
      </c>
      <c r="V448" t="s">
        <v>49</v>
      </c>
      <c r="W448" t="s">
        <v>168</v>
      </c>
      <c r="X448" t="s">
        <v>686</v>
      </c>
      <c r="Y448" t="s">
        <v>471</v>
      </c>
      <c r="Z448" t="s">
        <v>471</v>
      </c>
      <c r="AA448" t="s">
        <v>809</v>
      </c>
      <c r="AB448" s="3">
        <f t="shared" si="48"/>
        <v>2</v>
      </c>
      <c r="AC448">
        <v>144.30000000000001</v>
      </c>
      <c r="AD448" s="2">
        <v>72.150000000000006</v>
      </c>
      <c r="AE448" s="2">
        <v>30.45</v>
      </c>
      <c r="AF448" s="2">
        <v>1.7</v>
      </c>
      <c r="AG448" s="2">
        <v>175.55</v>
      </c>
      <c r="AH448">
        <v>0</v>
      </c>
      <c r="AI448">
        <v>87.775000000000006</v>
      </c>
      <c r="AJ448">
        <v>0.87775000000000003</v>
      </c>
      <c r="AK448" t="s">
        <v>54</v>
      </c>
      <c r="AL448">
        <v>1.4</v>
      </c>
      <c r="AM448" s="4">
        <f t="shared" si="49"/>
        <v>87.775000000000006</v>
      </c>
      <c r="AN448" s="4">
        <f t="shared" si="50"/>
        <v>135.28125</v>
      </c>
      <c r="AO448" s="4">
        <f t="shared" si="51"/>
        <v>150.29746875000001</v>
      </c>
      <c r="AP448" s="4">
        <f t="shared" si="52"/>
        <v>219.14209687499999</v>
      </c>
      <c r="AQ448" s="10">
        <f t="shared" si="53"/>
        <v>152.64950250000001</v>
      </c>
      <c r="AR448" s="10">
        <f t="shared" si="54"/>
        <v>169.60886222775</v>
      </c>
      <c r="AS448" s="10">
        <f t="shared" si="55"/>
        <v>237.644745492</v>
      </c>
    </row>
    <row r="449" spans="1:45" x14ac:dyDescent="0.3">
      <c r="A449">
        <v>2025</v>
      </c>
      <c r="B449">
        <v>6</v>
      </c>
      <c r="C449" t="s">
        <v>55</v>
      </c>
      <c r="D449">
        <v>10</v>
      </c>
      <c r="E449" t="s">
        <v>36</v>
      </c>
      <c r="F449" t="s">
        <v>37</v>
      </c>
      <c r="G449" t="s">
        <v>38</v>
      </c>
      <c r="H449" t="s">
        <v>78</v>
      </c>
      <c r="I449" t="s">
        <v>190</v>
      </c>
      <c r="J449" t="s">
        <v>58</v>
      </c>
      <c r="K449" t="s">
        <v>59</v>
      </c>
      <c r="M449" t="s">
        <v>730</v>
      </c>
      <c r="N449" t="s">
        <v>731</v>
      </c>
      <c r="O449" t="s">
        <v>36</v>
      </c>
      <c r="Q449" t="s">
        <v>62</v>
      </c>
      <c r="R449" t="s">
        <v>732</v>
      </c>
      <c r="S449" t="s">
        <v>732</v>
      </c>
      <c r="T449" t="s">
        <v>47</v>
      </c>
      <c r="U449" t="s">
        <v>118</v>
      </c>
      <c r="V449" t="s">
        <v>49</v>
      </c>
      <c r="W449" t="s">
        <v>714</v>
      </c>
      <c r="X449" t="s">
        <v>686</v>
      </c>
      <c r="Y449" t="s">
        <v>882</v>
      </c>
      <c r="Z449" t="s">
        <v>882</v>
      </c>
      <c r="AA449" t="s">
        <v>883</v>
      </c>
      <c r="AB449" s="3">
        <f t="shared" si="48"/>
        <v>1</v>
      </c>
      <c r="AC449">
        <v>126.52</v>
      </c>
      <c r="AD449" s="2">
        <v>126.52</v>
      </c>
      <c r="AE449" s="2">
        <v>26.75</v>
      </c>
      <c r="AF449" s="2">
        <v>0.94</v>
      </c>
      <c r="AG449" s="2">
        <v>154.21</v>
      </c>
      <c r="AH449">
        <v>0</v>
      </c>
      <c r="AI449">
        <v>154.21</v>
      </c>
      <c r="AJ449">
        <v>0.77105000000000001</v>
      </c>
      <c r="AK449" t="s">
        <v>54</v>
      </c>
      <c r="AL449">
        <v>0.91</v>
      </c>
      <c r="AM449" s="4">
        <f t="shared" si="49"/>
        <v>154.21</v>
      </c>
      <c r="AN449" s="4">
        <f t="shared" si="50"/>
        <v>237.22499999999999</v>
      </c>
      <c r="AO449" s="4">
        <f t="shared" si="51"/>
        <v>263.55697499999997</v>
      </c>
      <c r="AP449" s="4">
        <f t="shared" si="52"/>
        <v>384.28077749999994</v>
      </c>
      <c r="AQ449" s="10">
        <f t="shared" si="53"/>
        <v>268.18661100000003</v>
      </c>
      <c r="AR449" s="10">
        <f t="shared" si="54"/>
        <v>297.98214348210001</v>
      </c>
      <c r="AS449" s="10">
        <f t="shared" si="55"/>
        <v>417.51291600480005</v>
      </c>
    </row>
    <row r="450" spans="1:45" x14ac:dyDescent="0.3">
      <c r="A450">
        <v>2025</v>
      </c>
      <c r="B450">
        <v>6</v>
      </c>
      <c r="C450" t="s">
        <v>55</v>
      </c>
      <c r="D450">
        <v>10</v>
      </c>
      <c r="E450" t="s">
        <v>36</v>
      </c>
      <c r="F450" t="s">
        <v>37</v>
      </c>
      <c r="G450" t="s">
        <v>38</v>
      </c>
      <c r="H450" t="s">
        <v>101</v>
      </c>
      <c r="I450" t="s">
        <v>190</v>
      </c>
      <c r="J450" t="s">
        <v>58</v>
      </c>
      <c r="K450" t="s">
        <v>59</v>
      </c>
      <c r="M450" t="s">
        <v>730</v>
      </c>
      <c r="N450" t="s">
        <v>731</v>
      </c>
      <c r="O450" t="s">
        <v>36</v>
      </c>
      <c r="Q450" t="s">
        <v>62</v>
      </c>
      <c r="R450" t="s">
        <v>732</v>
      </c>
      <c r="S450" t="s">
        <v>732</v>
      </c>
      <c r="T450" t="s">
        <v>47</v>
      </c>
      <c r="U450" t="s">
        <v>217</v>
      </c>
      <c r="V450" t="s">
        <v>49</v>
      </c>
      <c r="W450" t="s">
        <v>218</v>
      </c>
      <c r="X450" t="s">
        <v>686</v>
      </c>
      <c r="Y450" t="s">
        <v>818</v>
      </c>
      <c r="Z450" t="s">
        <v>818</v>
      </c>
      <c r="AA450" t="s">
        <v>819</v>
      </c>
      <c r="AB450" s="3">
        <f t="shared" si="48"/>
        <v>2</v>
      </c>
      <c r="AC450">
        <v>221.24</v>
      </c>
      <c r="AD450" s="2">
        <v>110.62</v>
      </c>
      <c r="AE450" s="2">
        <v>46.78</v>
      </c>
      <c r="AF450" s="2">
        <v>1.64</v>
      </c>
      <c r="AG450" s="2">
        <v>269.64999999999998</v>
      </c>
      <c r="AH450">
        <v>0</v>
      </c>
      <c r="AI450">
        <v>134.82499999999999</v>
      </c>
      <c r="AJ450">
        <v>1.3482499999999999</v>
      </c>
      <c r="AK450" t="s">
        <v>54</v>
      </c>
      <c r="AL450">
        <v>1.6</v>
      </c>
      <c r="AM450" s="4">
        <f t="shared" si="49"/>
        <v>134.82499999999999</v>
      </c>
      <c r="AN450" s="4">
        <f t="shared" si="50"/>
        <v>207.41250000000002</v>
      </c>
      <c r="AO450" s="4">
        <f t="shared" si="51"/>
        <v>230.43528750000002</v>
      </c>
      <c r="AP450" s="4">
        <f t="shared" si="52"/>
        <v>335.98750875000002</v>
      </c>
      <c r="AQ450" s="10">
        <f t="shared" si="53"/>
        <v>234.47415749999999</v>
      </c>
      <c r="AR450" s="10">
        <f t="shared" si="54"/>
        <v>260.52423639824997</v>
      </c>
      <c r="AS450" s="10">
        <f t="shared" si="55"/>
        <v>365.029368396</v>
      </c>
    </row>
    <row r="451" spans="1:45" x14ac:dyDescent="0.3">
      <c r="A451">
        <v>2025</v>
      </c>
      <c r="B451">
        <v>6</v>
      </c>
      <c r="C451" t="s">
        <v>55</v>
      </c>
      <c r="D451">
        <v>10</v>
      </c>
      <c r="E451" t="s">
        <v>36</v>
      </c>
      <c r="F451" t="s">
        <v>37</v>
      </c>
      <c r="G451" t="s">
        <v>38</v>
      </c>
      <c r="H451" t="s">
        <v>101</v>
      </c>
      <c r="I451" t="s">
        <v>190</v>
      </c>
      <c r="J451" t="s">
        <v>58</v>
      </c>
      <c r="K451" t="s">
        <v>59</v>
      </c>
      <c r="M451" t="s">
        <v>730</v>
      </c>
      <c r="N451" t="s">
        <v>731</v>
      </c>
      <c r="O451" t="s">
        <v>36</v>
      </c>
      <c r="Q451" t="s">
        <v>62</v>
      </c>
      <c r="R451" t="s">
        <v>732</v>
      </c>
      <c r="S451" t="s">
        <v>732</v>
      </c>
      <c r="T451" t="s">
        <v>47</v>
      </c>
      <c r="U451" t="s">
        <v>217</v>
      </c>
      <c r="V451" t="s">
        <v>49</v>
      </c>
      <c r="W451" t="s">
        <v>218</v>
      </c>
      <c r="X451" t="s">
        <v>686</v>
      </c>
      <c r="Y451" t="s">
        <v>744</v>
      </c>
      <c r="Z451" t="s">
        <v>744</v>
      </c>
      <c r="AA451" t="s">
        <v>746</v>
      </c>
      <c r="AB451" s="3">
        <f t="shared" ref="AB451:AB514" si="56">SUM(AC451/AD451)</f>
        <v>0.49000000000000093</v>
      </c>
      <c r="AC451">
        <v>48.81</v>
      </c>
      <c r="AD451" s="2">
        <v>99.612244897959002</v>
      </c>
      <c r="AE451" s="2">
        <v>10.32</v>
      </c>
      <c r="AF451" s="2">
        <v>0.36</v>
      </c>
      <c r="AG451" s="2">
        <v>59.49</v>
      </c>
      <c r="AH451">
        <v>0</v>
      </c>
      <c r="AI451">
        <v>121.40816326530999</v>
      </c>
      <c r="AJ451">
        <v>0.29744999999999999</v>
      </c>
      <c r="AK451" t="s">
        <v>54</v>
      </c>
      <c r="AL451">
        <v>0.35</v>
      </c>
      <c r="AM451" s="4">
        <f t="shared" ref="AM451:AM514" si="57">SUM(AG451/AB451)</f>
        <v>121.4081632653059</v>
      </c>
      <c r="AN451" s="4">
        <f t="shared" ref="AN451:AN514" si="58">SUM(AD451*1.875)</f>
        <v>186.77295918367312</v>
      </c>
      <c r="AO451" s="4">
        <f t="shared" si="51"/>
        <v>207.50475765306084</v>
      </c>
      <c r="AP451" s="4">
        <f t="shared" si="52"/>
        <v>302.5535165816321</v>
      </c>
      <c r="AQ451" s="10">
        <f t="shared" si="53"/>
        <v>211.1409367346935</v>
      </c>
      <c r="AR451" s="10">
        <f t="shared" si="54"/>
        <v>234.59869480591794</v>
      </c>
      <c r="AS451" s="10">
        <f t="shared" si="55"/>
        <v>328.70421030857085</v>
      </c>
    </row>
    <row r="452" spans="1:45" x14ac:dyDescent="0.3">
      <c r="A452">
        <v>2025</v>
      </c>
      <c r="B452">
        <v>6</v>
      </c>
      <c r="C452" t="s">
        <v>55</v>
      </c>
      <c r="D452">
        <v>10</v>
      </c>
      <c r="E452" t="s">
        <v>36</v>
      </c>
      <c r="F452" t="s">
        <v>37</v>
      </c>
      <c r="G452" t="s">
        <v>38</v>
      </c>
      <c r="H452" t="s">
        <v>141</v>
      </c>
      <c r="I452" t="s">
        <v>190</v>
      </c>
      <c r="J452" t="s">
        <v>58</v>
      </c>
      <c r="K452" t="s">
        <v>59</v>
      </c>
      <c r="M452" t="s">
        <v>730</v>
      </c>
      <c r="N452" t="s">
        <v>731</v>
      </c>
      <c r="O452" t="s">
        <v>36</v>
      </c>
      <c r="Q452" t="s">
        <v>62</v>
      </c>
      <c r="R452" t="s">
        <v>732</v>
      </c>
      <c r="S452" t="s">
        <v>732</v>
      </c>
      <c r="T452" t="s">
        <v>47</v>
      </c>
      <c r="U452" t="s">
        <v>163</v>
      </c>
      <c r="V452" t="s">
        <v>49</v>
      </c>
      <c r="W452" t="s">
        <v>164</v>
      </c>
      <c r="X452" t="s">
        <v>686</v>
      </c>
      <c r="Y452" t="s">
        <v>744</v>
      </c>
      <c r="Z452" t="s">
        <v>744</v>
      </c>
      <c r="AA452" t="s">
        <v>745</v>
      </c>
      <c r="AB452" s="3">
        <f t="shared" si="56"/>
        <v>0.57000000000000117</v>
      </c>
      <c r="AC452">
        <v>56.61</v>
      </c>
      <c r="AD452" s="2">
        <v>99.315789473684006</v>
      </c>
      <c r="AE452" s="2">
        <v>11.97</v>
      </c>
      <c r="AF452" s="2">
        <v>0.42</v>
      </c>
      <c r="AG452" s="2">
        <v>69</v>
      </c>
      <c r="AH452">
        <v>0</v>
      </c>
      <c r="AI452">
        <v>121.05263157895</v>
      </c>
      <c r="AJ452">
        <v>0.34499999999999997</v>
      </c>
      <c r="AK452" t="s">
        <v>54</v>
      </c>
      <c r="AL452">
        <v>0.41</v>
      </c>
      <c r="AM452" s="4">
        <f t="shared" si="57"/>
        <v>121.05263157894711</v>
      </c>
      <c r="AN452" s="4">
        <f t="shared" si="58"/>
        <v>186.21710526315752</v>
      </c>
      <c r="AO452" s="4">
        <f t="shared" ref="AO452:AO515" si="59">SUM(AN452)*1.111</f>
        <v>206.88720394736799</v>
      </c>
      <c r="AP452" s="4">
        <f t="shared" ref="AP452:AP515" si="60">SUM(AN452)*1.6199</f>
        <v>301.65308881578886</v>
      </c>
      <c r="AQ452" s="10">
        <f t="shared" ref="AQ452:AQ515" si="61">SUM(AM452)*1.7391</f>
        <v>210.52263157894694</v>
      </c>
      <c r="AR452" s="10">
        <f t="shared" ref="AR452:AR515" si="62">SUM(AQ452)*1.1111</f>
        <v>233.91169594736795</v>
      </c>
      <c r="AS452" s="10">
        <f t="shared" ref="AS452:AS515" si="63">SUM(AQ452)*1.5568</f>
        <v>327.74163284210459</v>
      </c>
    </row>
    <row r="453" spans="1:45" x14ac:dyDescent="0.3">
      <c r="A453">
        <v>2025</v>
      </c>
      <c r="B453">
        <v>11</v>
      </c>
      <c r="C453" t="s">
        <v>55</v>
      </c>
      <c r="D453">
        <v>10</v>
      </c>
      <c r="E453" t="s">
        <v>36</v>
      </c>
      <c r="F453" t="s">
        <v>37</v>
      </c>
      <c r="G453" t="s">
        <v>38</v>
      </c>
      <c r="H453" t="s">
        <v>341</v>
      </c>
      <c r="I453" t="s">
        <v>375</v>
      </c>
      <c r="J453" t="s">
        <v>376</v>
      </c>
      <c r="K453" t="s">
        <v>59</v>
      </c>
      <c r="L453" t="s">
        <v>1647</v>
      </c>
      <c r="M453" t="s">
        <v>1633</v>
      </c>
      <c r="N453" t="s">
        <v>1485</v>
      </c>
      <c r="O453" t="s">
        <v>1197</v>
      </c>
      <c r="Q453" t="s">
        <v>62</v>
      </c>
      <c r="R453" t="s">
        <v>1648</v>
      </c>
      <c r="S453" t="s">
        <v>1648</v>
      </c>
      <c r="T453" t="s">
        <v>47</v>
      </c>
      <c r="U453" t="s">
        <v>182</v>
      </c>
      <c r="V453" t="s">
        <v>49</v>
      </c>
      <c r="W453" t="s">
        <v>1756</v>
      </c>
      <c r="X453" t="s">
        <v>51</v>
      </c>
      <c r="Y453" t="s">
        <v>859</v>
      </c>
      <c r="Z453" t="s">
        <v>859</v>
      </c>
      <c r="AA453" t="s">
        <v>860</v>
      </c>
      <c r="AB453" s="3">
        <f t="shared" si="56"/>
        <v>1</v>
      </c>
      <c r="AC453">
        <v>155.77000000000001</v>
      </c>
      <c r="AD453" s="2">
        <v>155.77000000000001</v>
      </c>
      <c r="AE453" s="2">
        <v>32.94</v>
      </c>
      <c r="AF453" s="2">
        <v>1.1499999999999999</v>
      </c>
      <c r="AG453" s="2">
        <v>189.86</v>
      </c>
      <c r="AH453">
        <v>0</v>
      </c>
      <c r="AI453">
        <v>189.86</v>
      </c>
      <c r="AJ453">
        <v>0.94930000000000003</v>
      </c>
      <c r="AK453" t="s">
        <v>54</v>
      </c>
      <c r="AL453">
        <v>1.1299999999999999</v>
      </c>
      <c r="AM453" s="4">
        <f t="shared" si="57"/>
        <v>189.86</v>
      </c>
      <c r="AN453" s="4">
        <f t="shared" si="58"/>
        <v>292.06875000000002</v>
      </c>
      <c r="AO453" s="4">
        <f t="shared" si="59"/>
        <v>324.48838125000003</v>
      </c>
      <c r="AP453" s="4">
        <f t="shared" si="60"/>
        <v>473.12216812500003</v>
      </c>
      <c r="AQ453" s="10">
        <f t="shared" si="61"/>
        <v>330.18552600000004</v>
      </c>
      <c r="AR453" s="10">
        <f t="shared" si="62"/>
        <v>366.86913793860003</v>
      </c>
      <c r="AS453" s="10">
        <f t="shared" si="63"/>
        <v>514.03282687680007</v>
      </c>
    </row>
    <row r="454" spans="1:45" x14ac:dyDescent="0.3">
      <c r="A454">
        <v>2025</v>
      </c>
      <c r="B454">
        <v>12</v>
      </c>
      <c r="C454" t="s">
        <v>55</v>
      </c>
      <c r="D454">
        <v>10</v>
      </c>
      <c r="E454" t="s">
        <v>36</v>
      </c>
      <c r="F454" t="s">
        <v>37</v>
      </c>
      <c r="G454" t="s">
        <v>38</v>
      </c>
      <c r="H454" t="s">
        <v>341</v>
      </c>
      <c r="I454" t="s">
        <v>57</v>
      </c>
      <c r="J454" t="s">
        <v>58</v>
      </c>
      <c r="K454" t="s">
        <v>59</v>
      </c>
      <c r="L454" t="s">
        <v>1769</v>
      </c>
      <c r="M454" t="s">
        <v>1770</v>
      </c>
      <c r="N454" t="s">
        <v>1771</v>
      </c>
      <c r="O454" t="s">
        <v>1197</v>
      </c>
      <c r="Q454" t="s">
        <v>62</v>
      </c>
      <c r="R454" t="s">
        <v>1772</v>
      </c>
      <c r="S454" t="s">
        <v>1772</v>
      </c>
      <c r="T454" t="s">
        <v>47</v>
      </c>
      <c r="U454" t="s">
        <v>182</v>
      </c>
      <c r="V454" t="s">
        <v>49</v>
      </c>
      <c r="W454" t="s">
        <v>1756</v>
      </c>
      <c r="X454" t="s">
        <v>51</v>
      </c>
      <c r="Y454" t="s">
        <v>610</v>
      </c>
      <c r="Z454" t="s">
        <v>610</v>
      </c>
      <c r="AA454" t="s">
        <v>1757</v>
      </c>
      <c r="AB454" s="3">
        <f t="shared" si="56"/>
        <v>1</v>
      </c>
      <c r="AC454">
        <v>316.87</v>
      </c>
      <c r="AD454" s="2">
        <v>316.87</v>
      </c>
      <c r="AE454" s="2">
        <v>106.52</v>
      </c>
      <c r="AF454" s="2">
        <v>2.5099999999999998</v>
      </c>
      <c r="AG454" s="2">
        <v>425.9</v>
      </c>
      <c r="AH454">
        <v>0</v>
      </c>
      <c r="AI454">
        <v>425.9</v>
      </c>
      <c r="AJ454">
        <v>2.1295000000000002</v>
      </c>
      <c r="AK454" t="s">
        <v>54</v>
      </c>
      <c r="AL454">
        <v>2.74</v>
      </c>
      <c r="AM454" s="4">
        <f t="shared" si="57"/>
        <v>425.9</v>
      </c>
      <c r="AN454" s="4">
        <f t="shared" si="58"/>
        <v>594.13125000000002</v>
      </c>
      <c r="AO454" s="4">
        <f t="shared" si="59"/>
        <v>660.07981875000007</v>
      </c>
      <c r="AP454" s="4">
        <f t="shared" si="60"/>
        <v>962.43321187499998</v>
      </c>
      <c r="AQ454" s="10">
        <f t="shared" si="61"/>
        <v>740.68268999999998</v>
      </c>
      <c r="AR454" s="10">
        <f t="shared" si="62"/>
        <v>822.972536859</v>
      </c>
      <c r="AS454" s="10">
        <f t="shared" si="63"/>
        <v>1153.094811792</v>
      </c>
    </row>
    <row r="455" spans="1:45" x14ac:dyDescent="0.3">
      <c r="A455">
        <v>2025</v>
      </c>
      <c r="B455">
        <v>9</v>
      </c>
      <c r="C455" t="s">
        <v>55</v>
      </c>
      <c r="D455">
        <v>10</v>
      </c>
      <c r="E455" t="s">
        <v>36</v>
      </c>
      <c r="F455" t="s">
        <v>37</v>
      </c>
      <c r="G455" t="s">
        <v>38</v>
      </c>
      <c r="H455" t="s">
        <v>132</v>
      </c>
      <c r="I455" t="s">
        <v>375</v>
      </c>
      <c r="J455" t="s">
        <v>376</v>
      </c>
      <c r="K455" t="s">
        <v>59</v>
      </c>
      <c r="L455" t="s">
        <v>1483</v>
      </c>
      <c r="M455" t="s">
        <v>1484</v>
      </c>
      <c r="N455" t="s">
        <v>1485</v>
      </c>
      <c r="O455" t="s">
        <v>1197</v>
      </c>
      <c r="Q455" t="s">
        <v>62</v>
      </c>
      <c r="R455" t="s">
        <v>1486</v>
      </c>
      <c r="S455" t="s">
        <v>1486</v>
      </c>
      <c r="T455" t="s">
        <v>47</v>
      </c>
      <c r="U455" t="s">
        <v>230</v>
      </c>
      <c r="V455" t="s">
        <v>49</v>
      </c>
      <c r="W455" t="s">
        <v>231</v>
      </c>
      <c r="X455" t="s">
        <v>51</v>
      </c>
      <c r="Y455" t="s">
        <v>610</v>
      </c>
      <c r="Z455" t="s">
        <v>610</v>
      </c>
      <c r="AA455" t="s">
        <v>1757</v>
      </c>
      <c r="AB455" s="3">
        <f t="shared" si="56"/>
        <v>1</v>
      </c>
      <c r="AC455">
        <v>317.77</v>
      </c>
      <c r="AD455" s="2">
        <v>317.77</v>
      </c>
      <c r="AE455" s="2">
        <v>94.34</v>
      </c>
      <c r="AF455" s="2">
        <v>2.39</v>
      </c>
      <c r="AG455" s="2">
        <v>414.49</v>
      </c>
      <c r="AH455">
        <v>0</v>
      </c>
      <c r="AI455">
        <v>414.49</v>
      </c>
      <c r="AJ455">
        <v>2.0724499999999999</v>
      </c>
      <c r="AK455" t="s">
        <v>54</v>
      </c>
      <c r="AL455">
        <v>2.36</v>
      </c>
      <c r="AM455" s="4">
        <f t="shared" si="57"/>
        <v>414.49</v>
      </c>
      <c r="AN455" s="4">
        <f t="shared" si="58"/>
        <v>595.81874999999991</v>
      </c>
      <c r="AO455" s="4">
        <f t="shared" si="59"/>
        <v>661.95463124999992</v>
      </c>
      <c r="AP455" s="4">
        <f t="shared" si="60"/>
        <v>965.1667931249998</v>
      </c>
      <c r="AQ455" s="10">
        <f t="shared" si="61"/>
        <v>720.83955900000001</v>
      </c>
      <c r="AR455" s="10">
        <f t="shared" si="62"/>
        <v>800.92483400490005</v>
      </c>
      <c r="AS455" s="10">
        <f t="shared" si="63"/>
        <v>1122.2030254511999</v>
      </c>
    </row>
    <row r="456" spans="1:45" x14ac:dyDescent="0.3">
      <c r="A456">
        <v>2025</v>
      </c>
      <c r="B456">
        <v>11</v>
      </c>
      <c r="C456" t="s">
        <v>55</v>
      </c>
      <c r="D456">
        <v>10</v>
      </c>
      <c r="E456" t="s">
        <v>36</v>
      </c>
      <c r="F456" t="s">
        <v>37</v>
      </c>
      <c r="G456" t="s">
        <v>38</v>
      </c>
      <c r="H456" t="s">
        <v>132</v>
      </c>
      <c r="I456" t="s">
        <v>375</v>
      </c>
      <c r="J456" t="s">
        <v>376</v>
      </c>
      <c r="K456" t="s">
        <v>59</v>
      </c>
      <c r="L456" t="s">
        <v>1647</v>
      </c>
      <c r="M456" t="s">
        <v>1633</v>
      </c>
      <c r="N456" t="s">
        <v>1485</v>
      </c>
      <c r="O456" t="s">
        <v>1197</v>
      </c>
      <c r="Q456" t="s">
        <v>62</v>
      </c>
      <c r="R456" t="s">
        <v>1648</v>
      </c>
      <c r="S456" t="s">
        <v>1648</v>
      </c>
      <c r="T456" t="s">
        <v>47</v>
      </c>
      <c r="U456" t="s">
        <v>230</v>
      </c>
      <c r="V456" t="s">
        <v>49</v>
      </c>
      <c r="W456" t="s">
        <v>231</v>
      </c>
      <c r="X456" t="s">
        <v>51</v>
      </c>
      <c r="Y456" t="s">
        <v>1492</v>
      </c>
      <c r="Z456" t="s">
        <v>1492</v>
      </c>
      <c r="AA456" t="s">
        <v>1493</v>
      </c>
      <c r="AB456" s="3">
        <f t="shared" si="56"/>
        <v>8</v>
      </c>
      <c r="AC456">
        <v>37.79</v>
      </c>
      <c r="AD456" s="2">
        <v>4.7237499999999999</v>
      </c>
      <c r="AE456" s="2">
        <v>5.8</v>
      </c>
      <c r="AF456" s="2">
        <v>0.27</v>
      </c>
      <c r="AG456" s="2">
        <v>43.86</v>
      </c>
      <c r="AH456">
        <v>0</v>
      </c>
      <c r="AI456">
        <v>5.4824999999999999</v>
      </c>
      <c r="AJ456">
        <v>0.21929999999999999</v>
      </c>
      <c r="AK456" t="s">
        <v>54</v>
      </c>
      <c r="AL456">
        <v>0.24</v>
      </c>
      <c r="AM456" s="4">
        <f t="shared" si="57"/>
        <v>5.4824999999999999</v>
      </c>
      <c r="AN456" s="4">
        <f t="shared" si="58"/>
        <v>8.8570312500000004</v>
      </c>
      <c r="AO456" s="4">
        <f t="shared" si="59"/>
        <v>9.8401617187500001</v>
      </c>
      <c r="AP456" s="4">
        <f t="shared" si="60"/>
        <v>14.347504921875</v>
      </c>
      <c r="AQ456" s="10">
        <f t="shared" si="61"/>
        <v>9.5346157500000004</v>
      </c>
      <c r="AR456" s="10">
        <f t="shared" si="62"/>
        <v>10.593911559825001</v>
      </c>
      <c r="AS456" s="10">
        <f t="shared" si="63"/>
        <v>14.8434897996</v>
      </c>
    </row>
    <row r="457" spans="1:45" x14ac:dyDescent="0.3">
      <c r="A457">
        <v>2025</v>
      </c>
      <c r="B457">
        <v>12</v>
      </c>
      <c r="C457" t="s">
        <v>55</v>
      </c>
      <c r="D457">
        <v>10</v>
      </c>
      <c r="E457" t="s">
        <v>36</v>
      </c>
      <c r="F457" t="s">
        <v>37</v>
      </c>
      <c r="G457" t="s">
        <v>38</v>
      </c>
      <c r="H457" t="s">
        <v>78</v>
      </c>
      <c r="I457" t="s">
        <v>57</v>
      </c>
      <c r="J457" t="s">
        <v>58</v>
      </c>
      <c r="K457" t="s">
        <v>59</v>
      </c>
      <c r="L457" t="s">
        <v>1769</v>
      </c>
      <c r="M457" t="s">
        <v>1770</v>
      </c>
      <c r="N457" t="s">
        <v>1771</v>
      </c>
      <c r="O457" t="s">
        <v>1197</v>
      </c>
      <c r="Q457" t="s">
        <v>62</v>
      </c>
      <c r="R457" t="s">
        <v>1772</v>
      </c>
      <c r="S457" t="s">
        <v>1772</v>
      </c>
      <c r="T457" t="s">
        <v>47</v>
      </c>
      <c r="U457" t="s">
        <v>105</v>
      </c>
      <c r="V457" t="s">
        <v>49</v>
      </c>
      <c r="W457" t="s">
        <v>708</v>
      </c>
      <c r="X457" t="s">
        <v>51</v>
      </c>
      <c r="Y457" t="s">
        <v>1651</v>
      </c>
      <c r="Z457" t="s">
        <v>1651</v>
      </c>
      <c r="AA457" t="s">
        <v>1652</v>
      </c>
      <c r="AB457" s="3">
        <f t="shared" si="56"/>
        <v>8</v>
      </c>
      <c r="AC457">
        <v>48.14</v>
      </c>
      <c r="AD457" s="2">
        <v>6.0175000000000001</v>
      </c>
      <c r="AE457" s="2">
        <v>16.329999999999998</v>
      </c>
      <c r="AF457" s="2">
        <v>0.38</v>
      </c>
      <c r="AG457" s="2">
        <v>64.849999999999994</v>
      </c>
      <c r="AH457">
        <v>0</v>
      </c>
      <c r="AI457">
        <v>8.1062499999999993</v>
      </c>
      <c r="AJ457">
        <v>0.32424999999999998</v>
      </c>
      <c r="AK457" t="s">
        <v>54</v>
      </c>
      <c r="AL457">
        <v>0.42</v>
      </c>
      <c r="AM457" s="4">
        <f t="shared" si="57"/>
        <v>8.1062499999999993</v>
      </c>
      <c r="AN457" s="4">
        <f t="shared" si="58"/>
        <v>11.2828125</v>
      </c>
      <c r="AO457" s="4">
        <f t="shared" si="59"/>
        <v>12.5352046875</v>
      </c>
      <c r="AP457" s="4">
        <f t="shared" si="60"/>
        <v>18.277027968749998</v>
      </c>
      <c r="AQ457" s="10">
        <f t="shared" si="61"/>
        <v>14.097579374999999</v>
      </c>
      <c r="AR457" s="10">
        <f t="shared" si="62"/>
        <v>15.663820443562498</v>
      </c>
      <c r="AS457" s="10">
        <f t="shared" si="63"/>
        <v>21.947111570999997</v>
      </c>
    </row>
    <row r="458" spans="1:45" x14ac:dyDescent="0.3">
      <c r="A458">
        <v>2025</v>
      </c>
      <c r="B458">
        <v>12</v>
      </c>
      <c r="C458" t="s">
        <v>55</v>
      </c>
      <c r="D458">
        <v>10</v>
      </c>
      <c r="E458" t="s">
        <v>36</v>
      </c>
      <c r="F458" t="s">
        <v>37</v>
      </c>
      <c r="G458" t="s">
        <v>38</v>
      </c>
      <c r="H458" t="s">
        <v>83</v>
      </c>
      <c r="I458" t="s">
        <v>57</v>
      </c>
      <c r="J458" t="s">
        <v>58</v>
      </c>
      <c r="K458" t="s">
        <v>59</v>
      </c>
      <c r="L458" t="s">
        <v>1769</v>
      </c>
      <c r="M458" t="s">
        <v>1770</v>
      </c>
      <c r="N458" t="s">
        <v>1771</v>
      </c>
      <c r="O458" t="s">
        <v>1197</v>
      </c>
      <c r="Q458" t="s">
        <v>62</v>
      </c>
      <c r="R458" t="s">
        <v>1772</v>
      </c>
      <c r="S458" t="s">
        <v>1772</v>
      </c>
      <c r="T458" t="s">
        <v>47</v>
      </c>
      <c r="U458" t="s">
        <v>88</v>
      </c>
      <c r="V458" t="s">
        <v>89</v>
      </c>
      <c r="W458" t="s">
        <v>90</v>
      </c>
      <c r="X458" t="s">
        <v>51</v>
      </c>
      <c r="Y458" t="s">
        <v>1848</v>
      </c>
      <c r="Z458" t="s">
        <v>1848</v>
      </c>
      <c r="AA458" t="s">
        <v>1849</v>
      </c>
      <c r="AB458" s="3">
        <f t="shared" si="56"/>
        <v>5</v>
      </c>
      <c r="AC458">
        <v>103.45</v>
      </c>
      <c r="AD458" s="2">
        <v>20.69</v>
      </c>
      <c r="AE458" s="2">
        <v>30.71</v>
      </c>
      <c r="AF458" s="2">
        <v>0.78</v>
      </c>
      <c r="AG458" s="2">
        <v>134.93</v>
      </c>
      <c r="AH458">
        <v>0</v>
      </c>
      <c r="AI458">
        <v>26.986000000000001</v>
      </c>
      <c r="AJ458">
        <v>0.67464999999999997</v>
      </c>
      <c r="AK458" t="s">
        <v>54</v>
      </c>
      <c r="AL458">
        <v>0.77</v>
      </c>
      <c r="AM458" s="4">
        <f t="shared" si="57"/>
        <v>26.986000000000001</v>
      </c>
      <c r="AN458" s="4">
        <f t="shared" si="58"/>
        <v>38.793750000000003</v>
      </c>
      <c r="AO458" s="4">
        <f t="shared" si="59"/>
        <v>43.099856250000002</v>
      </c>
      <c r="AP458" s="4">
        <f t="shared" si="60"/>
        <v>62.841995625000003</v>
      </c>
      <c r="AQ458" s="10">
        <f t="shared" si="61"/>
        <v>46.931352600000004</v>
      </c>
      <c r="AR458" s="10">
        <f t="shared" si="62"/>
        <v>52.145425873860006</v>
      </c>
      <c r="AS458" s="10">
        <f t="shared" si="63"/>
        <v>73.062729727680008</v>
      </c>
    </row>
    <row r="459" spans="1:45" x14ac:dyDescent="0.3">
      <c r="A459">
        <v>2025</v>
      </c>
      <c r="B459">
        <v>12</v>
      </c>
      <c r="C459" t="s">
        <v>55</v>
      </c>
      <c r="D459">
        <v>10</v>
      </c>
      <c r="E459" t="s">
        <v>36</v>
      </c>
      <c r="F459" t="s">
        <v>37</v>
      </c>
      <c r="G459" t="s">
        <v>38</v>
      </c>
      <c r="H459" t="s">
        <v>78</v>
      </c>
      <c r="I459" t="s">
        <v>57</v>
      </c>
      <c r="J459" t="s">
        <v>58</v>
      </c>
      <c r="K459" t="s">
        <v>59</v>
      </c>
      <c r="L459" t="s">
        <v>1769</v>
      </c>
      <c r="M459" t="s">
        <v>1770</v>
      </c>
      <c r="N459" t="s">
        <v>1771</v>
      </c>
      <c r="O459" t="s">
        <v>1197</v>
      </c>
      <c r="Q459" t="s">
        <v>62</v>
      </c>
      <c r="R459" t="s">
        <v>1772</v>
      </c>
      <c r="S459" t="s">
        <v>1772</v>
      </c>
      <c r="T459" t="s">
        <v>47</v>
      </c>
      <c r="U459" t="s">
        <v>79</v>
      </c>
      <c r="V459" t="s">
        <v>49</v>
      </c>
      <c r="W459" t="s">
        <v>80</v>
      </c>
      <c r="X459" t="s">
        <v>51</v>
      </c>
      <c r="Y459" t="s">
        <v>1801</v>
      </c>
      <c r="Z459" t="s">
        <v>1801</v>
      </c>
      <c r="AA459" t="s">
        <v>1802</v>
      </c>
      <c r="AB459" s="3">
        <f t="shared" si="56"/>
        <v>5.9999999999999698</v>
      </c>
      <c r="AC459">
        <v>40.659999999999997</v>
      </c>
      <c r="AD459" s="2">
        <v>6.7766666666667001</v>
      </c>
      <c r="AE459" s="2">
        <v>12.7</v>
      </c>
      <c r="AF459" s="2">
        <v>0.31</v>
      </c>
      <c r="AG459" s="2">
        <v>53.3</v>
      </c>
      <c r="AH459">
        <v>0</v>
      </c>
      <c r="AI459">
        <v>8.8833333333333009</v>
      </c>
      <c r="AJ459">
        <v>0.26650000000000001</v>
      </c>
      <c r="AK459" t="s">
        <v>54</v>
      </c>
      <c r="AL459">
        <v>0.3</v>
      </c>
      <c r="AM459" s="4">
        <f t="shared" si="57"/>
        <v>8.8833333333333773</v>
      </c>
      <c r="AN459" s="4">
        <f t="shared" si="58"/>
        <v>12.706250000000063</v>
      </c>
      <c r="AO459" s="4">
        <f t="shared" si="59"/>
        <v>14.116643750000069</v>
      </c>
      <c r="AP459" s="4">
        <f t="shared" si="60"/>
        <v>20.5828543750001</v>
      </c>
      <c r="AQ459" s="10">
        <f t="shared" si="61"/>
        <v>15.449005000000078</v>
      </c>
      <c r="AR459" s="10">
        <f t="shared" si="62"/>
        <v>17.165389455500087</v>
      </c>
      <c r="AS459" s="10">
        <f t="shared" si="63"/>
        <v>24.051010984000122</v>
      </c>
    </row>
    <row r="460" spans="1:45" x14ac:dyDescent="0.3">
      <c r="A460">
        <v>2025</v>
      </c>
      <c r="B460">
        <v>3</v>
      </c>
      <c r="C460" t="s">
        <v>55</v>
      </c>
      <c r="D460">
        <v>10</v>
      </c>
      <c r="E460" t="s">
        <v>36</v>
      </c>
      <c r="F460" t="s">
        <v>37</v>
      </c>
      <c r="G460" t="s">
        <v>38</v>
      </c>
      <c r="H460" t="s">
        <v>78</v>
      </c>
      <c r="I460" t="s">
        <v>190</v>
      </c>
      <c r="J460" t="s">
        <v>58</v>
      </c>
      <c r="K460" t="s">
        <v>59</v>
      </c>
      <c r="M460" t="s">
        <v>209</v>
      </c>
      <c r="N460" t="s">
        <v>61</v>
      </c>
      <c r="O460" t="s">
        <v>43</v>
      </c>
      <c r="Q460" t="s">
        <v>62</v>
      </c>
      <c r="R460" t="s">
        <v>210</v>
      </c>
      <c r="S460" t="s">
        <v>211</v>
      </c>
      <c r="T460" t="s">
        <v>47</v>
      </c>
      <c r="U460" t="s">
        <v>105</v>
      </c>
      <c r="V460" t="s">
        <v>49</v>
      </c>
      <c r="W460" t="s">
        <v>106</v>
      </c>
      <c r="X460" t="s">
        <v>51</v>
      </c>
      <c r="Y460" t="s">
        <v>1773</v>
      </c>
      <c r="Z460" t="s">
        <v>1773</v>
      </c>
      <c r="AA460" t="s">
        <v>1774</v>
      </c>
      <c r="AB460" s="3">
        <f t="shared" si="56"/>
        <v>1</v>
      </c>
      <c r="AC460">
        <v>84.46</v>
      </c>
      <c r="AD460" s="2">
        <v>84.46</v>
      </c>
      <c r="AE460" s="2">
        <v>25.7</v>
      </c>
      <c r="AF460" s="2">
        <v>0.63</v>
      </c>
      <c r="AG460" s="2">
        <v>110.16</v>
      </c>
      <c r="AH460">
        <v>0</v>
      </c>
      <c r="AI460">
        <v>110.16</v>
      </c>
      <c r="AJ460">
        <v>0.55079999999999996</v>
      </c>
      <c r="AK460" t="s">
        <v>54</v>
      </c>
      <c r="AL460">
        <v>0.63</v>
      </c>
      <c r="AM460" s="4">
        <f t="shared" si="57"/>
        <v>110.16</v>
      </c>
      <c r="AN460" s="4">
        <f t="shared" si="58"/>
        <v>158.36249999999998</v>
      </c>
      <c r="AO460" s="4">
        <f t="shared" si="59"/>
        <v>175.94073749999998</v>
      </c>
      <c r="AP460" s="4">
        <f t="shared" si="60"/>
        <v>256.53141374999996</v>
      </c>
      <c r="AQ460" s="10">
        <f t="shared" si="61"/>
        <v>191.57925600000002</v>
      </c>
      <c r="AR460" s="10">
        <f t="shared" si="62"/>
        <v>212.86371134160001</v>
      </c>
      <c r="AS460" s="10">
        <f t="shared" si="63"/>
        <v>298.25058574080003</v>
      </c>
    </row>
    <row r="461" spans="1:45" x14ac:dyDescent="0.3">
      <c r="A461">
        <v>2025</v>
      </c>
      <c r="B461">
        <v>9</v>
      </c>
      <c r="C461" t="s">
        <v>55</v>
      </c>
      <c r="D461">
        <v>10</v>
      </c>
      <c r="E461" t="s">
        <v>36</v>
      </c>
      <c r="F461" t="s">
        <v>37</v>
      </c>
      <c r="G461" t="s">
        <v>38</v>
      </c>
      <c r="H461" t="s">
        <v>78</v>
      </c>
      <c r="I461" t="s">
        <v>375</v>
      </c>
      <c r="J461" t="s">
        <v>376</v>
      </c>
      <c r="K461" t="s">
        <v>59</v>
      </c>
      <c r="L461" t="s">
        <v>1483</v>
      </c>
      <c r="M461" t="s">
        <v>1484</v>
      </c>
      <c r="N461" t="s">
        <v>1485</v>
      </c>
      <c r="O461" t="s">
        <v>1197</v>
      </c>
      <c r="Q461" t="s">
        <v>62</v>
      </c>
      <c r="R461" t="s">
        <v>1486</v>
      </c>
      <c r="S461" t="s">
        <v>1486</v>
      </c>
      <c r="T461" t="s">
        <v>47</v>
      </c>
      <c r="U461" t="s">
        <v>105</v>
      </c>
      <c r="V461" t="s">
        <v>49</v>
      </c>
      <c r="W461" t="s">
        <v>708</v>
      </c>
      <c r="X461" t="s">
        <v>51</v>
      </c>
      <c r="Y461" t="s">
        <v>107</v>
      </c>
      <c r="Z461" t="s">
        <v>64</v>
      </c>
      <c r="AA461" t="s">
        <v>271</v>
      </c>
      <c r="AB461" s="3">
        <f t="shared" si="56"/>
        <v>9.9999999999999982</v>
      </c>
      <c r="AC461">
        <v>521.42999999999995</v>
      </c>
      <c r="AD461" s="2">
        <v>52.143000000000001</v>
      </c>
      <c r="AE461" s="2">
        <v>116.47</v>
      </c>
      <c r="AF461" s="2">
        <v>3.82</v>
      </c>
      <c r="AG461" s="2">
        <v>641.72</v>
      </c>
      <c r="AH461">
        <v>0</v>
      </c>
      <c r="AI461">
        <v>64.171999999999997</v>
      </c>
      <c r="AJ461">
        <v>3.2086000000000001</v>
      </c>
      <c r="AK461" t="s">
        <v>54</v>
      </c>
      <c r="AL461">
        <v>22.02</v>
      </c>
      <c r="AM461" s="4">
        <f t="shared" si="57"/>
        <v>64.172000000000011</v>
      </c>
      <c r="AN461" s="4">
        <f t="shared" si="58"/>
        <v>97.768124999999998</v>
      </c>
      <c r="AO461" s="4">
        <f t="shared" si="59"/>
        <v>108.62038687499999</v>
      </c>
      <c r="AP461" s="4">
        <f t="shared" si="60"/>
        <v>158.37458568749997</v>
      </c>
      <c r="AQ461" s="10">
        <f t="shared" si="61"/>
        <v>111.60152520000003</v>
      </c>
      <c r="AR461" s="10">
        <f t="shared" si="62"/>
        <v>124.00045464972003</v>
      </c>
      <c r="AS461" s="10">
        <f t="shared" si="63"/>
        <v>173.74125443136003</v>
      </c>
    </row>
    <row r="462" spans="1:45" x14ac:dyDescent="0.3">
      <c r="A462">
        <v>2025</v>
      </c>
      <c r="B462">
        <v>11</v>
      </c>
      <c r="C462" t="s">
        <v>55</v>
      </c>
      <c r="D462">
        <v>10</v>
      </c>
      <c r="E462" t="s">
        <v>36</v>
      </c>
      <c r="F462" t="s">
        <v>37</v>
      </c>
      <c r="G462" t="s">
        <v>38</v>
      </c>
      <c r="H462" t="s">
        <v>78</v>
      </c>
      <c r="I462" t="s">
        <v>375</v>
      </c>
      <c r="J462" t="s">
        <v>376</v>
      </c>
      <c r="K462" t="s">
        <v>59</v>
      </c>
      <c r="L462" t="s">
        <v>1647</v>
      </c>
      <c r="M462" t="s">
        <v>1633</v>
      </c>
      <c r="N462" t="s">
        <v>1485</v>
      </c>
      <c r="O462" t="s">
        <v>1197</v>
      </c>
      <c r="Q462" t="s">
        <v>62</v>
      </c>
      <c r="R462" t="s">
        <v>1648</v>
      </c>
      <c r="S462" t="s">
        <v>1648</v>
      </c>
      <c r="T462" t="s">
        <v>47</v>
      </c>
      <c r="U462" t="s">
        <v>105</v>
      </c>
      <c r="V462" t="s">
        <v>49</v>
      </c>
      <c r="W462" t="s">
        <v>708</v>
      </c>
      <c r="X462" t="s">
        <v>51</v>
      </c>
      <c r="Y462" t="s">
        <v>1069</v>
      </c>
      <c r="Z462" t="s">
        <v>1069</v>
      </c>
      <c r="AA462" t="s">
        <v>271</v>
      </c>
      <c r="AB462" s="3">
        <f t="shared" si="56"/>
        <v>11.999999999999906</v>
      </c>
      <c r="AC462">
        <v>516.16999999999996</v>
      </c>
      <c r="AD462" s="2">
        <v>43.014166666667002</v>
      </c>
      <c r="AE462" s="2">
        <v>80</v>
      </c>
      <c r="AF462" s="2">
        <v>3.66</v>
      </c>
      <c r="AG462" s="2">
        <v>599.83000000000004</v>
      </c>
      <c r="AH462">
        <v>0</v>
      </c>
      <c r="AI462">
        <v>49.985833333332998</v>
      </c>
      <c r="AJ462">
        <v>2.9991500000000002</v>
      </c>
      <c r="AK462" t="s">
        <v>54</v>
      </c>
      <c r="AL462">
        <v>3.31</v>
      </c>
      <c r="AM462" s="4">
        <f t="shared" si="57"/>
        <v>49.98583333333373</v>
      </c>
      <c r="AN462" s="4">
        <f t="shared" si="58"/>
        <v>80.651562500000622</v>
      </c>
      <c r="AO462" s="4">
        <f t="shared" si="59"/>
        <v>89.603885937500692</v>
      </c>
      <c r="AP462" s="4">
        <f t="shared" si="60"/>
        <v>130.64746609375101</v>
      </c>
      <c r="AQ462" s="10">
        <f t="shared" si="61"/>
        <v>86.930362750000697</v>
      </c>
      <c r="AR462" s="10">
        <f t="shared" si="62"/>
        <v>96.588326051525769</v>
      </c>
      <c r="AS462" s="10">
        <f t="shared" si="63"/>
        <v>135.33318872920108</v>
      </c>
    </row>
    <row r="463" spans="1:45" x14ac:dyDescent="0.3">
      <c r="A463">
        <v>2025</v>
      </c>
      <c r="B463">
        <v>12</v>
      </c>
      <c r="C463" t="s">
        <v>55</v>
      </c>
      <c r="D463">
        <v>10</v>
      </c>
      <c r="E463" t="s">
        <v>36</v>
      </c>
      <c r="F463" t="s">
        <v>37</v>
      </c>
      <c r="G463" t="s">
        <v>38</v>
      </c>
      <c r="H463" t="s">
        <v>78</v>
      </c>
      <c r="I463" t="s">
        <v>57</v>
      </c>
      <c r="J463" t="s">
        <v>58</v>
      </c>
      <c r="K463" t="s">
        <v>59</v>
      </c>
      <c r="L463" t="s">
        <v>1769</v>
      </c>
      <c r="M463" t="s">
        <v>1770</v>
      </c>
      <c r="N463" t="s">
        <v>1771</v>
      </c>
      <c r="O463" t="s">
        <v>1197</v>
      </c>
      <c r="Q463" t="s">
        <v>62</v>
      </c>
      <c r="R463" t="s">
        <v>1772</v>
      </c>
      <c r="S463" t="s">
        <v>1772</v>
      </c>
      <c r="T463" t="s">
        <v>47</v>
      </c>
      <c r="U463" t="s">
        <v>105</v>
      </c>
      <c r="V463" t="s">
        <v>49</v>
      </c>
      <c r="W463" t="s">
        <v>708</v>
      </c>
      <c r="X463" t="s">
        <v>51</v>
      </c>
      <c r="Y463" t="s">
        <v>1069</v>
      </c>
      <c r="Z463" t="s">
        <v>1069</v>
      </c>
      <c r="AA463" t="s">
        <v>271</v>
      </c>
      <c r="AB463" s="3">
        <f t="shared" si="56"/>
        <v>10</v>
      </c>
      <c r="AC463">
        <v>439.21</v>
      </c>
      <c r="AD463" s="2">
        <v>43.920999999999999</v>
      </c>
      <c r="AE463" s="2">
        <v>147.72999999999999</v>
      </c>
      <c r="AF463" s="2">
        <v>3.48</v>
      </c>
      <c r="AG463" s="2">
        <v>590.41999999999996</v>
      </c>
      <c r="AH463">
        <v>0</v>
      </c>
      <c r="AI463">
        <v>59.042000000000002</v>
      </c>
      <c r="AJ463">
        <v>2.9521000000000002</v>
      </c>
      <c r="AK463" t="s">
        <v>54</v>
      </c>
      <c r="AL463">
        <v>3.8</v>
      </c>
      <c r="AM463" s="4">
        <f t="shared" si="57"/>
        <v>59.041999999999994</v>
      </c>
      <c r="AN463" s="4">
        <f t="shared" si="58"/>
        <v>82.351874999999993</v>
      </c>
      <c r="AO463" s="4">
        <f t="shared" si="59"/>
        <v>91.492933124999993</v>
      </c>
      <c r="AP463" s="4">
        <f t="shared" si="60"/>
        <v>133.40180231249997</v>
      </c>
      <c r="AQ463" s="10">
        <f t="shared" si="61"/>
        <v>102.6799422</v>
      </c>
      <c r="AR463" s="10">
        <f t="shared" si="62"/>
        <v>114.08768377842</v>
      </c>
      <c r="AS463" s="10">
        <f t="shared" si="63"/>
        <v>159.85213401696001</v>
      </c>
    </row>
    <row r="464" spans="1:45" x14ac:dyDescent="0.3">
      <c r="A464">
        <v>2025</v>
      </c>
      <c r="B464">
        <v>11</v>
      </c>
      <c r="C464" t="s">
        <v>55</v>
      </c>
      <c r="D464">
        <v>10</v>
      </c>
      <c r="E464" t="s">
        <v>36</v>
      </c>
      <c r="F464" t="s">
        <v>37</v>
      </c>
      <c r="G464" t="s">
        <v>38</v>
      </c>
      <c r="H464" t="s">
        <v>78</v>
      </c>
      <c r="I464" t="s">
        <v>375</v>
      </c>
      <c r="J464" t="s">
        <v>376</v>
      </c>
      <c r="K464" t="s">
        <v>59</v>
      </c>
      <c r="L464" t="s">
        <v>1647</v>
      </c>
      <c r="M464" t="s">
        <v>1633</v>
      </c>
      <c r="N464" t="s">
        <v>1485</v>
      </c>
      <c r="O464" t="s">
        <v>1197</v>
      </c>
      <c r="Q464" t="s">
        <v>62</v>
      </c>
      <c r="R464" t="s">
        <v>1648</v>
      </c>
      <c r="S464" t="s">
        <v>1648</v>
      </c>
      <c r="T464" t="s">
        <v>47</v>
      </c>
      <c r="U464" t="s">
        <v>118</v>
      </c>
      <c r="V464" t="s">
        <v>49</v>
      </c>
      <c r="W464" t="s">
        <v>714</v>
      </c>
      <c r="X464" t="s">
        <v>51</v>
      </c>
      <c r="Y464" t="s">
        <v>1069</v>
      </c>
      <c r="Z464" t="s">
        <v>1069</v>
      </c>
      <c r="AA464" t="s">
        <v>271</v>
      </c>
      <c r="AB464" s="3">
        <f t="shared" si="56"/>
        <v>14.999999999999888</v>
      </c>
      <c r="AC464">
        <v>660.7</v>
      </c>
      <c r="AD464" s="2">
        <v>44.046666666667001</v>
      </c>
      <c r="AE464" s="2">
        <v>196.14</v>
      </c>
      <c r="AF464" s="2">
        <v>4.96</v>
      </c>
      <c r="AG464" s="2">
        <v>861.8</v>
      </c>
      <c r="AH464">
        <v>0</v>
      </c>
      <c r="AI464">
        <v>57.453333333332999</v>
      </c>
      <c r="AJ464">
        <v>4.3090000000000002</v>
      </c>
      <c r="AK464" t="s">
        <v>54</v>
      </c>
      <c r="AL464">
        <v>4.91</v>
      </c>
      <c r="AM464" s="4">
        <f t="shared" si="57"/>
        <v>57.453333333333759</v>
      </c>
      <c r="AN464" s="4">
        <f t="shared" si="58"/>
        <v>82.587500000000631</v>
      </c>
      <c r="AO464" s="4">
        <f t="shared" si="59"/>
        <v>91.754712500000693</v>
      </c>
      <c r="AP464" s="4">
        <f t="shared" si="60"/>
        <v>133.78349125000102</v>
      </c>
      <c r="AQ464" s="10">
        <f t="shared" si="61"/>
        <v>99.91709200000075</v>
      </c>
      <c r="AR464" s="10">
        <f t="shared" si="62"/>
        <v>111.01788092120083</v>
      </c>
      <c r="AS464" s="10">
        <f t="shared" si="63"/>
        <v>155.55092882560118</v>
      </c>
    </row>
    <row r="465" spans="1:45" x14ac:dyDescent="0.3">
      <c r="A465">
        <v>2025</v>
      </c>
      <c r="B465">
        <v>1</v>
      </c>
      <c r="C465" t="s">
        <v>55</v>
      </c>
      <c r="D465">
        <v>10</v>
      </c>
      <c r="E465" t="s">
        <v>36</v>
      </c>
      <c r="F465" t="s">
        <v>37</v>
      </c>
      <c r="G465" t="s">
        <v>38</v>
      </c>
      <c r="H465" t="s">
        <v>78</v>
      </c>
      <c r="I465" t="s">
        <v>57</v>
      </c>
      <c r="J465" t="s">
        <v>58</v>
      </c>
      <c r="K465" t="s">
        <v>59</v>
      </c>
      <c r="M465" t="s">
        <v>60</v>
      </c>
      <c r="N465" t="s">
        <v>61</v>
      </c>
      <c r="O465" t="s">
        <v>43</v>
      </c>
      <c r="Q465" t="s">
        <v>62</v>
      </c>
      <c r="R465" t="s">
        <v>63</v>
      </c>
      <c r="S465" t="s">
        <v>63</v>
      </c>
      <c r="T465" t="s">
        <v>47</v>
      </c>
      <c r="U465" t="s">
        <v>114</v>
      </c>
      <c r="V465" t="s">
        <v>49</v>
      </c>
      <c r="W465" t="s">
        <v>115</v>
      </c>
      <c r="X465" t="s">
        <v>51</v>
      </c>
      <c r="Y465" t="s">
        <v>1708</v>
      </c>
      <c r="Z465" t="s">
        <v>1708</v>
      </c>
      <c r="AA465" t="s">
        <v>1709</v>
      </c>
      <c r="AB465" s="3">
        <f t="shared" si="56"/>
        <v>2</v>
      </c>
      <c r="AC465">
        <v>234.89</v>
      </c>
      <c r="AD465" s="2">
        <v>117.44499999999999</v>
      </c>
      <c r="AE465" s="2">
        <v>78.92</v>
      </c>
      <c r="AF465" s="2">
        <v>1.86</v>
      </c>
      <c r="AG465" s="2">
        <v>315.67</v>
      </c>
      <c r="AH465">
        <v>0</v>
      </c>
      <c r="AI465">
        <v>157.83500000000001</v>
      </c>
      <c r="AJ465">
        <v>1.5783499999999999</v>
      </c>
      <c r="AK465" t="s">
        <v>54</v>
      </c>
      <c r="AL465">
        <v>2.2999999999999998</v>
      </c>
      <c r="AM465" s="4">
        <f t="shared" si="57"/>
        <v>157.83500000000001</v>
      </c>
      <c r="AN465" s="4">
        <f t="shared" si="58"/>
        <v>220.20937499999999</v>
      </c>
      <c r="AO465" s="4">
        <f t="shared" si="59"/>
        <v>244.65261562499998</v>
      </c>
      <c r="AP465" s="4">
        <f t="shared" si="60"/>
        <v>356.71716656249998</v>
      </c>
      <c r="AQ465" s="10">
        <f t="shared" si="61"/>
        <v>274.49084850000003</v>
      </c>
      <c r="AR465" s="10">
        <f t="shared" si="62"/>
        <v>304.98678176835</v>
      </c>
      <c r="AS465" s="10">
        <f t="shared" si="63"/>
        <v>427.32735294480005</v>
      </c>
    </row>
    <row r="466" spans="1:45" x14ac:dyDescent="0.3">
      <c r="A466">
        <v>2025</v>
      </c>
      <c r="B466">
        <v>8</v>
      </c>
      <c r="C466" t="s">
        <v>55</v>
      </c>
      <c r="D466">
        <v>10</v>
      </c>
      <c r="E466" t="s">
        <v>36</v>
      </c>
      <c r="F466" t="s">
        <v>37</v>
      </c>
      <c r="G466" t="s">
        <v>38</v>
      </c>
      <c r="H466" t="s">
        <v>78</v>
      </c>
      <c r="I466" t="s">
        <v>190</v>
      </c>
      <c r="J466" t="s">
        <v>58</v>
      </c>
      <c r="K466" t="s">
        <v>59</v>
      </c>
      <c r="L466" t="s">
        <v>1194</v>
      </c>
      <c r="M466" t="s">
        <v>1195</v>
      </c>
      <c r="N466" t="s">
        <v>1196</v>
      </c>
      <c r="O466" t="s">
        <v>1197</v>
      </c>
      <c r="Q466" t="s">
        <v>62</v>
      </c>
      <c r="R466" t="s">
        <v>1198</v>
      </c>
      <c r="S466" t="s">
        <v>1198</v>
      </c>
      <c r="T466" t="s">
        <v>47</v>
      </c>
      <c r="U466" t="s">
        <v>114</v>
      </c>
      <c r="V466" t="s">
        <v>49</v>
      </c>
      <c r="W466" t="s">
        <v>710</v>
      </c>
      <c r="X466" t="s">
        <v>388</v>
      </c>
      <c r="Y466" t="s">
        <v>116</v>
      </c>
      <c r="Z466" t="s">
        <v>64</v>
      </c>
      <c r="AA466" t="s">
        <v>117</v>
      </c>
      <c r="AB466" s="3">
        <f t="shared" si="56"/>
        <v>5.0000000000000009</v>
      </c>
      <c r="AC466">
        <v>913.44</v>
      </c>
      <c r="AD466" s="2">
        <v>182.68799999999999</v>
      </c>
      <c r="AE466" s="2">
        <v>219.46</v>
      </c>
      <c r="AF466" s="2">
        <v>6.31</v>
      </c>
      <c r="AG466" s="2">
        <v>1139.2</v>
      </c>
      <c r="AH466">
        <v>0</v>
      </c>
      <c r="AI466">
        <v>227.84</v>
      </c>
      <c r="AJ466">
        <v>5.6959999999999997</v>
      </c>
      <c r="AK466" t="s">
        <v>54</v>
      </c>
      <c r="AL466">
        <v>15.03</v>
      </c>
      <c r="AM466" s="4">
        <f t="shared" si="57"/>
        <v>227.83999999999997</v>
      </c>
      <c r="AN466" s="4">
        <f t="shared" si="58"/>
        <v>342.53999999999996</v>
      </c>
      <c r="AO466" s="4">
        <f t="shared" si="59"/>
        <v>380.56193999999994</v>
      </c>
      <c r="AP466" s="4">
        <f t="shared" si="60"/>
        <v>554.88054599999987</v>
      </c>
      <c r="AQ466" s="10">
        <f t="shared" si="61"/>
        <v>396.23654399999998</v>
      </c>
      <c r="AR466" s="10">
        <f t="shared" si="62"/>
        <v>440.25842403839999</v>
      </c>
      <c r="AS466" s="10">
        <f t="shared" si="63"/>
        <v>616.86105169919995</v>
      </c>
    </row>
    <row r="467" spans="1:45" x14ac:dyDescent="0.3">
      <c r="A467">
        <v>2025</v>
      </c>
      <c r="B467">
        <v>9</v>
      </c>
      <c r="C467" t="s">
        <v>55</v>
      </c>
      <c r="D467">
        <v>10</v>
      </c>
      <c r="E467" t="s">
        <v>36</v>
      </c>
      <c r="F467" t="s">
        <v>37</v>
      </c>
      <c r="G467" t="s">
        <v>38</v>
      </c>
      <c r="H467" t="s">
        <v>78</v>
      </c>
      <c r="I467" t="s">
        <v>375</v>
      </c>
      <c r="J467" t="s">
        <v>376</v>
      </c>
      <c r="K467" t="s">
        <v>41</v>
      </c>
      <c r="L467" t="s">
        <v>1503</v>
      </c>
      <c r="M467" t="s">
        <v>1504</v>
      </c>
      <c r="N467" t="s">
        <v>377</v>
      </c>
      <c r="O467" t="s">
        <v>1197</v>
      </c>
      <c r="Q467" t="s">
        <v>62</v>
      </c>
      <c r="R467" t="s">
        <v>1505</v>
      </c>
      <c r="S467" t="s">
        <v>1505</v>
      </c>
      <c r="T467" t="s">
        <v>47</v>
      </c>
      <c r="U467" t="s">
        <v>114</v>
      </c>
      <c r="V467" t="s">
        <v>49</v>
      </c>
      <c r="W467" t="s">
        <v>710</v>
      </c>
      <c r="X467" t="s">
        <v>388</v>
      </c>
      <c r="Y467" t="s">
        <v>1316</v>
      </c>
      <c r="Z467" t="s">
        <v>1317</v>
      </c>
      <c r="AA467" t="s">
        <v>117</v>
      </c>
      <c r="AB467" s="3">
        <f t="shared" si="56"/>
        <v>10</v>
      </c>
      <c r="AC467">
        <v>1512.19</v>
      </c>
      <c r="AD467" s="2">
        <v>151.21899999999999</v>
      </c>
      <c r="AE467" s="2">
        <v>108.37</v>
      </c>
      <c r="AF467" s="2">
        <v>9.7799999999999994</v>
      </c>
      <c r="AG467" s="2">
        <v>1630.34</v>
      </c>
      <c r="AH467">
        <v>0</v>
      </c>
      <c r="AI467">
        <v>163.03399999999999</v>
      </c>
      <c r="AJ467">
        <v>8.1516999999999999</v>
      </c>
      <c r="AK467" t="s">
        <v>54</v>
      </c>
      <c r="AL467">
        <v>12.73</v>
      </c>
      <c r="AM467" s="4">
        <f t="shared" si="57"/>
        <v>163.03399999999999</v>
      </c>
      <c r="AN467" s="4">
        <f t="shared" si="58"/>
        <v>283.53562499999998</v>
      </c>
      <c r="AO467" s="4">
        <f t="shared" si="59"/>
        <v>315.00807937499997</v>
      </c>
      <c r="AP467" s="4">
        <f t="shared" si="60"/>
        <v>459.29935893749996</v>
      </c>
      <c r="AQ467" s="10">
        <f t="shared" si="61"/>
        <v>283.53242940000001</v>
      </c>
      <c r="AR467" s="10">
        <f t="shared" si="62"/>
        <v>315.03288230634001</v>
      </c>
      <c r="AS467" s="10">
        <f t="shared" si="63"/>
        <v>441.40328608992002</v>
      </c>
    </row>
    <row r="468" spans="1:45" x14ac:dyDescent="0.3">
      <c r="A468">
        <v>2025</v>
      </c>
      <c r="B468">
        <v>12</v>
      </c>
      <c r="C468" t="s">
        <v>55</v>
      </c>
      <c r="D468">
        <v>10</v>
      </c>
      <c r="E468" t="s">
        <v>36</v>
      </c>
      <c r="F468" t="s">
        <v>37</v>
      </c>
      <c r="G468" t="s">
        <v>38</v>
      </c>
      <c r="H468" t="s">
        <v>341</v>
      </c>
      <c r="I468" t="s">
        <v>57</v>
      </c>
      <c r="J468" t="s">
        <v>58</v>
      </c>
      <c r="K468" t="s">
        <v>59</v>
      </c>
      <c r="L468" t="s">
        <v>1769</v>
      </c>
      <c r="M468" t="s">
        <v>1770</v>
      </c>
      <c r="N468" t="s">
        <v>1771</v>
      </c>
      <c r="O468" t="s">
        <v>1197</v>
      </c>
      <c r="Q468" t="s">
        <v>62</v>
      </c>
      <c r="R468" t="s">
        <v>1772</v>
      </c>
      <c r="S468" t="s">
        <v>1772</v>
      </c>
      <c r="T468" t="s">
        <v>47</v>
      </c>
      <c r="U468" t="s">
        <v>1250</v>
      </c>
      <c r="V468" t="s">
        <v>49</v>
      </c>
      <c r="W468" t="s">
        <v>759</v>
      </c>
      <c r="X468" t="s">
        <v>51</v>
      </c>
      <c r="Y468" t="s">
        <v>1316</v>
      </c>
      <c r="Z468" t="s">
        <v>1317</v>
      </c>
      <c r="AA468" t="s">
        <v>117</v>
      </c>
      <c r="AB468" s="3">
        <f t="shared" si="56"/>
        <v>10</v>
      </c>
      <c r="AC468">
        <v>1480.3</v>
      </c>
      <c r="AD468" s="2">
        <v>148.03</v>
      </c>
      <c r="AE468" s="2">
        <v>538.15</v>
      </c>
      <c r="AF468" s="2">
        <v>12.39</v>
      </c>
      <c r="AG468" s="2">
        <v>2030.57</v>
      </c>
      <c r="AH468">
        <v>0</v>
      </c>
      <c r="AI468">
        <v>203.05699999999999</v>
      </c>
      <c r="AJ468">
        <v>10.152850000000001</v>
      </c>
      <c r="AK468" t="s">
        <v>54</v>
      </c>
      <c r="AL468">
        <v>22.25</v>
      </c>
      <c r="AM468" s="4">
        <f t="shared" si="57"/>
        <v>203.05699999999999</v>
      </c>
      <c r="AN468" s="4">
        <f t="shared" si="58"/>
        <v>277.55624999999998</v>
      </c>
      <c r="AO468" s="4">
        <f t="shared" si="59"/>
        <v>308.36499375</v>
      </c>
      <c r="AP468" s="4">
        <f t="shared" si="60"/>
        <v>449.61336937499993</v>
      </c>
      <c r="AQ468" s="10">
        <f t="shared" si="61"/>
        <v>353.13642870000001</v>
      </c>
      <c r="AR468" s="10">
        <f t="shared" si="62"/>
        <v>392.36988592857</v>
      </c>
      <c r="AS468" s="10">
        <f t="shared" si="63"/>
        <v>549.76279220015999</v>
      </c>
    </row>
    <row r="469" spans="1:45" x14ac:dyDescent="0.3">
      <c r="A469">
        <v>2025</v>
      </c>
      <c r="B469">
        <v>4</v>
      </c>
      <c r="C469" t="s">
        <v>55</v>
      </c>
      <c r="D469">
        <v>10</v>
      </c>
      <c r="E469" t="s">
        <v>36</v>
      </c>
      <c r="F469" t="s">
        <v>37</v>
      </c>
      <c r="G469" t="s">
        <v>38</v>
      </c>
      <c r="H469" t="s">
        <v>341</v>
      </c>
      <c r="I469" t="s">
        <v>375</v>
      </c>
      <c r="J469" t="s">
        <v>376</v>
      </c>
      <c r="K469" t="s">
        <v>59</v>
      </c>
      <c r="M469">
        <v>2503061</v>
      </c>
      <c r="N469" t="s">
        <v>377</v>
      </c>
      <c r="O469" t="s">
        <v>36</v>
      </c>
      <c r="Q469" t="s">
        <v>62</v>
      </c>
      <c r="R469" t="s">
        <v>378</v>
      </c>
      <c r="S469" t="s">
        <v>378</v>
      </c>
      <c r="T469" t="s">
        <v>47</v>
      </c>
      <c r="U469" t="s">
        <v>102</v>
      </c>
      <c r="V469" t="s">
        <v>49</v>
      </c>
      <c r="W469" t="s">
        <v>103</v>
      </c>
      <c r="X469" t="s">
        <v>51</v>
      </c>
      <c r="Y469" t="s">
        <v>1791</v>
      </c>
      <c r="Z469" t="s">
        <v>1791</v>
      </c>
      <c r="AA469" t="s">
        <v>1792</v>
      </c>
      <c r="AB469" s="3">
        <f t="shared" si="56"/>
        <v>1</v>
      </c>
      <c r="AC469">
        <v>34.340000000000003</v>
      </c>
      <c r="AD469" s="2">
        <v>34.340000000000003</v>
      </c>
      <c r="AE469" s="2">
        <v>10.19</v>
      </c>
      <c r="AF469" s="2">
        <v>0.26</v>
      </c>
      <c r="AG469" s="2">
        <v>44.79</v>
      </c>
      <c r="AH469">
        <v>0</v>
      </c>
      <c r="AI469">
        <v>44.79</v>
      </c>
      <c r="AJ469">
        <v>0.22395000000000001</v>
      </c>
      <c r="AK469" t="s">
        <v>54</v>
      </c>
      <c r="AL469">
        <v>0.26</v>
      </c>
      <c r="AM469" s="4">
        <f t="shared" si="57"/>
        <v>44.79</v>
      </c>
      <c r="AN469" s="4">
        <f t="shared" si="58"/>
        <v>64.387500000000003</v>
      </c>
      <c r="AO469" s="4">
        <f t="shared" si="59"/>
        <v>71.534512500000005</v>
      </c>
      <c r="AP469" s="4">
        <f t="shared" si="60"/>
        <v>104.30131125</v>
      </c>
      <c r="AQ469" s="10">
        <f t="shared" si="61"/>
        <v>77.894289000000001</v>
      </c>
      <c r="AR469" s="10">
        <f t="shared" si="62"/>
        <v>86.548344507899998</v>
      </c>
      <c r="AS469" s="10">
        <f t="shared" si="63"/>
        <v>121.26582911519999</v>
      </c>
    </row>
    <row r="470" spans="1:45" x14ac:dyDescent="0.3">
      <c r="A470">
        <v>2025</v>
      </c>
      <c r="B470">
        <v>10</v>
      </c>
      <c r="C470" t="s">
        <v>55</v>
      </c>
      <c r="D470">
        <v>10</v>
      </c>
      <c r="E470" t="s">
        <v>36</v>
      </c>
      <c r="F470" t="s">
        <v>37</v>
      </c>
      <c r="G470" t="s">
        <v>38</v>
      </c>
      <c r="H470" t="s">
        <v>341</v>
      </c>
      <c r="I470" t="s">
        <v>375</v>
      </c>
      <c r="J470" t="s">
        <v>376</v>
      </c>
      <c r="K470" t="s">
        <v>59</v>
      </c>
      <c r="L470" t="s">
        <v>1549</v>
      </c>
      <c r="M470" t="s">
        <v>1550</v>
      </c>
      <c r="N470" t="s">
        <v>1551</v>
      </c>
      <c r="O470" t="s">
        <v>1197</v>
      </c>
      <c r="Q470" t="s">
        <v>62</v>
      </c>
      <c r="R470" t="s">
        <v>1552</v>
      </c>
      <c r="S470" t="s">
        <v>1552</v>
      </c>
      <c r="T470" t="s">
        <v>47</v>
      </c>
      <c r="U470" t="s">
        <v>102</v>
      </c>
      <c r="V470" t="s">
        <v>49</v>
      </c>
      <c r="W470" t="s">
        <v>805</v>
      </c>
      <c r="X470" t="s">
        <v>51</v>
      </c>
      <c r="Y470" t="s">
        <v>99</v>
      </c>
      <c r="Z470" t="s">
        <v>99</v>
      </c>
      <c r="AA470" t="s">
        <v>470</v>
      </c>
      <c r="AB470" s="3">
        <f t="shared" si="56"/>
        <v>1</v>
      </c>
      <c r="AC470">
        <v>2088.2199999999998</v>
      </c>
      <c r="AD470" s="2">
        <v>2088.2199999999998</v>
      </c>
      <c r="AE470" s="2">
        <v>23.69</v>
      </c>
      <c r="AF470" s="2">
        <v>14.98</v>
      </c>
      <c r="AG470" s="2">
        <v>2126.89</v>
      </c>
      <c r="AH470">
        <v>0</v>
      </c>
      <c r="AI470">
        <v>2126.89</v>
      </c>
      <c r="AJ470">
        <v>10.634449999999999</v>
      </c>
      <c r="AK470" t="s">
        <v>54</v>
      </c>
      <c r="AL470">
        <v>1.1299999999999999</v>
      </c>
      <c r="AM470" s="4">
        <f t="shared" si="57"/>
        <v>2126.89</v>
      </c>
      <c r="AN470" s="4">
        <f t="shared" si="58"/>
        <v>3915.4124999999995</v>
      </c>
      <c r="AO470" s="4">
        <f t="shared" si="59"/>
        <v>4350.0232874999992</v>
      </c>
      <c r="AP470" s="4">
        <f t="shared" si="60"/>
        <v>6342.5767087499989</v>
      </c>
      <c r="AQ470" s="10">
        <f t="shared" si="61"/>
        <v>3698.8743989999998</v>
      </c>
      <c r="AR470" s="10">
        <f t="shared" si="62"/>
        <v>4109.8193447288995</v>
      </c>
      <c r="AS470" s="10">
        <f t="shared" si="63"/>
        <v>5758.4076643631997</v>
      </c>
    </row>
    <row r="471" spans="1:45" x14ac:dyDescent="0.3">
      <c r="A471">
        <v>2025</v>
      </c>
      <c r="B471">
        <v>8</v>
      </c>
      <c r="C471" t="s">
        <v>55</v>
      </c>
      <c r="D471">
        <v>10</v>
      </c>
      <c r="E471" t="s">
        <v>36</v>
      </c>
      <c r="F471" t="s">
        <v>37</v>
      </c>
      <c r="G471" t="s">
        <v>38</v>
      </c>
      <c r="H471" t="s">
        <v>83</v>
      </c>
      <c r="I471" t="s">
        <v>190</v>
      </c>
      <c r="J471" t="s">
        <v>58</v>
      </c>
      <c r="K471" t="s">
        <v>59</v>
      </c>
      <c r="L471" t="s">
        <v>1194</v>
      </c>
      <c r="M471" t="s">
        <v>1195</v>
      </c>
      <c r="N471" t="s">
        <v>1196</v>
      </c>
      <c r="O471" t="s">
        <v>1197</v>
      </c>
      <c r="Q471" t="s">
        <v>62</v>
      </c>
      <c r="R471" t="s">
        <v>1198</v>
      </c>
      <c r="S471" t="s">
        <v>1198</v>
      </c>
      <c r="T471" t="s">
        <v>47</v>
      </c>
      <c r="U471" t="s">
        <v>1250</v>
      </c>
      <c r="V471" t="s">
        <v>49</v>
      </c>
      <c r="W471" t="s">
        <v>759</v>
      </c>
      <c r="X471" t="s">
        <v>388</v>
      </c>
      <c r="Y471" t="s">
        <v>1571</v>
      </c>
      <c r="Z471" t="s">
        <v>1571</v>
      </c>
      <c r="AA471" t="s">
        <v>1572</v>
      </c>
      <c r="AB471" s="3">
        <f t="shared" si="56"/>
        <v>1</v>
      </c>
      <c r="AC471">
        <v>1686.99</v>
      </c>
      <c r="AD471" s="2">
        <v>1686.99</v>
      </c>
      <c r="AE471" s="2">
        <v>771.1</v>
      </c>
      <c r="AF471" s="2">
        <v>15.5</v>
      </c>
      <c r="AG471" s="2">
        <v>2473.13</v>
      </c>
      <c r="AH471">
        <v>0</v>
      </c>
      <c r="AI471">
        <v>2473.13</v>
      </c>
      <c r="AJ471">
        <v>12.36565</v>
      </c>
      <c r="AK471" t="s">
        <v>54</v>
      </c>
      <c r="AL471">
        <v>34.92</v>
      </c>
      <c r="AM471" s="4">
        <f t="shared" si="57"/>
        <v>2473.13</v>
      </c>
      <c r="AN471" s="4">
        <f t="shared" si="58"/>
        <v>3163.1062499999998</v>
      </c>
      <c r="AO471" s="4">
        <f t="shared" si="59"/>
        <v>3514.2110437499996</v>
      </c>
      <c r="AP471" s="4">
        <f t="shared" si="60"/>
        <v>5123.9158143749992</v>
      </c>
      <c r="AQ471" s="10">
        <f t="shared" si="61"/>
        <v>4301.020383</v>
      </c>
      <c r="AR471" s="10">
        <f t="shared" si="62"/>
        <v>4778.8637475512996</v>
      </c>
      <c r="AS471" s="10">
        <f t="shared" si="63"/>
        <v>6695.8285322543998</v>
      </c>
    </row>
    <row r="472" spans="1:45" x14ac:dyDescent="0.3">
      <c r="A472">
        <v>2025</v>
      </c>
      <c r="B472">
        <v>8</v>
      </c>
      <c r="C472" t="s">
        <v>55</v>
      </c>
      <c r="D472">
        <v>10</v>
      </c>
      <c r="E472" t="s">
        <v>36</v>
      </c>
      <c r="F472" t="s">
        <v>37</v>
      </c>
      <c r="G472" t="s">
        <v>38</v>
      </c>
      <c r="H472" t="s">
        <v>141</v>
      </c>
      <c r="I472" t="s">
        <v>190</v>
      </c>
      <c r="J472" t="s">
        <v>58</v>
      </c>
      <c r="K472" t="s">
        <v>59</v>
      </c>
      <c r="L472" t="s">
        <v>1194</v>
      </c>
      <c r="M472" t="s">
        <v>1195</v>
      </c>
      <c r="N472" t="s">
        <v>1196</v>
      </c>
      <c r="O472" t="s">
        <v>1197</v>
      </c>
      <c r="Q472" t="s">
        <v>62</v>
      </c>
      <c r="R472" t="s">
        <v>1198</v>
      </c>
      <c r="S472" t="s">
        <v>1198</v>
      </c>
      <c r="T472" t="s">
        <v>47</v>
      </c>
      <c r="U472" t="s">
        <v>163</v>
      </c>
      <c r="V472" t="s">
        <v>49</v>
      </c>
      <c r="W472" t="s">
        <v>164</v>
      </c>
      <c r="X472" t="s">
        <v>388</v>
      </c>
      <c r="Y472" t="s">
        <v>1251</v>
      </c>
      <c r="Z472" t="s">
        <v>1251</v>
      </c>
      <c r="AA472" t="s">
        <v>1252</v>
      </c>
      <c r="AB472" s="3">
        <f t="shared" si="56"/>
        <v>2</v>
      </c>
      <c r="AC472">
        <v>65.3</v>
      </c>
      <c r="AD472" s="2">
        <v>32.65</v>
      </c>
      <c r="AE472" s="2">
        <v>4.66</v>
      </c>
      <c r="AF472" s="2">
        <v>0.42</v>
      </c>
      <c r="AG472" s="2">
        <v>70.11</v>
      </c>
      <c r="AH472">
        <v>0</v>
      </c>
      <c r="AI472">
        <v>35.055</v>
      </c>
      <c r="AJ472">
        <v>0.35054999999999997</v>
      </c>
      <c r="AK472" t="s">
        <v>54</v>
      </c>
      <c r="AL472">
        <v>0.55000000000000004</v>
      </c>
      <c r="AM472" s="4">
        <f t="shared" si="57"/>
        <v>35.055</v>
      </c>
      <c r="AN472" s="4">
        <f t="shared" si="58"/>
        <v>61.21875</v>
      </c>
      <c r="AO472" s="4">
        <f t="shared" si="59"/>
        <v>68.014031250000002</v>
      </c>
      <c r="AP472" s="4">
        <f t="shared" si="60"/>
        <v>99.168253124999993</v>
      </c>
      <c r="AQ472" s="10">
        <f t="shared" si="61"/>
        <v>60.964150500000002</v>
      </c>
      <c r="AR472" s="10">
        <f t="shared" si="62"/>
        <v>67.73726762055</v>
      </c>
      <c r="AS472" s="10">
        <f t="shared" si="63"/>
        <v>94.908989498400004</v>
      </c>
    </row>
    <row r="473" spans="1:45" x14ac:dyDescent="0.3">
      <c r="A473">
        <v>2025</v>
      </c>
      <c r="B473">
        <v>4</v>
      </c>
      <c r="C473" t="s">
        <v>55</v>
      </c>
      <c r="D473">
        <v>10</v>
      </c>
      <c r="E473" t="s">
        <v>36</v>
      </c>
      <c r="F473" t="s">
        <v>37</v>
      </c>
      <c r="G473" t="s">
        <v>38</v>
      </c>
      <c r="H473" t="s">
        <v>141</v>
      </c>
      <c r="I473" t="s">
        <v>375</v>
      </c>
      <c r="J473" t="s">
        <v>376</v>
      </c>
      <c r="K473" t="s">
        <v>59</v>
      </c>
      <c r="M473">
        <v>2503061</v>
      </c>
      <c r="N473" t="s">
        <v>377</v>
      </c>
      <c r="O473" t="s">
        <v>36</v>
      </c>
      <c r="Q473" t="s">
        <v>62</v>
      </c>
      <c r="R473" t="s">
        <v>378</v>
      </c>
      <c r="S473" t="s">
        <v>378</v>
      </c>
      <c r="T473" t="s">
        <v>47</v>
      </c>
      <c r="U473" t="s">
        <v>163</v>
      </c>
      <c r="V473" t="s">
        <v>49</v>
      </c>
      <c r="W473" t="s">
        <v>164</v>
      </c>
      <c r="X473" t="s">
        <v>51</v>
      </c>
      <c r="Y473" t="s">
        <v>1122</v>
      </c>
      <c r="Z473" t="s">
        <v>1122</v>
      </c>
      <c r="AA473" t="s">
        <v>1389</v>
      </c>
      <c r="AB473" s="3">
        <f t="shared" si="56"/>
        <v>3</v>
      </c>
      <c r="AC473">
        <v>412.86</v>
      </c>
      <c r="AD473" s="2">
        <v>137.62</v>
      </c>
      <c r="AE473" s="2">
        <v>29.59</v>
      </c>
      <c r="AF473" s="2">
        <v>2.67</v>
      </c>
      <c r="AG473" s="2">
        <v>445.12</v>
      </c>
      <c r="AH473">
        <v>0</v>
      </c>
      <c r="AI473">
        <v>148.37333333333001</v>
      </c>
      <c r="AJ473">
        <v>2.2256</v>
      </c>
      <c r="AK473" t="s">
        <v>54</v>
      </c>
      <c r="AL473">
        <v>3.48</v>
      </c>
      <c r="AM473" s="4">
        <f t="shared" si="57"/>
        <v>148.37333333333333</v>
      </c>
      <c r="AN473" s="4">
        <f t="shared" si="58"/>
        <v>258.03750000000002</v>
      </c>
      <c r="AO473" s="4">
        <f t="shared" si="59"/>
        <v>286.67966250000001</v>
      </c>
      <c r="AP473" s="4">
        <f t="shared" si="60"/>
        <v>417.99494625</v>
      </c>
      <c r="AQ473" s="10">
        <f t="shared" si="61"/>
        <v>258.03606400000001</v>
      </c>
      <c r="AR473" s="10">
        <f t="shared" si="62"/>
        <v>286.7038707104</v>
      </c>
      <c r="AS473" s="10">
        <f t="shared" si="63"/>
        <v>401.71054443520001</v>
      </c>
    </row>
    <row r="474" spans="1:45" x14ac:dyDescent="0.3">
      <c r="A474">
        <v>2025</v>
      </c>
      <c r="B474">
        <v>4</v>
      </c>
      <c r="C474" t="s">
        <v>55</v>
      </c>
      <c r="D474">
        <v>10</v>
      </c>
      <c r="E474" t="s">
        <v>36</v>
      </c>
      <c r="F474" t="s">
        <v>37</v>
      </c>
      <c r="G474" t="s">
        <v>38</v>
      </c>
      <c r="H474" t="s">
        <v>141</v>
      </c>
      <c r="I474" t="s">
        <v>375</v>
      </c>
      <c r="J474" t="s">
        <v>376</v>
      </c>
      <c r="K474" t="s">
        <v>59</v>
      </c>
      <c r="M474">
        <v>2503061</v>
      </c>
      <c r="N474" t="s">
        <v>377</v>
      </c>
      <c r="O474" t="s">
        <v>36</v>
      </c>
      <c r="Q474" t="s">
        <v>62</v>
      </c>
      <c r="R474" t="s">
        <v>378</v>
      </c>
      <c r="S474" t="s">
        <v>378</v>
      </c>
      <c r="T474" t="s">
        <v>47</v>
      </c>
      <c r="U474" t="s">
        <v>163</v>
      </c>
      <c r="V474" t="s">
        <v>49</v>
      </c>
      <c r="W474" t="s">
        <v>164</v>
      </c>
      <c r="X474" t="s">
        <v>51</v>
      </c>
      <c r="Y474" t="s">
        <v>550</v>
      </c>
      <c r="Z474" t="s">
        <v>550</v>
      </c>
      <c r="AA474" t="s">
        <v>551</v>
      </c>
      <c r="AB474" s="3">
        <f t="shared" si="56"/>
        <v>2</v>
      </c>
      <c r="AC474">
        <v>239.95</v>
      </c>
      <c r="AD474" s="2">
        <v>119.97499999999999</v>
      </c>
      <c r="AE474" s="2">
        <v>30.17</v>
      </c>
      <c r="AF474" s="2">
        <v>1.69</v>
      </c>
      <c r="AG474" s="2">
        <v>271.82</v>
      </c>
      <c r="AH474">
        <v>0</v>
      </c>
      <c r="AI474">
        <v>135.91</v>
      </c>
      <c r="AJ474">
        <v>1.3591</v>
      </c>
      <c r="AK474" t="s">
        <v>54</v>
      </c>
      <c r="AL474">
        <v>1.44</v>
      </c>
      <c r="AM474" s="4">
        <f t="shared" si="57"/>
        <v>135.91</v>
      </c>
      <c r="AN474" s="4">
        <f t="shared" si="58"/>
        <v>224.953125</v>
      </c>
      <c r="AO474" s="4">
        <f t="shared" si="59"/>
        <v>249.92292187499999</v>
      </c>
      <c r="AP474" s="4">
        <f t="shared" si="60"/>
        <v>364.40156718749995</v>
      </c>
      <c r="AQ474" s="10">
        <f t="shared" si="61"/>
        <v>236.36108100000001</v>
      </c>
      <c r="AR474" s="10">
        <f t="shared" si="62"/>
        <v>262.6207970991</v>
      </c>
      <c r="AS474" s="10">
        <f t="shared" si="63"/>
        <v>367.96693090080004</v>
      </c>
    </row>
    <row r="475" spans="1:45" x14ac:dyDescent="0.3">
      <c r="A475">
        <v>2025</v>
      </c>
      <c r="B475">
        <v>7</v>
      </c>
      <c r="C475" t="s">
        <v>55</v>
      </c>
      <c r="D475">
        <v>10</v>
      </c>
      <c r="E475" t="s">
        <v>36</v>
      </c>
      <c r="F475" t="s">
        <v>37</v>
      </c>
      <c r="G475" t="s">
        <v>38</v>
      </c>
      <c r="H475" t="s">
        <v>141</v>
      </c>
      <c r="I475" t="s">
        <v>190</v>
      </c>
      <c r="J475" t="s">
        <v>58</v>
      </c>
      <c r="K475" t="s">
        <v>41</v>
      </c>
      <c r="L475" t="s">
        <v>953</v>
      </c>
      <c r="M475" t="s">
        <v>954</v>
      </c>
      <c r="N475" t="s">
        <v>731</v>
      </c>
      <c r="O475" t="s">
        <v>36</v>
      </c>
      <c r="Q475" t="s">
        <v>62</v>
      </c>
      <c r="R475" t="s">
        <v>955</v>
      </c>
      <c r="S475" t="s">
        <v>956</v>
      </c>
      <c r="T475" t="s">
        <v>47</v>
      </c>
      <c r="U475" t="s">
        <v>163</v>
      </c>
      <c r="V475" t="s">
        <v>49</v>
      </c>
      <c r="W475" t="s">
        <v>164</v>
      </c>
      <c r="X475" t="s">
        <v>51</v>
      </c>
      <c r="Y475" t="s">
        <v>554</v>
      </c>
      <c r="Z475" t="s">
        <v>554</v>
      </c>
      <c r="AA475" t="s">
        <v>551</v>
      </c>
      <c r="AB475" s="3">
        <f t="shared" si="56"/>
        <v>1</v>
      </c>
      <c r="AC475">
        <v>120.1</v>
      </c>
      <c r="AD475" s="2">
        <v>120.1</v>
      </c>
      <c r="AE475" s="2">
        <v>23.68</v>
      </c>
      <c r="AF475" s="2">
        <v>0.84</v>
      </c>
      <c r="AG475" s="2">
        <v>144.62</v>
      </c>
      <c r="AH475">
        <v>0</v>
      </c>
      <c r="AI475">
        <v>144.62</v>
      </c>
      <c r="AJ475">
        <v>0.72309999999999997</v>
      </c>
      <c r="AK475" t="s">
        <v>54</v>
      </c>
      <c r="AL475">
        <v>1.1299999999999999</v>
      </c>
      <c r="AM475" s="4">
        <f t="shared" si="57"/>
        <v>144.62</v>
      </c>
      <c r="AN475" s="4">
        <f t="shared" si="58"/>
        <v>225.1875</v>
      </c>
      <c r="AO475" s="4">
        <f t="shared" si="59"/>
        <v>250.1833125</v>
      </c>
      <c r="AP475" s="4">
        <f t="shared" si="60"/>
        <v>364.78123124999996</v>
      </c>
      <c r="AQ475" s="10">
        <f t="shared" si="61"/>
        <v>251.50864200000001</v>
      </c>
      <c r="AR475" s="10">
        <f t="shared" si="62"/>
        <v>279.45125212620002</v>
      </c>
      <c r="AS475" s="10">
        <f t="shared" si="63"/>
        <v>391.54865386559999</v>
      </c>
    </row>
    <row r="476" spans="1:45" x14ac:dyDescent="0.3">
      <c r="A476">
        <v>2025</v>
      </c>
      <c r="B476">
        <v>11</v>
      </c>
      <c r="C476" t="s">
        <v>55</v>
      </c>
      <c r="D476">
        <v>10</v>
      </c>
      <c r="E476" t="s">
        <v>36</v>
      </c>
      <c r="F476" t="s">
        <v>37</v>
      </c>
      <c r="G476" t="s">
        <v>38</v>
      </c>
      <c r="H476" t="s">
        <v>141</v>
      </c>
      <c r="I476" t="s">
        <v>375</v>
      </c>
      <c r="J476" t="s">
        <v>376</v>
      </c>
      <c r="K476" t="s">
        <v>59</v>
      </c>
      <c r="L476" t="s">
        <v>1647</v>
      </c>
      <c r="M476" t="s">
        <v>1633</v>
      </c>
      <c r="N476" t="s">
        <v>1485</v>
      </c>
      <c r="O476" t="s">
        <v>1197</v>
      </c>
      <c r="Q476" t="s">
        <v>62</v>
      </c>
      <c r="R476" t="s">
        <v>1648</v>
      </c>
      <c r="S476" t="s">
        <v>1648</v>
      </c>
      <c r="T476" t="s">
        <v>47</v>
      </c>
      <c r="U476" t="s">
        <v>163</v>
      </c>
      <c r="V476" t="s">
        <v>49</v>
      </c>
      <c r="W476" t="s">
        <v>164</v>
      </c>
      <c r="X476" t="s">
        <v>51</v>
      </c>
      <c r="Y476" t="s">
        <v>1122</v>
      </c>
      <c r="Z476" t="s">
        <v>1122</v>
      </c>
      <c r="AA476" t="s">
        <v>1123</v>
      </c>
      <c r="AB476" s="3">
        <f t="shared" si="56"/>
        <v>1</v>
      </c>
      <c r="AC476">
        <v>154.61000000000001</v>
      </c>
      <c r="AD476" s="2">
        <v>154.61000000000001</v>
      </c>
      <c r="AE476" s="2">
        <v>29.4</v>
      </c>
      <c r="AF476" s="2">
        <v>1.6</v>
      </c>
      <c r="AG476" s="2">
        <v>184.71</v>
      </c>
      <c r="AH476">
        <v>0</v>
      </c>
      <c r="AI476">
        <v>184.71</v>
      </c>
      <c r="AJ476">
        <v>0.92354999999999998</v>
      </c>
      <c r="AK476" t="s">
        <v>54</v>
      </c>
      <c r="AL476">
        <v>2.17</v>
      </c>
      <c r="AM476" s="4">
        <f t="shared" si="57"/>
        <v>184.71</v>
      </c>
      <c r="AN476" s="4">
        <f t="shared" si="58"/>
        <v>289.89375000000001</v>
      </c>
      <c r="AO476" s="4">
        <f t="shared" si="59"/>
        <v>322.07195625000003</v>
      </c>
      <c r="AP476" s="4">
        <f t="shared" si="60"/>
        <v>469.59888562499998</v>
      </c>
      <c r="AQ476" s="10">
        <f t="shared" si="61"/>
        <v>321.22916100000003</v>
      </c>
      <c r="AR476" s="10">
        <f t="shared" si="62"/>
        <v>356.91772078710005</v>
      </c>
      <c r="AS476" s="10">
        <f t="shared" si="63"/>
        <v>500.08955784480003</v>
      </c>
    </row>
    <row r="477" spans="1:45" x14ac:dyDescent="0.3">
      <c r="A477">
        <v>2025</v>
      </c>
      <c r="B477">
        <v>8</v>
      </c>
      <c r="C477" t="s">
        <v>55</v>
      </c>
      <c r="D477">
        <v>10</v>
      </c>
      <c r="E477" t="s">
        <v>36</v>
      </c>
      <c r="F477" t="s">
        <v>37</v>
      </c>
      <c r="G477" t="s">
        <v>38</v>
      </c>
      <c r="H477" t="s">
        <v>78</v>
      </c>
      <c r="I477" t="s">
        <v>190</v>
      </c>
      <c r="J477" t="s">
        <v>58</v>
      </c>
      <c r="K477" t="s">
        <v>59</v>
      </c>
      <c r="L477" t="s">
        <v>1194</v>
      </c>
      <c r="M477" t="s">
        <v>1195</v>
      </c>
      <c r="N477" t="s">
        <v>1196</v>
      </c>
      <c r="O477" t="s">
        <v>1197</v>
      </c>
      <c r="Q477" t="s">
        <v>62</v>
      </c>
      <c r="R477" t="s">
        <v>1198</v>
      </c>
      <c r="S477" t="s">
        <v>1198</v>
      </c>
      <c r="T477" t="s">
        <v>47</v>
      </c>
      <c r="U477" t="s">
        <v>1307</v>
      </c>
      <c r="V477" t="s">
        <v>49</v>
      </c>
      <c r="W477" t="s">
        <v>1308</v>
      </c>
      <c r="X477" t="s">
        <v>388</v>
      </c>
      <c r="Y477" t="s">
        <v>1122</v>
      </c>
      <c r="Z477" t="s">
        <v>1122</v>
      </c>
      <c r="AA477" t="s">
        <v>1123</v>
      </c>
      <c r="AB477" s="3">
        <f t="shared" si="56"/>
        <v>3.0000000000000604</v>
      </c>
      <c r="AC477">
        <v>496.12</v>
      </c>
      <c r="AD477" s="2">
        <v>165.37333333333001</v>
      </c>
      <c r="AE477" s="2">
        <v>166.78</v>
      </c>
      <c r="AF477" s="2">
        <v>3.93</v>
      </c>
      <c r="AG477" s="2">
        <v>666.83</v>
      </c>
      <c r="AH477">
        <v>0</v>
      </c>
      <c r="AI477">
        <v>222.27666666667</v>
      </c>
      <c r="AJ477">
        <v>3.3341500000000002</v>
      </c>
      <c r="AK477" t="s">
        <v>54</v>
      </c>
      <c r="AL477">
        <v>4.29</v>
      </c>
      <c r="AM477" s="4">
        <f t="shared" si="57"/>
        <v>222.27666666666221</v>
      </c>
      <c r="AN477" s="4">
        <f t="shared" si="58"/>
        <v>310.07499999999379</v>
      </c>
      <c r="AO477" s="4">
        <f t="shared" si="59"/>
        <v>344.49332499999309</v>
      </c>
      <c r="AP477" s="4">
        <f t="shared" si="60"/>
        <v>502.29049249998991</v>
      </c>
      <c r="AQ477" s="10">
        <f t="shared" si="61"/>
        <v>386.56135099999227</v>
      </c>
      <c r="AR477" s="10">
        <f t="shared" si="62"/>
        <v>429.50831709609139</v>
      </c>
      <c r="AS477" s="10">
        <f t="shared" si="63"/>
        <v>601.79871123678799</v>
      </c>
    </row>
    <row r="478" spans="1:45" x14ac:dyDescent="0.3">
      <c r="A478">
        <v>2025</v>
      </c>
      <c r="B478">
        <v>11</v>
      </c>
      <c r="C478" t="s">
        <v>55</v>
      </c>
      <c r="D478">
        <v>10</v>
      </c>
      <c r="E478" t="s">
        <v>36</v>
      </c>
      <c r="F478" t="s">
        <v>37</v>
      </c>
      <c r="G478" t="s">
        <v>38</v>
      </c>
      <c r="H478" t="s">
        <v>78</v>
      </c>
      <c r="I478" t="s">
        <v>375</v>
      </c>
      <c r="J478" t="s">
        <v>376</v>
      </c>
      <c r="K478" t="s">
        <v>51</v>
      </c>
      <c r="L478" t="s">
        <v>1622</v>
      </c>
      <c r="M478" t="s">
        <v>1623</v>
      </c>
      <c r="N478" t="s">
        <v>1485</v>
      </c>
      <c r="O478" t="s">
        <v>1197</v>
      </c>
      <c r="Q478" t="s">
        <v>62</v>
      </c>
      <c r="R478" t="s">
        <v>1624</v>
      </c>
      <c r="S478" t="s">
        <v>1624</v>
      </c>
      <c r="T478" t="s">
        <v>47</v>
      </c>
      <c r="U478" t="s">
        <v>1307</v>
      </c>
      <c r="V478" t="s">
        <v>49</v>
      </c>
      <c r="W478" t="s">
        <v>1308</v>
      </c>
      <c r="X478" t="s">
        <v>51</v>
      </c>
      <c r="Y478" t="s">
        <v>1309</v>
      </c>
      <c r="Z478" t="s">
        <v>1309</v>
      </c>
      <c r="AA478" t="s">
        <v>1310</v>
      </c>
      <c r="AB478" s="3">
        <f t="shared" si="56"/>
        <v>1</v>
      </c>
      <c r="AC478">
        <v>1501.81</v>
      </c>
      <c r="AD478" s="2">
        <v>1501.81</v>
      </c>
      <c r="AE478" s="2">
        <v>107.63</v>
      </c>
      <c r="AF478" s="2">
        <v>9.7200000000000006</v>
      </c>
      <c r="AG478" s="2">
        <v>1619.15</v>
      </c>
      <c r="AH478">
        <v>0</v>
      </c>
      <c r="AI478">
        <v>1619.15</v>
      </c>
      <c r="AJ478">
        <v>8.0957500000000007</v>
      </c>
      <c r="AK478" t="s">
        <v>54</v>
      </c>
      <c r="AL478">
        <v>12.64</v>
      </c>
      <c r="AM478" s="4">
        <f t="shared" si="57"/>
        <v>1619.15</v>
      </c>
      <c r="AN478" s="4">
        <f t="shared" si="58"/>
        <v>2815.8937499999997</v>
      </c>
      <c r="AO478" s="4">
        <f t="shared" si="59"/>
        <v>3128.4579562499998</v>
      </c>
      <c r="AP478" s="4">
        <f t="shared" si="60"/>
        <v>4561.4662856249988</v>
      </c>
      <c r="AQ478" s="10">
        <f t="shared" si="61"/>
        <v>2815.8637650000005</v>
      </c>
      <c r="AR478" s="10">
        <f t="shared" si="62"/>
        <v>3128.7062292915007</v>
      </c>
      <c r="AS478" s="10">
        <f t="shared" si="63"/>
        <v>4383.7367093520006</v>
      </c>
    </row>
    <row r="479" spans="1:45" x14ac:dyDescent="0.3">
      <c r="A479">
        <v>2025</v>
      </c>
      <c r="B479">
        <v>8</v>
      </c>
      <c r="C479" t="s">
        <v>55</v>
      </c>
      <c r="D479">
        <v>10</v>
      </c>
      <c r="E479" t="s">
        <v>36</v>
      </c>
      <c r="F479" t="s">
        <v>37</v>
      </c>
      <c r="G479" t="s">
        <v>38</v>
      </c>
      <c r="H479" t="s">
        <v>83</v>
      </c>
      <c r="I479" t="s">
        <v>190</v>
      </c>
      <c r="J479" t="s">
        <v>58</v>
      </c>
      <c r="K479" t="s">
        <v>59</v>
      </c>
      <c r="L479" t="s">
        <v>1194</v>
      </c>
      <c r="M479" t="s">
        <v>1195</v>
      </c>
      <c r="N479" t="s">
        <v>1196</v>
      </c>
      <c r="O479" t="s">
        <v>1197</v>
      </c>
      <c r="Q479" t="s">
        <v>62</v>
      </c>
      <c r="R479" t="s">
        <v>1198</v>
      </c>
      <c r="S479" t="s">
        <v>1198</v>
      </c>
      <c r="T479" t="s">
        <v>47</v>
      </c>
      <c r="U479" t="s">
        <v>518</v>
      </c>
      <c r="V479" t="s">
        <v>49</v>
      </c>
      <c r="W479" t="s">
        <v>1361</v>
      </c>
      <c r="X479" t="s">
        <v>388</v>
      </c>
      <c r="Y479" t="s">
        <v>1532</v>
      </c>
      <c r="Z479" t="s">
        <v>1532</v>
      </c>
      <c r="AA479" t="s">
        <v>1310</v>
      </c>
      <c r="AB479" s="3">
        <f t="shared" si="56"/>
        <v>1</v>
      </c>
      <c r="AC479">
        <v>1443.4</v>
      </c>
      <c r="AD479" s="2">
        <v>1443.4</v>
      </c>
      <c r="AE479" s="2">
        <v>202.11</v>
      </c>
      <c r="AF479" s="2">
        <v>9.99</v>
      </c>
      <c r="AG479" s="2">
        <v>1655.5</v>
      </c>
      <c r="AH479">
        <v>0</v>
      </c>
      <c r="AI479">
        <v>1655.5</v>
      </c>
      <c r="AJ479">
        <v>8.2774999999999999</v>
      </c>
      <c r="AK479" t="s">
        <v>54</v>
      </c>
      <c r="AL479">
        <v>7.59</v>
      </c>
      <c r="AM479" s="4">
        <f t="shared" si="57"/>
        <v>1655.5</v>
      </c>
      <c r="AN479" s="4">
        <f t="shared" si="58"/>
        <v>2706.375</v>
      </c>
      <c r="AO479" s="4">
        <f t="shared" si="59"/>
        <v>3006.7826249999998</v>
      </c>
      <c r="AP479" s="4">
        <f t="shared" si="60"/>
        <v>4384.0568624999996</v>
      </c>
      <c r="AQ479" s="10">
        <f t="shared" si="61"/>
        <v>2879.08005</v>
      </c>
      <c r="AR479" s="10">
        <f t="shared" si="62"/>
        <v>3198.945843555</v>
      </c>
      <c r="AS479" s="10">
        <f t="shared" si="63"/>
        <v>4482.1518218399997</v>
      </c>
    </row>
    <row r="480" spans="1:45" x14ac:dyDescent="0.3">
      <c r="A480">
        <v>2025</v>
      </c>
      <c r="B480">
        <v>11</v>
      </c>
      <c r="C480" t="s">
        <v>55</v>
      </c>
      <c r="D480">
        <v>10</v>
      </c>
      <c r="E480" t="s">
        <v>36</v>
      </c>
      <c r="F480" t="s">
        <v>37</v>
      </c>
      <c r="G480" t="s">
        <v>38</v>
      </c>
      <c r="H480" t="s">
        <v>83</v>
      </c>
      <c r="I480" t="s">
        <v>375</v>
      </c>
      <c r="J480" t="s">
        <v>376</v>
      </c>
      <c r="K480" t="s">
        <v>51</v>
      </c>
      <c r="L480" t="s">
        <v>1622</v>
      </c>
      <c r="M480" t="s">
        <v>1623</v>
      </c>
      <c r="N480" t="s">
        <v>1485</v>
      </c>
      <c r="O480" t="s">
        <v>1197</v>
      </c>
      <c r="Q480" t="s">
        <v>62</v>
      </c>
      <c r="R480" t="s">
        <v>1624</v>
      </c>
      <c r="S480" t="s">
        <v>1624</v>
      </c>
      <c r="T480" t="s">
        <v>47</v>
      </c>
      <c r="U480" t="s">
        <v>518</v>
      </c>
      <c r="V480" t="s">
        <v>49</v>
      </c>
      <c r="W480" t="s">
        <v>1361</v>
      </c>
      <c r="X480" t="s">
        <v>51</v>
      </c>
      <c r="Y480" t="s">
        <v>1362</v>
      </c>
      <c r="Z480" t="s">
        <v>1362</v>
      </c>
      <c r="AA480" t="s">
        <v>1363</v>
      </c>
      <c r="AB480" s="3">
        <f t="shared" si="56"/>
        <v>2</v>
      </c>
      <c r="AC480">
        <v>418.59</v>
      </c>
      <c r="AD480" s="2">
        <v>209.29499999999999</v>
      </c>
      <c r="AE480" s="2">
        <v>30</v>
      </c>
      <c r="AF480" s="2">
        <v>2.71</v>
      </c>
      <c r="AG480" s="2">
        <v>451.3</v>
      </c>
      <c r="AH480">
        <v>0</v>
      </c>
      <c r="AI480">
        <v>225.65</v>
      </c>
      <c r="AJ480">
        <v>2.2565</v>
      </c>
      <c r="AK480" t="s">
        <v>54</v>
      </c>
      <c r="AL480">
        <v>3.52</v>
      </c>
      <c r="AM480" s="4">
        <f t="shared" si="57"/>
        <v>225.65</v>
      </c>
      <c r="AN480" s="4">
        <f t="shared" si="58"/>
        <v>392.42812499999997</v>
      </c>
      <c r="AO480" s="4">
        <f t="shared" si="59"/>
        <v>435.98764687499994</v>
      </c>
      <c r="AP480" s="4">
        <f t="shared" si="60"/>
        <v>635.69431968749996</v>
      </c>
      <c r="AQ480" s="10">
        <f t="shared" si="61"/>
        <v>392.42791500000004</v>
      </c>
      <c r="AR480" s="10">
        <f t="shared" si="62"/>
        <v>436.02665635650004</v>
      </c>
      <c r="AS480" s="10">
        <f t="shared" si="63"/>
        <v>610.93177807200004</v>
      </c>
    </row>
    <row r="481" spans="1:45" x14ac:dyDescent="0.3">
      <c r="A481">
        <v>2025</v>
      </c>
      <c r="B481">
        <v>10</v>
      </c>
      <c r="C481" t="s">
        <v>55</v>
      </c>
      <c r="D481">
        <v>10</v>
      </c>
      <c r="E481" t="s">
        <v>36</v>
      </c>
      <c r="F481" t="s">
        <v>37</v>
      </c>
      <c r="G481" t="s">
        <v>38</v>
      </c>
      <c r="H481" t="s">
        <v>78</v>
      </c>
      <c r="I481" t="s">
        <v>375</v>
      </c>
      <c r="J481" t="s">
        <v>376</v>
      </c>
      <c r="K481" t="s">
        <v>59</v>
      </c>
      <c r="L481" t="s">
        <v>1549</v>
      </c>
      <c r="M481" t="s">
        <v>1550</v>
      </c>
      <c r="N481" t="s">
        <v>1551</v>
      </c>
      <c r="O481" t="s">
        <v>1197</v>
      </c>
      <c r="Q481" t="s">
        <v>62</v>
      </c>
      <c r="R481" t="s">
        <v>1552</v>
      </c>
      <c r="S481" t="s">
        <v>1552</v>
      </c>
      <c r="T481" t="s">
        <v>47</v>
      </c>
      <c r="U481" t="s">
        <v>453</v>
      </c>
      <c r="V481" t="s">
        <v>49</v>
      </c>
      <c r="W481" t="s">
        <v>1289</v>
      </c>
      <c r="X481" t="s">
        <v>51</v>
      </c>
      <c r="Y481" t="s">
        <v>1532</v>
      </c>
      <c r="Z481" t="s">
        <v>1532</v>
      </c>
      <c r="AA481" t="s">
        <v>1363</v>
      </c>
      <c r="AB481" s="3">
        <f t="shared" si="56"/>
        <v>1</v>
      </c>
      <c r="AC481">
        <v>201.16</v>
      </c>
      <c r="AD481" s="2">
        <v>201.16</v>
      </c>
      <c r="AE481" s="2">
        <v>28.17</v>
      </c>
      <c r="AF481" s="2">
        <v>1.39</v>
      </c>
      <c r="AG481" s="2">
        <v>230.72</v>
      </c>
      <c r="AH481">
        <v>0</v>
      </c>
      <c r="AI481">
        <v>230.72</v>
      </c>
      <c r="AJ481">
        <v>1.1536</v>
      </c>
      <c r="AK481" t="s">
        <v>54</v>
      </c>
      <c r="AL481">
        <v>1.6</v>
      </c>
      <c r="AM481" s="4">
        <f t="shared" si="57"/>
        <v>230.72</v>
      </c>
      <c r="AN481" s="4">
        <f t="shared" si="58"/>
        <v>377.17500000000001</v>
      </c>
      <c r="AO481" s="4">
        <f t="shared" si="59"/>
        <v>419.041425</v>
      </c>
      <c r="AP481" s="4">
        <f t="shared" si="60"/>
        <v>610.98578250000003</v>
      </c>
      <c r="AQ481" s="10">
        <f t="shared" si="61"/>
        <v>401.24515200000002</v>
      </c>
      <c r="AR481" s="10">
        <f t="shared" si="62"/>
        <v>445.82348838720003</v>
      </c>
      <c r="AS481" s="10">
        <f t="shared" si="63"/>
        <v>624.65845263360006</v>
      </c>
    </row>
    <row r="482" spans="1:45" x14ac:dyDescent="0.3">
      <c r="A482">
        <v>2025</v>
      </c>
      <c r="B482">
        <v>1</v>
      </c>
      <c r="C482" t="s">
        <v>55</v>
      </c>
      <c r="D482">
        <v>10</v>
      </c>
      <c r="E482" t="s">
        <v>36</v>
      </c>
      <c r="F482" t="s">
        <v>37</v>
      </c>
      <c r="G482" t="s">
        <v>38</v>
      </c>
      <c r="H482" t="s">
        <v>101</v>
      </c>
      <c r="I482" t="s">
        <v>57</v>
      </c>
      <c r="J482" t="s">
        <v>58</v>
      </c>
      <c r="K482" t="s">
        <v>59</v>
      </c>
      <c r="M482" t="s">
        <v>60</v>
      </c>
      <c r="N482" t="s">
        <v>61</v>
      </c>
      <c r="O482" t="s">
        <v>43</v>
      </c>
      <c r="Q482" t="s">
        <v>62</v>
      </c>
      <c r="R482" t="s">
        <v>63</v>
      </c>
      <c r="S482" t="s">
        <v>63</v>
      </c>
      <c r="T482" t="s">
        <v>47</v>
      </c>
      <c r="U482" t="s">
        <v>102</v>
      </c>
      <c r="V482" t="s">
        <v>49</v>
      </c>
      <c r="W482" t="s">
        <v>103</v>
      </c>
      <c r="X482" t="s">
        <v>51</v>
      </c>
      <c r="Y482" t="s">
        <v>1564</v>
      </c>
      <c r="Z482" t="s">
        <v>1564</v>
      </c>
      <c r="AA482" t="s">
        <v>1565</v>
      </c>
      <c r="AB482" s="3">
        <f t="shared" si="56"/>
        <v>1</v>
      </c>
      <c r="AC482">
        <v>902.29</v>
      </c>
      <c r="AD482" s="2">
        <v>902.29</v>
      </c>
      <c r="AE482" s="2">
        <v>412.43</v>
      </c>
      <c r="AF482" s="2">
        <v>8.5</v>
      </c>
      <c r="AG482" s="2">
        <v>1322.77</v>
      </c>
      <c r="AH482">
        <v>0</v>
      </c>
      <c r="AI482">
        <v>1322.77</v>
      </c>
      <c r="AJ482">
        <v>6.6138500000000002</v>
      </c>
      <c r="AK482" t="s">
        <v>54</v>
      </c>
      <c r="AL482">
        <v>18.68</v>
      </c>
      <c r="AM482" s="4">
        <f t="shared" si="57"/>
        <v>1322.77</v>
      </c>
      <c r="AN482" s="4">
        <f t="shared" si="58"/>
        <v>1691.7937499999998</v>
      </c>
      <c r="AO482" s="4">
        <f t="shared" si="59"/>
        <v>1879.5828562499998</v>
      </c>
      <c r="AP482" s="4">
        <f t="shared" si="60"/>
        <v>2740.5366956249995</v>
      </c>
      <c r="AQ482" s="10">
        <f t="shared" si="61"/>
        <v>2300.4293069999999</v>
      </c>
      <c r="AR482" s="10">
        <f t="shared" si="62"/>
        <v>2556.0070030077</v>
      </c>
      <c r="AS482" s="10">
        <f t="shared" si="63"/>
        <v>3581.3083451375996</v>
      </c>
    </row>
    <row r="483" spans="1:45" x14ac:dyDescent="0.3">
      <c r="A483">
        <v>2025</v>
      </c>
      <c r="B483">
        <v>1</v>
      </c>
      <c r="C483" t="s">
        <v>55</v>
      </c>
      <c r="D483">
        <v>10</v>
      </c>
      <c r="E483" t="s">
        <v>36</v>
      </c>
      <c r="F483" t="s">
        <v>37</v>
      </c>
      <c r="G483" t="s">
        <v>38</v>
      </c>
      <c r="H483" t="s">
        <v>83</v>
      </c>
      <c r="I483" t="s">
        <v>57</v>
      </c>
      <c r="J483" t="s">
        <v>58</v>
      </c>
      <c r="K483" t="s">
        <v>59</v>
      </c>
      <c r="M483" t="s">
        <v>60</v>
      </c>
      <c r="N483" t="s">
        <v>61</v>
      </c>
      <c r="O483" t="s">
        <v>43</v>
      </c>
      <c r="Q483" t="s">
        <v>62</v>
      </c>
      <c r="R483" t="s">
        <v>63</v>
      </c>
      <c r="S483" t="s">
        <v>63</v>
      </c>
      <c r="T483" t="s">
        <v>47</v>
      </c>
      <c r="U483" t="s">
        <v>97</v>
      </c>
      <c r="V483" t="s">
        <v>49</v>
      </c>
      <c r="W483" t="s">
        <v>98</v>
      </c>
      <c r="X483" t="s">
        <v>51</v>
      </c>
      <c r="Y483" t="s">
        <v>99</v>
      </c>
      <c r="Z483" t="s">
        <v>64</v>
      </c>
      <c r="AA483" t="s">
        <v>104</v>
      </c>
      <c r="AB483" s="3">
        <f t="shared" si="56"/>
        <v>1</v>
      </c>
      <c r="AC483">
        <v>362.39</v>
      </c>
      <c r="AD483" s="2">
        <v>362.39</v>
      </c>
      <c r="AE483" s="2">
        <v>87.07</v>
      </c>
      <c r="AF483" s="2">
        <v>2.5</v>
      </c>
      <c r="AG483" s="2">
        <v>451.96</v>
      </c>
      <c r="AH483">
        <v>0</v>
      </c>
      <c r="AI483">
        <v>451.96</v>
      </c>
      <c r="AJ483">
        <v>2.2597999999999998</v>
      </c>
      <c r="AK483" t="s">
        <v>54</v>
      </c>
      <c r="AL483">
        <v>3.01</v>
      </c>
      <c r="AM483" s="4">
        <f t="shared" si="57"/>
        <v>451.96</v>
      </c>
      <c r="AN483" s="4">
        <f t="shared" si="58"/>
        <v>679.48124999999993</v>
      </c>
      <c r="AO483" s="4">
        <f t="shared" si="59"/>
        <v>754.90366874999995</v>
      </c>
      <c r="AP483" s="4">
        <f t="shared" si="60"/>
        <v>1100.6916768749998</v>
      </c>
      <c r="AQ483" s="10">
        <f t="shared" si="61"/>
        <v>786.00363600000003</v>
      </c>
      <c r="AR483" s="10">
        <f t="shared" si="62"/>
        <v>873.32863995959997</v>
      </c>
      <c r="AS483" s="10">
        <f t="shared" si="63"/>
        <v>1223.6504605248001</v>
      </c>
    </row>
    <row r="484" spans="1:45" x14ac:dyDescent="0.3">
      <c r="A484">
        <v>2025</v>
      </c>
      <c r="B484">
        <v>8</v>
      </c>
      <c r="C484" t="s">
        <v>55</v>
      </c>
      <c r="D484">
        <v>10</v>
      </c>
      <c r="E484" t="s">
        <v>36</v>
      </c>
      <c r="F484" t="s">
        <v>37</v>
      </c>
      <c r="G484" t="s">
        <v>38</v>
      </c>
      <c r="H484" t="s">
        <v>101</v>
      </c>
      <c r="I484" t="s">
        <v>190</v>
      </c>
      <c r="J484" t="s">
        <v>58</v>
      </c>
      <c r="K484" t="s">
        <v>59</v>
      </c>
      <c r="L484" t="s">
        <v>1194</v>
      </c>
      <c r="M484" t="s">
        <v>1195</v>
      </c>
      <c r="N484" t="s">
        <v>1196</v>
      </c>
      <c r="O484" t="s">
        <v>1197</v>
      </c>
      <c r="Q484" t="s">
        <v>62</v>
      </c>
      <c r="R484" t="s">
        <v>1198</v>
      </c>
      <c r="S484" t="s">
        <v>1198</v>
      </c>
      <c r="T484" t="s">
        <v>47</v>
      </c>
      <c r="U484" t="s">
        <v>157</v>
      </c>
      <c r="V484" t="s">
        <v>49</v>
      </c>
      <c r="W484" t="s">
        <v>158</v>
      </c>
      <c r="X484" t="s">
        <v>388</v>
      </c>
      <c r="Y484" t="s">
        <v>99</v>
      </c>
      <c r="Z484" t="s">
        <v>64</v>
      </c>
      <c r="AA484" t="s">
        <v>100</v>
      </c>
      <c r="AB484" s="3">
        <f t="shared" si="56"/>
        <v>1</v>
      </c>
      <c r="AC484">
        <v>404.96</v>
      </c>
      <c r="AD484" s="2">
        <v>404.96</v>
      </c>
      <c r="AE484" s="2">
        <v>97.3</v>
      </c>
      <c r="AF484" s="2">
        <v>2.8</v>
      </c>
      <c r="AG484" s="2">
        <v>505.06</v>
      </c>
      <c r="AH484">
        <v>0</v>
      </c>
      <c r="AI484">
        <v>505.06</v>
      </c>
      <c r="AJ484">
        <v>2.5253000000000001</v>
      </c>
      <c r="AK484" t="s">
        <v>54</v>
      </c>
      <c r="AL484">
        <v>3.01</v>
      </c>
      <c r="AM484" s="4">
        <f t="shared" si="57"/>
        <v>505.06</v>
      </c>
      <c r="AN484" s="4">
        <f t="shared" si="58"/>
        <v>759.3</v>
      </c>
      <c r="AO484" s="4">
        <f t="shared" si="59"/>
        <v>843.58229999999992</v>
      </c>
      <c r="AP484" s="4">
        <f t="shared" si="60"/>
        <v>1229.9900699999998</v>
      </c>
      <c r="AQ484" s="10">
        <f t="shared" si="61"/>
        <v>878.34984600000007</v>
      </c>
      <c r="AR484" s="10">
        <f t="shared" si="62"/>
        <v>975.9345138906001</v>
      </c>
      <c r="AS484" s="10">
        <f t="shared" si="63"/>
        <v>1367.4150402528001</v>
      </c>
    </row>
    <row r="485" spans="1:45" x14ac:dyDescent="0.3">
      <c r="A485">
        <v>2025</v>
      </c>
      <c r="B485">
        <v>7</v>
      </c>
      <c r="C485" t="s">
        <v>55</v>
      </c>
      <c r="D485">
        <v>10</v>
      </c>
      <c r="E485" t="s">
        <v>36</v>
      </c>
      <c r="F485" t="s">
        <v>37</v>
      </c>
      <c r="G485" t="s">
        <v>38</v>
      </c>
      <c r="H485" t="s">
        <v>1062</v>
      </c>
      <c r="I485" t="s">
        <v>190</v>
      </c>
      <c r="J485" t="s">
        <v>58</v>
      </c>
      <c r="K485" t="s">
        <v>41</v>
      </c>
      <c r="L485" t="s">
        <v>953</v>
      </c>
      <c r="M485" t="s">
        <v>954</v>
      </c>
      <c r="N485" t="s">
        <v>731</v>
      </c>
      <c r="O485" t="s">
        <v>36</v>
      </c>
      <c r="Q485" t="s">
        <v>62</v>
      </c>
      <c r="R485" t="s">
        <v>955</v>
      </c>
      <c r="S485" t="s">
        <v>956</v>
      </c>
      <c r="T485" t="s">
        <v>47</v>
      </c>
      <c r="U485" t="s">
        <v>1057</v>
      </c>
      <c r="V485" t="s">
        <v>49</v>
      </c>
      <c r="W485" t="s">
        <v>1058</v>
      </c>
      <c r="X485" t="s">
        <v>51</v>
      </c>
      <c r="Y485" t="s">
        <v>1375</v>
      </c>
      <c r="Z485" t="s">
        <v>1375</v>
      </c>
      <c r="AA485" t="s">
        <v>1376</v>
      </c>
      <c r="AB485" s="3">
        <f t="shared" si="56"/>
        <v>1</v>
      </c>
      <c r="AC485">
        <v>568.16999999999996</v>
      </c>
      <c r="AD485" s="2">
        <v>568.16999999999996</v>
      </c>
      <c r="AE485" s="2">
        <v>40.72</v>
      </c>
      <c r="AF485" s="2">
        <v>3.68</v>
      </c>
      <c r="AG485" s="2">
        <v>612.55999999999995</v>
      </c>
      <c r="AH485">
        <v>0</v>
      </c>
      <c r="AI485">
        <v>612.55999999999995</v>
      </c>
      <c r="AJ485">
        <v>3.0628000000000002</v>
      </c>
      <c r="AK485" t="s">
        <v>54</v>
      </c>
      <c r="AL485">
        <v>4.78</v>
      </c>
      <c r="AM485" s="4">
        <f t="shared" si="57"/>
        <v>612.55999999999995</v>
      </c>
      <c r="AN485" s="4">
        <f t="shared" si="58"/>
        <v>1065.3187499999999</v>
      </c>
      <c r="AO485" s="4">
        <f t="shared" si="59"/>
        <v>1183.5691312499998</v>
      </c>
      <c r="AP485" s="4">
        <f t="shared" si="60"/>
        <v>1725.7098431249997</v>
      </c>
      <c r="AQ485" s="10">
        <f t="shared" si="61"/>
        <v>1065.3030959999999</v>
      </c>
      <c r="AR485" s="10">
        <f t="shared" si="62"/>
        <v>1183.6582699655999</v>
      </c>
      <c r="AS485" s="10">
        <f t="shared" si="63"/>
        <v>1658.4638598527997</v>
      </c>
    </row>
    <row r="486" spans="1:45" x14ac:dyDescent="0.3">
      <c r="A486">
        <v>2025</v>
      </c>
      <c r="B486">
        <v>4</v>
      </c>
      <c r="C486" t="s">
        <v>55</v>
      </c>
      <c r="D486">
        <v>10</v>
      </c>
      <c r="E486" t="s">
        <v>36</v>
      </c>
      <c r="F486" t="s">
        <v>37</v>
      </c>
      <c r="G486" t="s">
        <v>38</v>
      </c>
      <c r="H486" t="s">
        <v>78</v>
      </c>
      <c r="I486" t="s">
        <v>375</v>
      </c>
      <c r="J486" t="s">
        <v>376</v>
      </c>
      <c r="K486" t="s">
        <v>59</v>
      </c>
      <c r="M486">
        <v>2503061</v>
      </c>
      <c r="N486" t="s">
        <v>377</v>
      </c>
      <c r="O486" t="s">
        <v>36</v>
      </c>
      <c r="Q486" t="s">
        <v>62</v>
      </c>
      <c r="R486" t="s">
        <v>378</v>
      </c>
      <c r="S486" t="s">
        <v>378</v>
      </c>
      <c r="T486" t="s">
        <v>47</v>
      </c>
      <c r="U486" t="s">
        <v>453</v>
      </c>
      <c r="V486" t="s">
        <v>49</v>
      </c>
      <c r="W486" t="s">
        <v>454</v>
      </c>
      <c r="X486" t="s">
        <v>51</v>
      </c>
      <c r="Y486" t="s">
        <v>1063</v>
      </c>
      <c r="Z486" t="s">
        <v>1063</v>
      </c>
      <c r="AA486" t="s">
        <v>1064</v>
      </c>
      <c r="AB486" s="3">
        <f t="shared" si="56"/>
        <v>1</v>
      </c>
      <c r="AC486">
        <v>3204.61</v>
      </c>
      <c r="AD486" s="2">
        <v>3204.61</v>
      </c>
      <c r="AE486" s="2">
        <v>29.4</v>
      </c>
      <c r="AF486" s="2">
        <v>22.4</v>
      </c>
      <c r="AG486" s="2">
        <v>3256.5</v>
      </c>
      <c r="AH486">
        <v>0</v>
      </c>
      <c r="AI486">
        <v>3256.5</v>
      </c>
      <c r="AJ486">
        <v>16.282499999999999</v>
      </c>
      <c r="AK486" t="s">
        <v>54</v>
      </c>
      <c r="AL486">
        <v>2.17</v>
      </c>
      <c r="AM486" s="4">
        <f t="shared" si="57"/>
        <v>3256.5</v>
      </c>
      <c r="AN486" s="4">
        <f t="shared" si="58"/>
        <v>6008.6437500000002</v>
      </c>
      <c r="AO486" s="4">
        <f t="shared" si="59"/>
        <v>6675.6032062499999</v>
      </c>
      <c r="AP486" s="4">
        <f t="shared" si="60"/>
        <v>9733.4020106249991</v>
      </c>
      <c r="AQ486" s="10">
        <f t="shared" si="61"/>
        <v>5663.3791500000007</v>
      </c>
      <c r="AR486" s="10">
        <f t="shared" si="62"/>
        <v>6292.580573565001</v>
      </c>
      <c r="AS486" s="10">
        <f t="shared" si="63"/>
        <v>8816.7486607200008</v>
      </c>
    </row>
    <row r="487" spans="1:45" x14ac:dyDescent="0.3">
      <c r="A487">
        <v>2025</v>
      </c>
      <c r="B487">
        <v>4</v>
      </c>
      <c r="C487" t="s">
        <v>55</v>
      </c>
      <c r="D487">
        <v>10</v>
      </c>
      <c r="E487" t="s">
        <v>36</v>
      </c>
      <c r="F487" t="s">
        <v>37</v>
      </c>
      <c r="G487" t="s">
        <v>38</v>
      </c>
      <c r="H487" t="s">
        <v>141</v>
      </c>
      <c r="I487" t="s">
        <v>375</v>
      </c>
      <c r="J487" t="s">
        <v>376</v>
      </c>
      <c r="K487" t="s">
        <v>59</v>
      </c>
      <c r="M487">
        <v>2503061</v>
      </c>
      <c r="N487" t="s">
        <v>377</v>
      </c>
      <c r="O487" t="s">
        <v>36</v>
      </c>
      <c r="Q487" t="s">
        <v>62</v>
      </c>
      <c r="R487" t="s">
        <v>378</v>
      </c>
      <c r="S487" t="s">
        <v>378</v>
      </c>
      <c r="T487" t="s">
        <v>47</v>
      </c>
      <c r="U487" t="s">
        <v>84</v>
      </c>
      <c r="V487" t="s">
        <v>49</v>
      </c>
      <c r="W487" t="s">
        <v>85</v>
      </c>
      <c r="X487" t="s">
        <v>51</v>
      </c>
      <c r="Y487" t="s">
        <v>455</v>
      </c>
      <c r="Z487" t="s">
        <v>455</v>
      </c>
      <c r="AA487" t="s">
        <v>456</v>
      </c>
      <c r="AB487" s="3">
        <f t="shared" si="56"/>
        <v>1</v>
      </c>
      <c r="AC487">
        <v>945.61</v>
      </c>
      <c r="AD487" s="2">
        <v>945.61</v>
      </c>
      <c r="AE487" s="2">
        <v>23.68</v>
      </c>
      <c r="AF487" s="2">
        <v>6.77</v>
      </c>
      <c r="AG487" s="2">
        <v>976.06</v>
      </c>
      <c r="AH487">
        <v>0</v>
      </c>
      <c r="AI487">
        <v>976.06</v>
      </c>
      <c r="AJ487">
        <v>4.8803000000000001</v>
      </c>
      <c r="AK487" t="s">
        <v>54</v>
      </c>
      <c r="AL487">
        <v>1.1299999999999999</v>
      </c>
      <c r="AM487" s="4">
        <f t="shared" si="57"/>
        <v>976.06</v>
      </c>
      <c r="AN487" s="4">
        <f t="shared" si="58"/>
        <v>1773.01875</v>
      </c>
      <c r="AO487" s="4">
        <f t="shared" si="59"/>
        <v>1969.82383125</v>
      </c>
      <c r="AP487" s="4">
        <f t="shared" si="60"/>
        <v>2872.1130731249996</v>
      </c>
      <c r="AQ487" s="10">
        <f t="shared" si="61"/>
        <v>1697.465946</v>
      </c>
      <c r="AR487" s="10">
        <f t="shared" si="62"/>
        <v>1886.0544126006</v>
      </c>
      <c r="AS487" s="10">
        <f t="shared" si="63"/>
        <v>2642.6149847328002</v>
      </c>
    </row>
    <row r="488" spans="1:45" x14ac:dyDescent="0.3">
      <c r="A488">
        <v>2025</v>
      </c>
      <c r="B488">
        <v>8</v>
      </c>
      <c r="C488" t="s">
        <v>55</v>
      </c>
      <c r="D488">
        <v>10</v>
      </c>
      <c r="E488" t="s">
        <v>36</v>
      </c>
      <c r="F488" t="s">
        <v>37</v>
      </c>
      <c r="G488" t="s">
        <v>38</v>
      </c>
      <c r="H488" t="s">
        <v>83</v>
      </c>
      <c r="I488" t="s">
        <v>190</v>
      </c>
      <c r="J488" t="s">
        <v>58</v>
      </c>
      <c r="K488" t="s">
        <v>59</v>
      </c>
      <c r="L488" t="s">
        <v>1194</v>
      </c>
      <c r="M488" t="s">
        <v>1195</v>
      </c>
      <c r="N488" t="s">
        <v>1196</v>
      </c>
      <c r="O488" t="s">
        <v>1197</v>
      </c>
      <c r="Q488" t="s">
        <v>62</v>
      </c>
      <c r="R488" t="s">
        <v>1198</v>
      </c>
      <c r="S488" t="s">
        <v>1198</v>
      </c>
      <c r="T488" t="s">
        <v>47</v>
      </c>
      <c r="U488" t="s">
        <v>220</v>
      </c>
      <c r="V488" t="s">
        <v>49</v>
      </c>
      <c r="W488" t="s">
        <v>218</v>
      </c>
      <c r="X488" t="s">
        <v>388</v>
      </c>
      <c r="Y488" t="s">
        <v>402</v>
      </c>
      <c r="Z488" t="s">
        <v>402</v>
      </c>
      <c r="AA488" t="s">
        <v>403</v>
      </c>
      <c r="AB488" s="3">
        <f t="shared" si="56"/>
        <v>1</v>
      </c>
      <c r="AC488">
        <v>187.37</v>
      </c>
      <c r="AD488" s="2">
        <v>187.37</v>
      </c>
      <c r="AE488" s="2">
        <v>23.68</v>
      </c>
      <c r="AF488" s="2">
        <v>1.32</v>
      </c>
      <c r="AG488" s="2">
        <v>212.37</v>
      </c>
      <c r="AH488">
        <v>0</v>
      </c>
      <c r="AI488">
        <v>212.37</v>
      </c>
      <c r="AJ488">
        <v>1.06185</v>
      </c>
      <c r="AK488" t="s">
        <v>54</v>
      </c>
      <c r="AL488">
        <v>1.1299999999999999</v>
      </c>
      <c r="AM488" s="4">
        <f t="shared" si="57"/>
        <v>212.37</v>
      </c>
      <c r="AN488" s="4">
        <f t="shared" si="58"/>
        <v>351.31875000000002</v>
      </c>
      <c r="AO488" s="4">
        <f t="shared" si="59"/>
        <v>390.31513125000004</v>
      </c>
      <c r="AP488" s="4">
        <f t="shared" si="60"/>
        <v>569.101243125</v>
      </c>
      <c r="AQ488" s="10">
        <f t="shared" si="61"/>
        <v>369.33266700000001</v>
      </c>
      <c r="AR488" s="10">
        <f t="shared" si="62"/>
        <v>410.36552630369999</v>
      </c>
      <c r="AS488" s="10">
        <f t="shared" si="63"/>
        <v>574.97709598560004</v>
      </c>
    </row>
    <row r="489" spans="1:45" x14ac:dyDescent="0.3">
      <c r="A489">
        <v>2025</v>
      </c>
      <c r="B489">
        <v>7</v>
      </c>
      <c r="C489" t="s">
        <v>55</v>
      </c>
      <c r="D489">
        <v>10</v>
      </c>
      <c r="E489" t="s">
        <v>36</v>
      </c>
      <c r="F489" t="s">
        <v>37</v>
      </c>
      <c r="G489" t="s">
        <v>38</v>
      </c>
      <c r="H489" t="s">
        <v>83</v>
      </c>
      <c r="I489" t="s">
        <v>190</v>
      </c>
      <c r="J489" t="s">
        <v>58</v>
      </c>
      <c r="K489" t="s">
        <v>41</v>
      </c>
      <c r="L489" t="s">
        <v>953</v>
      </c>
      <c r="M489" t="s">
        <v>954</v>
      </c>
      <c r="N489" t="s">
        <v>731</v>
      </c>
      <c r="O489" t="s">
        <v>36</v>
      </c>
      <c r="Q489" t="s">
        <v>62</v>
      </c>
      <c r="R489" t="s">
        <v>955</v>
      </c>
      <c r="S489" t="s">
        <v>956</v>
      </c>
      <c r="T489" t="s">
        <v>47</v>
      </c>
      <c r="U489" t="s">
        <v>88</v>
      </c>
      <c r="V489" t="s">
        <v>49</v>
      </c>
      <c r="W489" t="s">
        <v>90</v>
      </c>
      <c r="X489" t="s">
        <v>51</v>
      </c>
      <c r="Y489" t="s">
        <v>1002</v>
      </c>
      <c r="Z489" t="s">
        <v>1002</v>
      </c>
      <c r="AA489" t="s">
        <v>1236</v>
      </c>
      <c r="AB489" s="3">
        <f t="shared" si="56"/>
        <v>1</v>
      </c>
      <c r="AC489">
        <v>789.97</v>
      </c>
      <c r="AD489" s="2">
        <v>789.97</v>
      </c>
      <c r="AE489" s="2">
        <v>56.61</v>
      </c>
      <c r="AF489" s="2">
        <v>5.1100000000000003</v>
      </c>
      <c r="AG489" s="2">
        <v>851.69</v>
      </c>
      <c r="AH489">
        <v>0</v>
      </c>
      <c r="AI489">
        <v>851.69</v>
      </c>
      <c r="AJ489">
        <v>4.2584499999999998</v>
      </c>
      <c r="AK489" t="s">
        <v>54</v>
      </c>
      <c r="AL489">
        <v>6.65</v>
      </c>
      <c r="AM489" s="4">
        <f t="shared" si="57"/>
        <v>851.69</v>
      </c>
      <c r="AN489" s="4">
        <f t="shared" si="58"/>
        <v>1481.1937500000001</v>
      </c>
      <c r="AO489" s="4">
        <f t="shared" si="59"/>
        <v>1645.6062562500001</v>
      </c>
      <c r="AP489" s="4">
        <f t="shared" si="60"/>
        <v>2399.385755625</v>
      </c>
      <c r="AQ489" s="10">
        <f t="shared" si="61"/>
        <v>1481.1740790000001</v>
      </c>
      <c r="AR489" s="10">
        <f t="shared" si="62"/>
        <v>1645.7325191769</v>
      </c>
      <c r="AS489" s="10">
        <f t="shared" si="63"/>
        <v>2305.8918061872</v>
      </c>
    </row>
    <row r="490" spans="1:45" x14ac:dyDescent="0.3">
      <c r="A490">
        <v>2025</v>
      </c>
      <c r="B490">
        <v>11</v>
      </c>
      <c r="C490" t="s">
        <v>55</v>
      </c>
      <c r="D490">
        <v>10</v>
      </c>
      <c r="E490" t="s">
        <v>36</v>
      </c>
      <c r="F490" t="s">
        <v>37</v>
      </c>
      <c r="G490" t="s">
        <v>38</v>
      </c>
      <c r="H490" t="s">
        <v>101</v>
      </c>
      <c r="I490" t="s">
        <v>375</v>
      </c>
      <c r="J490" t="s">
        <v>376</v>
      </c>
      <c r="K490" t="s">
        <v>59</v>
      </c>
      <c r="L490" t="s">
        <v>1647</v>
      </c>
      <c r="M490" t="s">
        <v>1633</v>
      </c>
      <c r="N490" t="s">
        <v>1485</v>
      </c>
      <c r="O490" t="s">
        <v>1197</v>
      </c>
      <c r="Q490" t="s">
        <v>62</v>
      </c>
      <c r="R490" t="s">
        <v>1648</v>
      </c>
      <c r="S490" t="s">
        <v>1648</v>
      </c>
      <c r="T490" t="s">
        <v>47</v>
      </c>
      <c r="U490" t="s">
        <v>220</v>
      </c>
      <c r="V490" t="s">
        <v>49</v>
      </c>
      <c r="W490" t="s">
        <v>218</v>
      </c>
      <c r="X490" t="s">
        <v>51</v>
      </c>
      <c r="Y490" t="s">
        <v>1016</v>
      </c>
      <c r="Z490" t="s">
        <v>1016</v>
      </c>
      <c r="AA490" t="s">
        <v>1017</v>
      </c>
      <c r="AB490" s="3">
        <f t="shared" si="56"/>
        <v>4.3100000000000174</v>
      </c>
      <c r="AC490">
        <v>24.95</v>
      </c>
      <c r="AD490" s="2">
        <v>5.7888631090486999</v>
      </c>
      <c r="AE490" s="2">
        <v>58.8</v>
      </c>
      <c r="AF490" s="2">
        <v>0.13</v>
      </c>
      <c r="AG490" s="2">
        <v>83.15</v>
      </c>
      <c r="AH490">
        <v>0</v>
      </c>
      <c r="AI490">
        <v>19.292343387471</v>
      </c>
      <c r="AJ490">
        <v>0.41575000000000001</v>
      </c>
      <c r="AK490" t="s">
        <v>54</v>
      </c>
      <c r="AL490">
        <v>4.3499999999999996</v>
      </c>
      <c r="AM490" s="4">
        <f t="shared" si="57"/>
        <v>19.292343387470922</v>
      </c>
      <c r="AN490" s="4">
        <f t="shared" si="58"/>
        <v>10.854118329466312</v>
      </c>
      <c r="AO490" s="4">
        <f t="shared" si="59"/>
        <v>12.058925464037072</v>
      </c>
      <c r="AP490" s="4">
        <f t="shared" si="60"/>
        <v>17.582586281902476</v>
      </c>
      <c r="AQ490" s="10">
        <f t="shared" si="61"/>
        <v>33.551314385150683</v>
      </c>
      <c r="AR490" s="10">
        <f t="shared" si="62"/>
        <v>37.278865413340924</v>
      </c>
      <c r="AS490" s="10">
        <f t="shared" si="63"/>
        <v>52.232686234802578</v>
      </c>
    </row>
    <row r="491" spans="1:45" x14ac:dyDescent="0.3">
      <c r="A491">
        <v>2025</v>
      </c>
      <c r="B491">
        <v>7</v>
      </c>
      <c r="C491" t="s">
        <v>55</v>
      </c>
      <c r="D491">
        <v>10</v>
      </c>
      <c r="E491" t="s">
        <v>36</v>
      </c>
      <c r="F491" t="s">
        <v>37</v>
      </c>
      <c r="G491" t="s">
        <v>38</v>
      </c>
      <c r="H491" t="s">
        <v>132</v>
      </c>
      <c r="I491" t="s">
        <v>190</v>
      </c>
      <c r="J491" t="s">
        <v>58</v>
      </c>
      <c r="K491" t="s">
        <v>41</v>
      </c>
      <c r="L491" t="s">
        <v>953</v>
      </c>
      <c r="M491" t="s">
        <v>954</v>
      </c>
      <c r="N491" t="s">
        <v>731</v>
      </c>
      <c r="O491" t="s">
        <v>36</v>
      </c>
      <c r="Q491" t="s">
        <v>62</v>
      </c>
      <c r="R491" t="s">
        <v>955</v>
      </c>
      <c r="S491" t="s">
        <v>956</v>
      </c>
      <c r="T491" t="s">
        <v>47</v>
      </c>
      <c r="U491" t="s">
        <v>178</v>
      </c>
      <c r="V491" t="s">
        <v>49</v>
      </c>
      <c r="W491" t="s">
        <v>179</v>
      </c>
      <c r="X491" t="s">
        <v>51</v>
      </c>
      <c r="Y491" t="s">
        <v>1649</v>
      </c>
      <c r="Z491" t="s">
        <v>1649</v>
      </c>
      <c r="AA491" t="s">
        <v>1650</v>
      </c>
      <c r="AB491" s="3">
        <f t="shared" si="56"/>
        <v>2</v>
      </c>
      <c r="AC491">
        <v>207.19</v>
      </c>
      <c r="AD491" s="2">
        <v>103.595</v>
      </c>
      <c r="AE491" s="2">
        <v>69.59</v>
      </c>
      <c r="AF491" s="2">
        <v>1.64</v>
      </c>
      <c r="AG491" s="2">
        <v>278.42</v>
      </c>
      <c r="AH491">
        <v>0</v>
      </c>
      <c r="AI491">
        <v>139.21</v>
      </c>
      <c r="AJ491">
        <v>1.3920999999999999</v>
      </c>
      <c r="AK491" t="s">
        <v>54</v>
      </c>
      <c r="AL491">
        <v>1.79</v>
      </c>
      <c r="AM491" s="4">
        <f t="shared" si="57"/>
        <v>139.21</v>
      </c>
      <c r="AN491" s="4">
        <f t="shared" si="58"/>
        <v>194.24062499999999</v>
      </c>
      <c r="AO491" s="4">
        <f t="shared" si="59"/>
        <v>215.80133437499998</v>
      </c>
      <c r="AP491" s="4">
        <f t="shared" si="60"/>
        <v>314.6503884375</v>
      </c>
      <c r="AQ491" s="10">
        <f t="shared" si="61"/>
        <v>242.10011100000003</v>
      </c>
      <c r="AR491" s="10">
        <f t="shared" si="62"/>
        <v>268.9974333321</v>
      </c>
      <c r="AS491" s="10">
        <f t="shared" si="63"/>
        <v>376.90145280480004</v>
      </c>
    </row>
    <row r="492" spans="1:45" x14ac:dyDescent="0.3">
      <c r="A492">
        <v>2025</v>
      </c>
      <c r="B492">
        <v>9</v>
      </c>
      <c r="C492" t="s">
        <v>55</v>
      </c>
      <c r="D492">
        <v>10</v>
      </c>
      <c r="E492" t="s">
        <v>36</v>
      </c>
      <c r="F492" t="s">
        <v>37</v>
      </c>
      <c r="G492" t="s">
        <v>38</v>
      </c>
      <c r="H492" t="s">
        <v>132</v>
      </c>
      <c r="I492" t="s">
        <v>375</v>
      </c>
      <c r="J492" t="s">
        <v>376</v>
      </c>
      <c r="K492" t="s">
        <v>59</v>
      </c>
      <c r="L492" t="s">
        <v>1483</v>
      </c>
      <c r="M492" t="s">
        <v>1484</v>
      </c>
      <c r="N492" t="s">
        <v>1485</v>
      </c>
      <c r="O492" t="s">
        <v>1197</v>
      </c>
      <c r="Q492" t="s">
        <v>62</v>
      </c>
      <c r="R492" t="s">
        <v>1486</v>
      </c>
      <c r="S492" t="s">
        <v>1486</v>
      </c>
      <c r="T492" t="s">
        <v>47</v>
      </c>
      <c r="U492" t="s">
        <v>178</v>
      </c>
      <c r="V492" t="s">
        <v>49</v>
      </c>
      <c r="W492" t="s">
        <v>179</v>
      </c>
      <c r="X492" t="s">
        <v>51</v>
      </c>
      <c r="Y492" t="s">
        <v>1176</v>
      </c>
      <c r="Z492" t="s">
        <v>1176</v>
      </c>
      <c r="AA492" t="s">
        <v>1177</v>
      </c>
      <c r="AB492" s="3">
        <f t="shared" si="56"/>
        <v>4</v>
      </c>
      <c r="AC492">
        <v>62.4</v>
      </c>
      <c r="AD492" s="2">
        <v>15.6</v>
      </c>
      <c r="AE492" s="2">
        <v>116.17</v>
      </c>
      <c r="AF492" s="2">
        <v>0.34</v>
      </c>
      <c r="AG492" s="2">
        <v>178.54</v>
      </c>
      <c r="AH492">
        <v>0</v>
      </c>
      <c r="AI492">
        <v>44.634999999999998</v>
      </c>
      <c r="AJ492">
        <v>0.89270000000000005</v>
      </c>
      <c r="AK492" t="s">
        <v>54</v>
      </c>
      <c r="AL492">
        <v>8.6999999999999993</v>
      </c>
      <c r="AM492" s="4">
        <f t="shared" si="57"/>
        <v>44.634999999999998</v>
      </c>
      <c r="AN492" s="4">
        <f t="shared" si="58"/>
        <v>29.25</v>
      </c>
      <c r="AO492" s="4">
        <f t="shared" si="59"/>
        <v>32.496749999999999</v>
      </c>
      <c r="AP492" s="4">
        <f t="shared" si="60"/>
        <v>47.382075</v>
      </c>
      <c r="AQ492" s="10">
        <f t="shared" si="61"/>
        <v>77.624728500000003</v>
      </c>
      <c r="AR492" s="10">
        <f t="shared" si="62"/>
        <v>86.248835836349997</v>
      </c>
      <c r="AS492" s="10">
        <f t="shared" si="63"/>
        <v>120.8461773288</v>
      </c>
    </row>
    <row r="493" spans="1:45" x14ac:dyDescent="0.3">
      <c r="A493">
        <v>2025</v>
      </c>
      <c r="B493">
        <v>11</v>
      </c>
      <c r="C493" t="s">
        <v>55</v>
      </c>
      <c r="D493">
        <v>10</v>
      </c>
      <c r="E493" t="s">
        <v>36</v>
      </c>
      <c r="F493" t="s">
        <v>37</v>
      </c>
      <c r="G493" t="s">
        <v>38</v>
      </c>
      <c r="H493" t="s">
        <v>132</v>
      </c>
      <c r="I493" t="s">
        <v>375</v>
      </c>
      <c r="J493" t="s">
        <v>376</v>
      </c>
      <c r="K493" t="s">
        <v>59</v>
      </c>
      <c r="L493" t="s">
        <v>1647</v>
      </c>
      <c r="M493" t="s">
        <v>1633</v>
      </c>
      <c r="N493" t="s">
        <v>1485</v>
      </c>
      <c r="O493" t="s">
        <v>1197</v>
      </c>
      <c r="Q493" t="s">
        <v>62</v>
      </c>
      <c r="R493" t="s">
        <v>1648</v>
      </c>
      <c r="S493" t="s">
        <v>1648</v>
      </c>
      <c r="T493" t="s">
        <v>47</v>
      </c>
      <c r="U493" t="s">
        <v>178</v>
      </c>
      <c r="V493" t="s">
        <v>49</v>
      </c>
      <c r="W493" t="s">
        <v>179</v>
      </c>
      <c r="X493" t="s">
        <v>51</v>
      </c>
      <c r="Y493" t="s">
        <v>1176</v>
      </c>
      <c r="Z493" t="s">
        <v>1176</v>
      </c>
      <c r="AA493" t="s">
        <v>1177</v>
      </c>
      <c r="AB493" s="3">
        <f t="shared" si="56"/>
        <v>8</v>
      </c>
      <c r="AC493">
        <v>102.65</v>
      </c>
      <c r="AD493" s="2">
        <v>12.831250000000001</v>
      </c>
      <c r="AE493" s="2">
        <v>15.95</v>
      </c>
      <c r="AF493" s="2">
        <v>0.73</v>
      </c>
      <c r="AG493" s="2">
        <v>119.33</v>
      </c>
      <c r="AH493">
        <v>0</v>
      </c>
      <c r="AI493">
        <v>14.91625</v>
      </c>
      <c r="AJ493">
        <v>0.59665000000000001</v>
      </c>
      <c r="AK493" t="s">
        <v>54</v>
      </c>
      <c r="AL493">
        <v>0.66</v>
      </c>
      <c r="AM493" s="4">
        <f t="shared" si="57"/>
        <v>14.91625</v>
      </c>
      <c r="AN493" s="4">
        <f t="shared" si="58"/>
        <v>24.05859375</v>
      </c>
      <c r="AO493" s="4">
        <f t="shared" si="59"/>
        <v>26.729097656250001</v>
      </c>
      <c r="AP493" s="4">
        <f t="shared" si="60"/>
        <v>38.972516015624997</v>
      </c>
      <c r="AQ493" s="10">
        <f t="shared" si="61"/>
        <v>25.940850375</v>
      </c>
      <c r="AR493" s="10">
        <f t="shared" si="62"/>
        <v>28.822878851662498</v>
      </c>
      <c r="AS493" s="10">
        <f t="shared" si="63"/>
        <v>40.384715863799997</v>
      </c>
    </row>
    <row r="494" spans="1:45" x14ac:dyDescent="0.3">
      <c r="A494">
        <v>2025</v>
      </c>
      <c r="B494">
        <v>5</v>
      </c>
      <c r="C494" t="s">
        <v>35</v>
      </c>
      <c r="D494">
        <v>10</v>
      </c>
      <c r="E494" t="s">
        <v>36</v>
      </c>
      <c r="F494" t="s">
        <v>37</v>
      </c>
      <c r="G494" t="s">
        <v>38</v>
      </c>
      <c r="H494" t="s">
        <v>83</v>
      </c>
      <c r="I494" t="s">
        <v>190</v>
      </c>
      <c r="J494" t="s">
        <v>40</v>
      </c>
      <c r="K494" t="s">
        <v>59</v>
      </c>
      <c r="M494">
        <v>443015</v>
      </c>
      <c r="N494" t="s">
        <v>42</v>
      </c>
      <c r="O494" t="s">
        <v>36</v>
      </c>
      <c r="P494" t="s">
        <v>191</v>
      </c>
      <c r="Q494" t="s">
        <v>44</v>
      </c>
      <c r="R494" t="s">
        <v>695</v>
      </c>
      <c r="S494" t="s">
        <v>673</v>
      </c>
      <c r="T494" t="s">
        <v>47</v>
      </c>
      <c r="U494" t="s">
        <v>476</v>
      </c>
      <c r="V494" t="s">
        <v>49</v>
      </c>
      <c r="W494" t="s">
        <v>708</v>
      </c>
      <c r="X494" t="s">
        <v>388</v>
      </c>
      <c r="Y494" t="s">
        <v>1176</v>
      </c>
      <c r="Z494" t="s">
        <v>1176</v>
      </c>
      <c r="AA494" t="s">
        <v>1177</v>
      </c>
      <c r="AB494" s="3">
        <f t="shared" si="56"/>
        <v>8</v>
      </c>
      <c r="AC494">
        <v>104.81</v>
      </c>
      <c r="AD494" s="2">
        <v>13.10125</v>
      </c>
      <c r="AE494" s="2">
        <v>35.380000000000003</v>
      </c>
      <c r="AF494" s="2">
        <v>0.83</v>
      </c>
      <c r="AG494" s="2">
        <v>141.19999999999999</v>
      </c>
      <c r="AH494">
        <v>0</v>
      </c>
      <c r="AI494">
        <v>17.649999999999999</v>
      </c>
      <c r="AJ494">
        <v>0.70599999999999996</v>
      </c>
      <c r="AK494" t="s">
        <v>54</v>
      </c>
      <c r="AL494">
        <v>0.91</v>
      </c>
      <c r="AM494" s="4">
        <f t="shared" si="57"/>
        <v>17.649999999999999</v>
      </c>
      <c r="AN494" s="4">
        <f t="shared" si="58"/>
        <v>24.564843750000001</v>
      </c>
      <c r="AO494" s="4">
        <f t="shared" si="59"/>
        <v>27.291541406250001</v>
      </c>
      <c r="AP494" s="4">
        <f t="shared" si="60"/>
        <v>39.792590390625001</v>
      </c>
      <c r="AQ494" s="10">
        <f t="shared" si="61"/>
        <v>30.695114999999998</v>
      </c>
      <c r="AR494" s="10">
        <f t="shared" si="62"/>
        <v>34.105342276499997</v>
      </c>
      <c r="AS494" s="10">
        <f t="shared" si="63"/>
        <v>47.786155031999996</v>
      </c>
    </row>
    <row r="495" spans="1:45" x14ac:dyDescent="0.3">
      <c r="A495">
        <v>2025</v>
      </c>
      <c r="B495">
        <v>8</v>
      </c>
      <c r="C495" t="s">
        <v>55</v>
      </c>
      <c r="D495">
        <v>10</v>
      </c>
      <c r="E495" t="s">
        <v>36</v>
      </c>
      <c r="F495" t="s">
        <v>37</v>
      </c>
      <c r="G495" t="s">
        <v>38</v>
      </c>
      <c r="H495" t="s">
        <v>1253</v>
      </c>
      <c r="I495" t="s">
        <v>190</v>
      </c>
      <c r="J495" t="s">
        <v>58</v>
      </c>
      <c r="K495" t="s">
        <v>59</v>
      </c>
      <c r="L495" t="s">
        <v>1194</v>
      </c>
      <c r="M495" t="s">
        <v>1195</v>
      </c>
      <c r="N495" t="s">
        <v>1196</v>
      </c>
      <c r="O495" t="s">
        <v>1197</v>
      </c>
      <c r="Q495" t="s">
        <v>62</v>
      </c>
      <c r="R495" t="s">
        <v>1198</v>
      </c>
      <c r="S495" t="s">
        <v>1198</v>
      </c>
      <c r="T495" t="s">
        <v>47</v>
      </c>
      <c r="U495" t="s">
        <v>1254</v>
      </c>
      <c r="V495" t="s">
        <v>49</v>
      </c>
      <c r="W495" t="s">
        <v>1255</v>
      </c>
      <c r="X495" t="s">
        <v>388</v>
      </c>
      <c r="Y495" t="s">
        <v>207</v>
      </c>
      <c r="Z495" t="s">
        <v>207</v>
      </c>
      <c r="AA495" t="s">
        <v>713</v>
      </c>
      <c r="AB495" s="3">
        <f t="shared" si="56"/>
        <v>1</v>
      </c>
      <c r="AC495">
        <v>2293.33</v>
      </c>
      <c r="AD495" s="2">
        <v>2293.33</v>
      </c>
      <c r="AE495" s="2">
        <v>232.7</v>
      </c>
      <c r="AF495" s="2">
        <v>15.58</v>
      </c>
      <c r="AG495" s="2">
        <v>2541.61</v>
      </c>
      <c r="AH495">
        <v>0</v>
      </c>
      <c r="AI495">
        <v>2541.61</v>
      </c>
      <c r="AJ495">
        <v>12.70805</v>
      </c>
      <c r="AK495" t="s">
        <v>54</v>
      </c>
      <c r="AL495">
        <v>116.12</v>
      </c>
      <c r="AM495" s="4">
        <f t="shared" si="57"/>
        <v>2541.61</v>
      </c>
      <c r="AN495" s="4">
        <f t="shared" si="58"/>
        <v>4299.9937499999996</v>
      </c>
      <c r="AO495" s="4">
        <f t="shared" si="59"/>
        <v>4777.2930562499996</v>
      </c>
      <c r="AP495" s="4">
        <f t="shared" si="60"/>
        <v>6965.5598756249992</v>
      </c>
      <c r="AQ495" s="10">
        <f t="shared" si="61"/>
        <v>4420.1139510000003</v>
      </c>
      <c r="AR495" s="10">
        <f t="shared" si="62"/>
        <v>4911.1886109561001</v>
      </c>
      <c r="AS495" s="10">
        <f t="shared" si="63"/>
        <v>6881.2333989168001</v>
      </c>
    </row>
    <row r="496" spans="1:45" x14ac:dyDescent="0.3">
      <c r="A496">
        <v>2025</v>
      </c>
      <c r="B496">
        <v>1</v>
      </c>
      <c r="C496" t="s">
        <v>55</v>
      </c>
      <c r="D496">
        <v>10</v>
      </c>
      <c r="E496" t="s">
        <v>36</v>
      </c>
      <c r="F496" t="s">
        <v>37</v>
      </c>
      <c r="G496" t="s">
        <v>38</v>
      </c>
      <c r="H496" t="s">
        <v>67</v>
      </c>
      <c r="I496" t="s">
        <v>57</v>
      </c>
      <c r="J496" t="s">
        <v>58</v>
      </c>
      <c r="K496" t="s">
        <v>59</v>
      </c>
      <c r="M496" t="s">
        <v>60</v>
      </c>
      <c r="N496" t="s">
        <v>61</v>
      </c>
      <c r="O496" t="s">
        <v>43</v>
      </c>
      <c r="Q496" t="s">
        <v>62</v>
      </c>
      <c r="R496" t="s">
        <v>63</v>
      </c>
      <c r="S496" t="s">
        <v>63</v>
      </c>
      <c r="T496" t="s">
        <v>47</v>
      </c>
      <c r="U496" t="s">
        <v>68</v>
      </c>
      <c r="V496" t="s">
        <v>49</v>
      </c>
      <c r="W496" t="s">
        <v>69</v>
      </c>
      <c r="X496" t="s">
        <v>51</v>
      </c>
      <c r="Y496" t="s">
        <v>1256</v>
      </c>
      <c r="Z496" t="s">
        <v>1257</v>
      </c>
      <c r="AA496" t="s">
        <v>1258</v>
      </c>
      <c r="AB496" s="3">
        <f t="shared" si="56"/>
        <v>1</v>
      </c>
      <c r="AC496">
        <v>136.49</v>
      </c>
      <c r="AD496" s="2">
        <v>136.49</v>
      </c>
      <c r="AE496" s="2">
        <v>9.7799999999999994</v>
      </c>
      <c r="AF496" s="2">
        <v>0.88</v>
      </c>
      <c r="AG496" s="2">
        <v>147.15</v>
      </c>
      <c r="AH496">
        <v>0</v>
      </c>
      <c r="AI496">
        <v>147.15</v>
      </c>
      <c r="AJ496">
        <v>0.73575000000000002</v>
      </c>
      <c r="AK496" t="s">
        <v>54</v>
      </c>
      <c r="AL496">
        <v>1.1499999999999999</v>
      </c>
      <c r="AM496" s="4">
        <f t="shared" si="57"/>
        <v>147.15</v>
      </c>
      <c r="AN496" s="4">
        <f t="shared" si="58"/>
        <v>255.91875000000002</v>
      </c>
      <c r="AO496" s="4">
        <f t="shared" si="59"/>
        <v>284.32573124999999</v>
      </c>
      <c r="AP496" s="4">
        <f t="shared" si="60"/>
        <v>414.56278312500001</v>
      </c>
      <c r="AQ496" s="10">
        <f t="shared" si="61"/>
        <v>255.90856500000001</v>
      </c>
      <c r="AR496" s="10">
        <f t="shared" si="62"/>
        <v>284.3400065715</v>
      </c>
      <c r="AS496" s="10">
        <f t="shared" si="63"/>
        <v>398.39845399199999</v>
      </c>
    </row>
    <row r="497" spans="1:45" x14ac:dyDescent="0.3">
      <c r="A497">
        <v>2025</v>
      </c>
      <c r="B497">
        <v>12</v>
      </c>
      <c r="C497" t="s">
        <v>55</v>
      </c>
      <c r="D497">
        <v>10</v>
      </c>
      <c r="E497" t="s">
        <v>36</v>
      </c>
      <c r="F497" t="s">
        <v>37</v>
      </c>
      <c r="G497" t="s">
        <v>38</v>
      </c>
      <c r="H497" t="s">
        <v>641</v>
      </c>
      <c r="I497" t="s">
        <v>57</v>
      </c>
      <c r="J497" t="s">
        <v>58</v>
      </c>
      <c r="K497" t="s">
        <v>59</v>
      </c>
      <c r="L497" t="s">
        <v>1769</v>
      </c>
      <c r="M497" t="s">
        <v>1770</v>
      </c>
      <c r="N497" t="s">
        <v>1771</v>
      </c>
      <c r="O497" t="s">
        <v>1197</v>
      </c>
      <c r="Q497" t="s">
        <v>62</v>
      </c>
      <c r="R497" t="s">
        <v>1772</v>
      </c>
      <c r="S497" t="s">
        <v>1772</v>
      </c>
      <c r="T497" t="s">
        <v>47</v>
      </c>
      <c r="U497" t="s">
        <v>167</v>
      </c>
      <c r="V497" t="s">
        <v>49</v>
      </c>
      <c r="W497" t="s">
        <v>168</v>
      </c>
      <c r="X497" t="s">
        <v>51</v>
      </c>
      <c r="Y497" t="s">
        <v>70</v>
      </c>
      <c r="Z497" t="s">
        <v>64</v>
      </c>
      <c r="AA497" t="s">
        <v>71</v>
      </c>
      <c r="AB497" s="3">
        <f t="shared" si="56"/>
        <v>2</v>
      </c>
      <c r="AC497">
        <v>424</v>
      </c>
      <c r="AD497" s="2">
        <v>212</v>
      </c>
      <c r="AE497" s="2">
        <v>101.87</v>
      </c>
      <c r="AF497" s="2">
        <v>2.93</v>
      </c>
      <c r="AG497" s="2">
        <v>528.79</v>
      </c>
      <c r="AH497">
        <v>0</v>
      </c>
      <c r="AI497">
        <v>264.39499999999998</v>
      </c>
      <c r="AJ497">
        <v>2.6439499999999998</v>
      </c>
      <c r="AK497" t="s">
        <v>54</v>
      </c>
      <c r="AL497">
        <v>6.01</v>
      </c>
      <c r="AM497" s="4">
        <f t="shared" si="57"/>
        <v>264.39499999999998</v>
      </c>
      <c r="AN497" s="4">
        <f t="shared" si="58"/>
        <v>397.5</v>
      </c>
      <c r="AO497" s="4">
        <f t="shared" si="59"/>
        <v>441.6225</v>
      </c>
      <c r="AP497" s="4">
        <f t="shared" si="60"/>
        <v>643.91024999999991</v>
      </c>
      <c r="AQ497" s="10">
        <f t="shared" si="61"/>
        <v>459.80934450000001</v>
      </c>
      <c r="AR497" s="10">
        <f t="shared" si="62"/>
        <v>510.89416267395001</v>
      </c>
      <c r="AS497" s="10">
        <f t="shared" si="63"/>
        <v>715.83118751760003</v>
      </c>
    </row>
    <row r="498" spans="1:45" x14ac:dyDescent="0.3">
      <c r="A498">
        <v>2025</v>
      </c>
      <c r="B498">
        <v>12</v>
      </c>
      <c r="C498" t="s">
        <v>55</v>
      </c>
      <c r="D498">
        <v>10</v>
      </c>
      <c r="E498" t="s">
        <v>36</v>
      </c>
      <c r="F498" t="s">
        <v>37</v>
      </c>
      <c r="G498" t="s">
        <v>38</v>
      </c>
      <c r="H498" t="s">
        <v>56</v>
      </c>
      <c r="I498" t="s">
        <v>57</v>
      </c>
      <c r="J498" t="s">
        <v>58</v>
      </c>
      <c r="K498" t="s">
        <v>59</v>
      </c>
      <c r="L498" t="s">
        <v>1769</v>
      </c>
      <c r="M498" t="s">
        <v>1770</v>
      </c>
      <c r="N498" t="s">
        <v>1771</v>
      </c>
      <c r="O498" t="s">
        <v>1197</v>
      </c>
      <c r="Q498" t="s">
        <v>62</v>
      </c>
      <c r="R498" t="s">
        <v>1772</v>
      </c>
      <c r="S498" t="s">
        <v>1772</v>
      </c>
      <c r="T498" t="s">
        <v>47</v>
      </c>
      <c r="U498" t="s">
        <v>167</v>
      </c>
      <c r="V498" t="s">
        <v>49</v>
      </c>
      <c r="W498" t="s">
        <v>168</v>
      </c>
      <c r="X498" t="s">
        <v>51</v>
      </c>
      <c r="Y498" t="s">
        <v>1372</v>
      </c>
      <c r="Z498" t="s">
        <v>1372</v>
      </c>
      <c r="AA498" t="s">
        <v>1908</v>
      </c>
      <c r="AB498" s="3">
        <f t="shared" si="56"/>
        <v>8</v>
      </c>
      <c r="AC498">
        <v>2374.85</v>
      </c>
      <c r="AD498" s="2">
        <v>296.85624999999999</v>
      </c>
      <c r="AE498" s="2">
        <v>705</v>
      </c>
      <c r="AF498" s="2">
        <v>17.829999999999998</v>
      </c>
      <c r="AG498" s="2">
        <v>3097.68</v>
      </c>
      <c r="AH498">
        <v>0</v>
      </c>
      <c r="AI498">
        <v>387.21</v>
      </c>
      <c r="AJ498">
        <v>15.4884</v>
      </c>
      <c r="AK498" t="s">
        <v>54</v>
      </c>
      <c r="AL498">
        <v>17.649999999999999</v>
      </c>
      <c r="AM498" s="4">
        <f t="shared" si="57"/>
        <v>387.21</v>
      </c>
      <c r="AN498" s="4">
        <f t="shared" si="58"/>
        <v>556.60546875</v>
      </c>
      <c r="AO498" s="4">
        <f t="shared" si="59"/>
        <v>618.38867578124996</v>
      </c>
      <c r="AP498" s="4">
        <f t="shared" si="60"/>
        <v>901.64519882812499</v>
      </c>
      <c r="AQ498" s="10">
        <f t="shared" si="61"/>
        <v>673.39691100000005</v>
      </c>
      <c r="AR498" s="10">
        <f t="shared" si="62"/>
        <v>748.21130781210002</v>
      </c>
      <c r="AS498" s="10">
        <f t="shared" si="63"/>
        <v>1048.3443110448</v>
      </c>
    </row>
    <row r="499" spans="1:45" x14ac:dyDescent="0.3">
      <c r="A499">
        <v>2025</v>
      </c>
      <c r="B499">
        <v>12</v>
      </c>
      <c r="C499" t="s">
        <v>55</v>
      </c>
      <c r="D499">
        <v>10</v>
      </c>
      <c r="E499" t="s">
        <v>36</v>
      </c>
      <c r="F499" t="s">
        <v>37</v>
      </c>
      <c r="G499" t="s">
        <v>38</v>
      </c>
      <c r="H499" t="s">
        <v>56</v>
      </c>
      <c r="I499" t="s">
        <v>57</v>
      </c>
      <c r="J499" t="s">
        <v>58</v>
      </c>
      <c r="K499" t="s">
        <v>59</v>
      </c>
      <c r="L499" t="s">
        <v>1769</v>
      </c>
      <c r="M499" t="s">
        <v>1770</v>
      </c>
      <c r="N499" t="s">
        <v>1771</v>
      </c>
      <c r="O499" t="s">
        <v>1197</v>
      </c>
      <c r="Q499" t="s">
        <v>62</v>
      </c>
      <c r="R499" t="s">
        <v>1772</v>
      </c>
      <c r="S499" t="s">
        <v>1772</v>
      </c>
      <c r="T499" t="s">
        <v>47</v>
      </c>
      <c r="U499" t="s">
        <v>167</v>
      </c>
      <c r="V499" t="s">
        <v>49</v>
      </c>
      <c r="W499" t="s">
        <v>168</v>
      </c>
      <c r="X499" t="s">
        <v>51</v>
      </c>
      <c r="Y499" t="s">
        <v>1906</v>
      </c>
      <c r="Z499" t="s">
        <v>1906</v>
      </c>
      <c r="AA499" t="s">
        <v>1907</v>
      </c>
      <c r="AB499" s="3">
        <f t="shared" si="56"/>
        <v>8</v>
      </c>
      <c r="AC499">
        <v>876.97</v>
      </c>
      <c r="AD499" s="2">
        <v>109.62125</v>
      </c>
      <c r="AE499" s="2">
        <v>260.33999999999997</v>
      </c>
      <c r="AF499" s="2">
        <v>6.58</v>
      </c>
      <c r="AG499" s="2">
        <v>1143.9000000000001</v>
      </c>
      <c r="AH499">
        <v>0</v>
      </c>
      <c r="AI499">
        <v>142.98750000000001</v>
      </c>
      <c r="AJ499">
        <v>5.7195</v>
      </c>
      <c r="AK499" t="s">
        <v>54</v>
      </c>
      <c r="AL499">
        <v>6.52</v>
      </c>
      <c r="AM499" s="4">
        <f t="shared" si="57"/>
        <v>142.98750000000001</v>
      </c>
      <c r="AN499" s="4">
        <f t="shared" si="58"/>
        <v>205.53984375000002</v>
      </c>
      <c r="AO499" s="4">
        <f t="shared" si="59"/>
        <v>228.35476640625001</v>
      </c>
      <c r="AP499" s="4">
        <f t="shared" si="60"/>
        <v>332.95399289062499</v>
      </c>
      <c r="AQ499" s="10">
        <f t="shared" si="61"/>
        <v>248.66956125000004</v>
      </c>
      <c r="AR499" s="10">
        <f t="shared" si="62"/>
        <v>276.29674950487504</v>
      </c>
      <c r="AS499" s="10">
        <f t="shared" si="63"/>
        <v>387.12877295400006</v>
      </c>
    </row>
    <row r="500" spans="1:45" x14ac:dyDescent="0.3">
      <c r="A500">
        <v>2025</v>
      </c>
      <c r="B500">
        <v>12</v>
      </c>
      <c r="C500" t="s">
        <v>55</v>
      </c>
      <c r="D500">
        <v>10</v>
      </c>
      <c r="E500" t="s">
        <v>36</v>
      </c>
      <c r="F500" t="s">
        <v>37</v>
      </c>
      <c r="G500" t="s">
        <v>38</v>
      </c>
      <c r="H500" t="s">
        <v>56</v>
      </c>
      <c r="I500" t="s">
        <v>57</v>
      </c>
      <c r="J500" t="s">
        <v>58</v>
      </c>
      <c r="K500" t="s">
        <v>59</v>
      </c>
      <c r="L500" t="s">
        <v>1769</v>
      </c>
      <c r="M500" t="s">
        <v>1770</v>
      </c>
      <c r="N500" t="s">
        <v>1771</v>
      </c>
      <c r="O500" t="s">
        <v>1197</v>
      </c>
      <c r="Q500" t="s">
        <v>62</v>
      </c>
      <c r="R500" t="s">
        <v>1772</v>
      </c>
      <c r="S500" t="s">
        <v>1772</v>
      </c>
      <c r="T500" t="s">
        <v>47</v>
      </c>
      <c r="U500" t="s">
        <v>167</v>
      </c>
      <c r="V500" t="s">
        <v>49</v>
      </c>
      <c r="W500" t="s">
        <v>168</v>
      </c>
      <c r="X500" t="s">
        <v>51</v>
      </c>
      <c r="Y500" t="s">
        <v>1902</v>
      </c>
      <c r="Z500" t="s">
        <v>1902</v>
      </c>
      <c r="AA500" t="s">
        <v>1903</v>
      </c>
      <c r="AB500" s="3">
        <f t="shared" si="56"/>
        <v>4</v>
      </c>
      <c r="AC500">
        <v>1341.65</v>
      </c>
      <c r="AD500" s="2">
        <v>335.41250000000002</v>
      </c>
      <c r="AE500" s="2">
        <v>398.29</v>
      </c>
      <c r="AF500" s="2">
        <v>10.7</v>
      </c>
      <c r="AG500" s="2">
        <v>1750.1</v>
      </c>
      <c r="AH500">
        <v>0</v>
      </c>
      <c r="AI500">
        <v>437.52499999999998</v>
      </c>
      <c r="AJ500">
        <v>8.7505000000000006</v>
      </c>
      <c r="AK500" t="s">
        <v>54</v>
      </c>
      <c r="AL500">
        <v>9.9700000000000006</v>
      </c>
      <c r="AM500" s="4">
        <f t="shared" si="57"/>
        <v>437.52499999999998</v>
      </c>
      <c r="AN500" s="4">
        <f t="shared" si="58"/>
        <v>628.8984375</v>
      </c>
      <c r="AO500" s="4">
        <f t="shared" si="59"/>
        <v>698.70616406249997</v>
      </c>
      <c r="AP500" s="4">
        <f t="shared" si="60"/>
        <v>1018.7525789062499</v>
      </c>
      <c r="AQ500" s="10">
        <f t="shared" si="61"/>
        <v>760.89972750000004</v>
      </c>
      <c r="AR500" s="10">
        <f t="shared" si="62"/>
        <v>845.43568722525004</v>
      </c>
      <c r="AS500" s="10">
        <f t="shared" si="63"/>
        <v>1184.568695772</v>
      </c>
    </row>
    <row r="501" spans="1:45" x14ac:dyDescent="0.3">
      <c r="A501">
        <v>2025</v>
      </c>
      <c r="B501">
        <v>12</v>
      </c>
      <c r="C501" t="s">
        <v>55</v>
      </c>
      <c r="D501">
        <v>10</v>
      </c>
      <c r="E501" t="s">
        <v>36</v>
      </c>
      <c r="F501" t="s">
        <v>37</v>
      </c>
      <c r="G501" t="s">
        <v>38</v>
      </c>
      <c r="H501" t="s">
        <v>56</v>
      </c>
      <c r="I501" t="s">
        <v>57</v>
      </c>
      <c r="J501" t="s">
        <v>58</v>
      </c>
      <c r="K501" t="s">
        <v>59</v>
      </c>
      <c r="L501" t="s">
        <v>1769</v>
      </c>
      <c r="M501" t="s">
        <v>1770</v>
      </c>
      <c r="N501" t="s">
        <v>1771</v>
      </c>
      <c r="O501" t="s">
        <v>1197</v>
      </c>
      <c r="Q501" t="s">
        <v>62</v>
      </c>
      <c r="R501" t="s">
        <v>1772</v>
      </c>
      <c r="S501" t="s">
        <v>1772</v>
      </c>
      <c r="T501" t="s">
        <v>47</v>
      </c>
      <c r="U501" t="s">
        <v>247</v>
      </c>
      <c r="V501" t="s">
        <v>49</v>
      </c>
      <c r="W501" t="s">
        <v>248</v>
      </c>
      <c r="X501" t="s">
        <v>51</v>
      </c>
      <c r="Y501" t="s">
        <v>1904</v>
      </c>
      <c r="Z501" t="s">
        <v>1904</v>
      </c>
      <c r="AA501" t="s">
        <v>1905</v>
      </c>
      <c r="AB501" s="3">
        <f t="shared" si="56"/>
        <v>4</v>
      </c>
      <c r="AC501">
        <v>1669.62</v>
      </c>
      <c r="AD501" s="2">
        <v>417.40499999999997</v>
      </c>
      <c r="AE501" s="2">
        <v>495.65</v>
      </c>
      <c r="AF501" s="2">
        <v>12.53</v>
      </c>
      <c r="AG501" s="2">
        <v>2177.8000000000002</v>
      </c>
      <c r="AH501">
        <v>0</v>
      </c>
      <c r="AI501">
        <v>544.45000000000005</v>
      </c>
      <c r="AJ501">
        <v>10.888999999999999</v>
      </c>
      <c r="AK501" t="s">
        <v>54</v>
      </c>
      <c r="AL501">
        <v>12.41</v>
      </c>
      <c r="AM501" s="4">
        <f t="shared" si="57"/>
        <v>544.45000000000005</v>
      </c>
      <c r="AN501" s="4">
        <f t="shared" si="58"/>
        <v>782.63437499999998</v>
      </c>
      <c r="AO501" s="4">
        <f t="shared" si="59"/>
        <v>869.50679062500001</v>
      </c>
      <c r="AP501" s="4">
        <f t="shared" si="60"/>
        <v>1267.7894240624998</v>
      </c>
      <c r="AQ501" s="10">
        <f t="shared" si="61"/>
        <v>946.85299500000008</v>
      </c>
      <c r="AR501" s="10">
        <f t="shared" si="62"/>
        <v>1052.0483627445001</v>
      </c>
      <c r="AS501" s="10">
        <f t="shared" si="63"/>
        <v>1474.0607426160002</v>
      </c>
    </row>
    <row r="502" spans="1:45" x14ac:dyDescent="0.3">
      <c r="A502">
        <v>2025</v>
      </c>
      <c r="B502">
        <v>11</v>
      </c>
      <c r="C502" t="s">
        <v>55</v>
      </c>
      <c r="D502">
        <v>10</v>
      </c>
      <c r="E502" t="s">
        <v>36</v>
      </c>
      <c r="F502" t="s">
        <v>37</v>
      </c>
      <c r="G502" t="s">
        <v>38</v>
      </c>
      <c r="H502" t="s">
        <v>101</v>
      </c>
      <c r="I502" t="s">
        <v>375</v>
      </c>
      <c r="J502" t="s">
        <v>376</v>
      </c>
      <c r="K502" t="s">
        <v>51</v>
      </c>
      <c r="L502" t="s">
        <v>1622</v>
      </c>
      <c r="M502" t="s">
        <v>1623</v>
      </c>
      <c r="N502" t="s">
        <v>1485</v>
      </c>
      <c r="O502" t="s">
        <v>1197</v>
      </c>
      <c r="Q502" t="s">
        <v>62</v>
      </c>
      <c r="R502" t="s">
        <v>1624</v>
      </c>
      <c r="S502" t="s">
        <v>1624</v>
      </c>
      <c r="T502" t="s">
        <v>47</v>
      </c>
      <c r="U502" t="s">
        <v>178</v>
      </c>
      <c r="V502" t="s">
        <v>49</v>
      </c>
      <c r="W502" t="s">
        <v>179</v>
      </c>
      <c r="X502" t="s">
        <v>51</v>
      </c>
      <c r="Y502" t="s">
        <v>437</v>
      </c>
      <c r="Z502" t="s">
        <v>437</v>
      </c>
      <c r="AA502" t="s">
        <v>1808</v>
      </c>
      <c r="AB502" s="3">
        <f t="shared" si="56"/>
        <v>8</v>
      </c>
      <c r="AC502">
        <v>213.88</v>
      </c>
      <c r="AD502" s="2">
        <v>26.734999999999999</v>
      </c>
      <c r="AE502" s="2">
        <v>63.49</v>
      </c>
      <c r="AF502" s="2">
        <v>1.61</v>
      </c>
      <c r="AG502" s="2">
        <v>278.98</v>
      </c>
      <c r="AH502">
        <v>0</v>
      </c>
      <c r="AI502">
        <v>34.872500000000002</v>
      </c>
      <c r="AJ502">
        <v>1.3949</v>
      </c>
      <c r="AK502" t="s">
        <v>54</v>
      </c>
      <c r="AL502">
        <v>1.59</v>
      </c>
      <c r="AM502" s="4">
        <f t="shared" si="57"/>
        <v>34.872500000000002</v>
      </c>
      <c r="AN502" s="4">
        <f t="shared" si="58"/>
        <v>50.128124999999997</v>
      </c>
      <c r="AO502" s="4">
        <f t="shared" si="59"/>
        <v>55.692346874999998</v>
      </c>
      <c r="AP502" s="4">
        <f t="shared" si="60"/>
        <v>81.202549687499996</v>
      </c>
      <c r="AQ502" s="10">
        <f t="shared" si="61"/>
        <v>60.64676475000001</v>
      </c>
      <c r="AR502" s="10">
        <f t="shared" si="62"/>
        <v>67.384620313725009</v>
      </c>
      <c r="AS502" s="10">
        <f t="shared" si="63"/>
        <v>94.414883362800012</v>
      </c>
    </row>
    <row r="503" spans="1:45" x14ac:dyDescent="0.3">
      <c r="A503">
        <v>2025</v>
      </c>
      <c r="B503">
        <v>3</v>
      </c>
      <c r="C503" t="s">
        <v>55</v>
      </c>
      <c r="D503">
        <v>10</v>
      </c>
      <c r="E503" t="s">
        <v>36</v>
      </c>
      <c r="F503" t="s">
        <v>37</v>
      </c>
      <c r="G503" t="s">
        <v>38</v>
      </c>
      <c r="H503" t="s">
        <v>56</v>
      </c>
      <c r="I503" t="s">
        <v>190</v>
      </c>
      <c r="J503" t="s">
        <v>58</v>
      </c>
      <c r="K503" t="s">
        <v>59</v>
      </c>
      <c r="M503" t="s">
        <v>213</v>
      </c>
      <c r="N503" t="s">
        <v>61</v>
      </c>
      <c r="O503" t="s">
        <v>43</v>
      </c>
      <c r="Q503" t="s">
        <v>62</v>
      </c>
      <c r="R503" t="s">
        <v>214</v>
      </c>
      <c r="S503" t="s">
        <v>215</v>
      </c>
      <c r="T503" t="s">
        <v>47</v>
      </c>
      <c r="U503" t="s">
        <v>157</v>
      </c>
      <c r="V503" t="s">
        <v>49</v>
      </c>
      <c r="W503" t="s">
        <v>158</v>
      </c>
      <c r="X503" t="s">
        <v>51</v>
      </c>
      <c r="Y503" t="s">
        <v>1532</v>
      </c>
      <c r="Z503" t="s">
        <v>1532</v>
      </c>
      <c r="AA503" t="s">
        <v>1753</v>
      </c>
      <c r="AB503" s="3">
        <f t="shared" si="56"/>
        <v>2</v>
      </c>
      <c r="AC503">
        <v>228.45</v>
      </c>
      <c r="AD503" s="2">
        <v>114.22499999999999</v>
      </c>
      <c r="AE503" s="2">
        <v>31.99</v>
      </c>
      <c r="AF503" s="2">
        <v>1.58</v>
      </c>
      <c r="AG503" s="2">
        <v>262.2</v>
      </c>
      <c r="AH503">
        <v>0</v>
      </c>
      <c r="AI503">
        <v>131.1</v>
      </c>
      <c r="AJ503">
        <v>1.3109999999999999</v>
      </c>
      <c r="AK503" t="s">
        <v>54</v>
      </c>
      <c r="AL503">
        <v>1.74</v>
      </c>
      <c r="AM503" s="4">
        <f t="shared" si="57"/>
        <v>131.1</v>
      </c>
      <c r="AN503" s="4">
        <f t="shared" si="58"/>
        <v>214.171875</v>
      </c>
      <c r="AO503" s="4">
        <f t="shared" si="59"/>
        <v>237.94495312499998</v>
      </c>
      <c r="AP503" s="4">
        <f t="shared" si="60"/>
        <v>346.93702031249995</v>
      </c>
      <c r="AQ503" s="10">
        <f t="shared" si="61"/>
        <v>227.99601000000001</v>
      </c>
      <c r="AR503" s="10">
        <f t="shared" si="62"/>
        <v>253.32636671100002</v>
      </c>
      <c r="AS503" s="10">
        <f t="shared" si="63"/>
        <v>354.94418836800003</v>
      </c>
    </row>
    <row r="504" spans="1:45" x14ac:dyDescent="0.3">
      <c r="A504">
        <v>2025</v>
      </c>
      <c r="B504">
        <v>5</v>
      </c>
      <c r="C504" t="s">
        <v>55</v>
      </c>
      <c r="D504">
        <v>10</v>
      </c>
      <c r="E504" t="s">
        <v>36</v>
      </c>
      <c r="F504" t="s">
        <v>37</v>
      </c>
      <c r="G504" t="s">
        <v>38</v>
      </c>
      <c r="H504" t="s">
        <v>56</v>
      </c>
      <c r="I504" t="s">
        <v>190</v>
      </c>
      <c r="J504" t="s">
        <v>58</v>
      </c>
      <c r="K504" t="s">
        <v>59</v>
      </c>
      <c r="M504" t="s">
        <v>682</v>
      </c>
      <c r="N504" t="s">
        <v>384</v>
      </c>
      <c r="O504" t="s">
        <v>36</v>
      </c>
      <c r="Q504" t="s">
        <v>62</v>
      </c>
      <c r="R504" t="s">
        <v>683</v>
      </c>
      <c r="S504" t="s">
        <v>683</v>
      </c>
      <c r="T504" t="s">
        <v>47</v>
      </c>
      <c r="U504" t="s">
        <v>157</v>
      </c>
      <c r="V504" t="s">
        <v>49</v>
      </c>
      <c r="W504" t="s">
        <v>158</v>
      </c>
      <c r="X504" t="s">
        <v>686</v>
      </c>
      <c r="Y504" t="s">
        <v>346</v>
      </c>
      <c r="Z504" t="s">
        <v>64</v>
      </c>
      <c r="AA504" t="s">
        <v>347</v>
      </c>
      <c r="AB504" s="3">
        <f t="shared" si="56"/>
        <v>4</v>
      </c>
      <c r="AC504">
        <v>978.09</v>
      </c>
      <c r="AD504" s="2">
        <v>244.52250000000001</v>
      </c>
      <c r="AE504" s="2">
        <v>205.26</v>
      </c>
      <c r="AF504" s="2">
        <v>7.24</v>
      </c>
      <c r="AG504" s="2">
        <v>1190.5899999999999</v>
      </c>
      <c r="AH504">
        <v>0</v>
      </c>
      <c r="AI504">
        <v>297.64749999999998</v>
      </c>
      <c r="AJ504">
        <v>5.9529500000000004</v>
      </c>
      <c r="AK504" t="s">
        <v>54</v>
      </c>
      <c r="AL504">
        <v>7.78</v>
      </c>
      <c r="AM504" s="4">
        <f t="shared" si="57"/>
        <v>297.64749999999998</v>
      </c>
      <c r="AN504" s="4">
        <f t="shared" si="58"/>
        <v>458.47968750000001</v>
      </c>
      <c r="AO504" s="4">
        <f t="shared" si="59"/>
        <v>509.37093281250003</v>
      </c>
      <c r="AP504" s="4">
        <f t="shared" si="60"/>
        <v>742.69124578125002</v>
      </c>
      <c r="AQ504" s="10">
        <f t="shared" si="61"/>
        <v>517.63876725</v>
      </c>
      <c r="AR504" s="10">
        <f t="shared" si="62"/>
        <v>575.14843429147504</v>
      </c>
      <c r="AS504" s="10">
        <f t="shared" si="63"/>
        <v>805.86003285480001</v>
      </c>
    </row>
    <row r="505" spans="1:45" x14ac:dyDescent="0.3">
      <c r="A505">
        <v>2025</v>
      </c>
      <c r="B505">
        <v>12</v>
      </c>
      <c r="C505" t="s">
        <v>55</v>
      </c>
      <c r="D505">
        <v>10</v>
      </c>
      <c r="E505" t="s">
        <v>36</v>
      </c>
      <c r="F505" t="s">
        <v>37</v>
      </c>
      <c r="G505" t="s">
        <v>38</v>
      </c>
      <c r="H505" t="s">
        <v>56</v>
      </c>
      <c r="I505" t="s">
        <v>57</v>
      </c>
      <c r="J505" t="s">
        <v>58</v>
      </c>
      <c r="K505" t="s">
        <v>59</v>
      </c>
      <c r="L505" t="s">
        <v>1769</v>
      </c>
      <c r="M505" t="s">
        <v>1770</v>
      </c>
      <c r="N505" t="s">
        <v>1771</v>
      </c>
      <c r="O505" t="s">
        <v>1197</v>
      </c>
      <c r="Q505" t="s">
        <v>62</v>
      </c>
      <c r="R505" t="s">
        <v>1772</v>
      </c>
      <c r="S505" t="s">
        <v>1772</v>
      </c>
      <c r="T505" t="s">
        <v>47</v>
      </c>
      <c r="U505" t="s">
        <v>157</v>
      </c>
      <c r="V505" t="s">
        <v>49</v>
      </c>
      <c r="W505" t="s">
        <v>158</v>
      </c>
      <c r="X505" t="s">
        <v>51</v>
      </c>
      <c r="Y505" t="s">
        <v>346</v>
      </c>
      <c r="Z505" t="s">
        <v>346</v>
      </c>
      <c r="AA505" t="s">
        <v>347</v>
      </c>
      <c r="AB505" s="3">
        <f t="shared" si="56"/>
        <v>7.0000000000000506</v>
      </c>
      <c r="AC505">
        <v>1381.3</v>
      </c>
      <c r="AD505" s="2">
        <v>197.32857142857</v>
      </c>
      <c r="AE505" s="2">
        <v>663.77</v>
      </c>
      <c r="AF505" s="2">
        <v>12.38</v>
      </c>
      <c r="AG505" s="2">
        <v>2057.17</v>
      </c>
      <c r="AH505">
        <v>0</v>
      </c>
      <c r="AI505">
        <v>293.88142857142998</v>
      </c>
      <c r="AJ505">
        <v>10.28585</v>
      </c>
      <c r="AK505" t="s">
        <v>54</v>
      </c>
      <c r="AL505">
        <v>21.78</v>
      </c>
      <c r="AM505" s="4">
        <f t="shared" si="57"/>
        <v>293.88142857142645</v>
      </c>
      <c r="AN505" s="4">
        <f t="shared" si="58"/>
        <v>369.99107142856877</v>
      </c>
      <c r="AO505" s="4">
        <f t="shared" si="59"/>
        <v>411.0600803571399</v>
      </c>
      <c r="AP505" s="4">
        <f t="shared" si="60"/>
        <v>599.3485366071385</v>
      </c>
      <c r="AQ505" s="10">
        <f t="shared" si="61"/>
        <v>511.0891924285678</v>
      </c>
      <c r="AR505" s="10">
        <f t="shared" si="62"/>
        <v>567.87120170738172</v>
      </c>
      <c r="AS505" s="10">
        <f t="shared" si="63"/>
        <v>795.6636547727943</v>
      </c>
    </row>
    <row r="506" spans="1:45" x14ac:dyDescent="0.3">
      <c r="A506">
        <v>2025</v>
      </c>
      <c r="B506">
        <v>11</v>
      </c>
      <c r="C506" t="s">
        <v>55</v>
      </c>
      <c r="D506">
        <v>10</v>
      </c>
      <c r="E506" t="s">
        <v>36</v>
      </c>
      <c r="F506" t="s">
        <v>37</v>
      </c>
      <c r="G506" t="s">
        <v>38</v>
      </c>
      <c r="H506" t="s">
        <v>206</v>
      </c>
      <c r="I506" t="s">
        <v>375</v>
      </c>
      <c r="J506" t="s">
        <v>376</v>
      </c>
      <c r="K506" t="s">
        <v>51</v>
      </c>
      <c r="L506" t="s">
        <v>1622</v>
      </c>
      <c r="M506" t="s">
        <v>1623</v>
      </c>
      <c r="N506" t="s">
        <v>1485</v>
      </c>
      <c r="O506" t="s">
        <v>1197</v>
      </c>
      <c r="Q506" t="s">
        <v>62</v>
      </c>
      <c r="R506" t="s">
        <v>1624</v>
      </c>
      <c r="S506" t="s">
        <v>1624</v>
      </c>
      <c r="T506" t="s">
        <v>47</v>
      </c>
      <c r="U506" t="s">
        <v>163</v>
      </c>
      <c r="V506" t="s">
        <v>49</v>
      </c>
      <c r="W506" t="s">
        <v>164</v>
      </c>
      <c r="X506" t="s">
        <v>51</v>
      </c>
      <c r="Y506" t="s">
        <v>1116</v>
      </c>
      <c r="Z506" t="s">
        <v>1116</v>
      </c>
      <c r="AA506" t="s">
        <v>347</v>
      </c>
      <c r="AB506" s="3">
        <f t="shared" si="56"/>
        <v>9.0000000000000995</v>
      </c>
      <c r="AC506">
        <v>1819.64</v>
      </c>
      <c r="AD506" s="2">
        <v>202.18222222221999</v>
      </c>
      <c r="AE506" s="2">
        <v>540.17999999999995</v>
      </c>
      <c r="AF506" s="2">
        <v>13.66</v>
      </c>
      <c r="AG506" s="2">
        <v>2373.48</v>
      </c>
      <c r="AH506">
        <v>0</v>
      </c>
      <c r="AI506">
        <v>263.72000000000003</v>
      </c>
      <c r="AJ506">
        <v>11.8674</v>
      </c>
      <c r="AK506" t="s">
        <v>54</v>
      </c>
      <c r="AL506">
        <v>13.52</v>
      </c>
      <c r="AM506" s="4">
        <f t="shared" si="57"/>
        <v>263.71999999999707</v>
      </c>
      <c r="AN506" s="4">
        <f t="shared" si="58"/>
        <v>379.09166666666249</v>
      </c>
      <c r="AO506" s="4">
        <f t="shared" si="59"/>
        <v>421.170841666662</v>
      </c>
      <c r="AP506" s="4">
        <f t="shared" si="60"/>
        <v>614.09059083332647</v>
      </c>
      <c r="AQ506" s="10">
        <f t="shared" si="61"/>
        <v>458.63545199999493</v>
      </c>
      <c r="AR506" s="10">
        <f t="shared" si="62"/>
        <v>509.58985071719434</v>
      </c>
      <c r="AS506" s="10">
        <f t="shared" si="63"/>
        <v>714.00367167359207</v>
      </c>
    </row>
    <row r="507" spans="1:45" x14ac:dyDescent="0.3">
      <c r="A507">
        <v>2025</v>
      </c>
      <c r="B507">
        <v>12</v>
      </c>
      <c r="C507" t="s">
        <v>55</v>
      </c>
      <c r="D507">
        <v>10</v>
      </c>
      <c r="E507" t="s">
        <v>36</v>
      </c>
      <c r="F507" t="s">
        <v>37</v>
      </c>
      <c r="G507" t="s">
        <v>38</v>
      </c>
      <c r="H507" t="s">
        <v>206</v>
      </c>
      <c r="I507" t="s">
        <v>57</v>
      </c>
      <c r="J507" t="s">
        <v>58</v>
      </c>
      <c r="K507" t="s">
        <v>59</v>
      </c>
      <c r="L507" t="s">
        <v>1769</v>
      </c>
      <c r="M507" t="s">
        <v>1770</v>
      </c>
      <c r="N507" t="s">
        <v>1771</v>
      </c>
      <c r="O507" t="s">
        <v>1197</v>
      </c>
      <c r="Q507" t="s">
        <v>62</v>
      </c>
      <c r="R507" t="s">
        <v>1772</v>
      </c>
      <c r="S507" t="s">
        <v>1772</v>
      </c>
      <c r="T507" t="s">
        <v>47</v>
      </c>
      <c r="U507" t="s">
        <v>163</v>
      </c>
      <c r="V507" t="s">
        <v>49</v>
      </c>
      <c r="W507" t="s">
        <v>164</v>
      </c>
      <c r="X507" t="s">
        <v>51</v>
      </c>
      <c r="Y507" t="s">
        <v>1532</v>
      </c>
      <c r="Z507" t="s">
        <v>1532</v>
      </c>
      <c r="AA507" t="s">
        <v>1723</v>
      </c>
      <c r="AB507" s="3">
        <f t="shared" si="56"/>
        <v>2</v>
      </c>
      <c r="AC507">
        <v>129.59</v>
      </c>
      <c r="AD507" s="2">
        <v>64.795000000000002</v>
      </c>
      <c r="AE507" s="2">
        <v>18.149999999999999</v>
      </c>
      <c r="AF507" s="2">
        <v>0.9</v>
      </c>
      <c r="AG507" s="2">
        <v>148.63</v>
      </c>
      <c r="AH507">
        <v>0</v>
      </c>
      <c r="AI507">
        <v>74.314999999999998</v>
      </c>
      <c r="AJ507">
        <v>0.74314999999999998</v>
      </c>
      <c r="AK507" t="s">
        <v>54</v>
      </c>
      <c r="AL507">
        <v>0.99</v>
      </c>
      <c r="AM507" s="4">
        <f t="shared" si="57"/>
        <v>74.314999999999998</v>
      </c>
      <c r="AN507" s="4">
        <f t="shared" si="58"/>
        <v>121.49062500000001</v>
      </c>
      <c r="AO507" s="4">
        <f t="shared" si="59"/>
        <v>134.976084375</v>
      </c>
      <c r="AP507" s="4">
        <f t="shared" si="60"/>
        <v>196.8026634375</v>
      </c>
      <c r="AQ507" s="10">
        <f t="shared" si="61"/>
        <v>129.24121650000001</v>
      </c>
      <c r="AR507" s="10">
        <f t="shared" si="62"/>
        <v>143.59991565314999</v>
      </c>
      <c r="AS507" s="10">
        <f t="shared" si="63"/>
        <v>201.20272584720001</v>
      </c>
    </row>
    <row r="508" spans="1:45" x14ac:dyDescent="0.3">
      <c r="A508">
        <v>2025</v>
      </c>
      <c r="B508">
        <v>6</v>
      </c>
      <c r="C508" t="s">
        <v>55</v>
      </c>
      <c r="D508">
        <v>10</v>
      </c>
      <c r="E508" t="s">
        <v>36</v>
      </c>
      <c r="F508" t="s">
        <v>37</v>
      </c>
      <c r="G508" t="s">
        <v>38</v>
      </c>
      <c r="H508" t="s">
        <v>83</v>
      </c>
      <c r="I508" t="s">
        <v>190</v>
      </c>
      <c r="J508" t="s">
        <v>58</v>
      </c>
      <c r="K508" t="s">
        <v>59</v>
      </c>
      <c r="M508" t="s">
        <v>730</v>
      </c>
      <c r="N508" t="s">
        <v>731</v>
      </c>
      <c r="O508" t="s">
        <v>36</v>
      </c>
      <c r="Q508" t="s">
        <v>62</v>
      </c>
      <c r="R508" t="s">
        <v>732</v>
      </c>
      <c r="S508" t="s">
        <v>732</v>
      </c>
      <c r="T508" t="s">
        <v>47</v>
      </c>
      <c r="U508" t="s">
        <v>839</v>
      </c>
      <c r="V508" t="s">
        <v>49</v>
      </c>
      <c r="W508" t="s">
        <v>840</v>
      </c>
      <c r="X508" t="s">
        <v>686</v>
      </c>
      <c r="Y508" t="s">
        <v>1884</v>
      </c>
      <c r="Z508" t="s">
        <v>1884</v>
      </c>
      <c r="AA508" t="s">
        <v>1723</v>
      </c>
      <c r="AB508" s="3">
        <f t="shared" si="56"/>
        <v>2</v>
      </c>
      <c r="AC508">
        <v>135.55000000000001</v>
      </c>
      <c r="AD508" s="2">
        <v>67.775000000000006</v>
      </c>
      <c r="AE508" s="2">
        <v>40.24</v>
      </c>
      <c r="AF508" s="2">
        <v>1.2</v>
      </c>
      <c r="AG508" s="2">
        <v>176.81</v>
      </c>
      <c r="AH508">
        <v>0</v>
      </c>
      <c r="AI508">
        <v>88.405000000000001</v>
      </c>
      <c r="AJ508">
        <v>0.88405</v>
      </c>
      <c r="AK508" t="s">
        <v>54</v>
      </c>
      <c r="AL508">
        <v>1.1000000000000001</v>
      </c>
      <c r="AM508" s="4">
        <f t="shared" si="57"/>
        <v>88.405000000000001</v>
      </c>
      <c r="AN508" s="4">
        <f t="shared" si="58"/>
        <v>127.07812500000001</v>
      </c>
      <c r="AO508" s="4">
        <f t="shared" si="59"/>
        <v>141.18379687500001</v>
      </c>
      <c r="AP508" s="4">
        <f t="shared" si="60"/>
        <v>205.85385468750002</v>
      </c>
      <c r="AQ508" s="10">
        <f t="shared" si="61"/>
        <v>153.7451355</v>
      </c>
      <c r="AR508" s="10">
        <f t="shared" si="62"/>
        <v>170.82622005405</v>
      </c>
      <c r="AS508" s="10">
        <f t="shared" si="63"/>
        <v>239.35042694640001</v>
      </c>
    </row>
    <row r="509" spans="1:45" x14ac:dyDescent="0.3">
      <c r="A509">
        <v>2025</v>
      </c>
      <c r="B509">
        <v>6</v>
      </c>
      <c r="C509" t="s">
        <v>55</v>
      </c>
      <c r="D509">
        <v>10</v>
      </c>
      <c r="E509" t="s">
        <v>36</v>
      </c>
      <c r="F509" t="s">
        <v>37</v>
      </c>
      <c r="G509" t="s">
        <v>38</v>
      </c>
      <c r="H509" t="s">
        <v>236</v>
      </c>
      <c r="I509" t="s">
        <v>190</v>
      </c>
      <c r="J509" t="s">
        <v>58</v>
      </c>
      <c r="K509" t="s">
        <v>59</v>
      </c>
      <c r="M509" t="s">
        <v>730</v>
      </c>
      <c r="N509" t="s">
        <v>731</v>
      </c>
      <c r="O509" t="s">
        <v>36</v>
      </c>
      <c r="Q509" t="s">
        <v>62</v>
      </c>
      <c r="R509" t="s">
        <v>732</v>
      </c>
      <c r="S509" t="s">
        <v>732</v>
      </c>
      <c r="T509" t="s">
        <v>47</v>
      </c>
      <c r="U509" t="s">
        <v>237</v>
      </c>
      <c r="V509" t="s">
        <v>49</v>
      </c>
      <c r="W509" t="s">
        <v>238</v>
      </c>
      <c r="X509" t="s">
        <v>686</v>
      </c>
      <c r="Y509" t="s">
        <v>841</v>
      </c>
      <c r="Z509" t="s">
        <v>841</v>
      </c>
      <c r="AA509" t="s">
        <v>842</v>
      </c>
      <c r="AB509" s="3">
        <f t="shared" si="56"/>
        <v>4</v>
      </c>
      <c r="AC509">
        <v>1188.6300000000001</v>
      </c>
      <c r="AD509" s="2">
        <v>297.15750000000003</v>
      </c>
      <c r="AE509" s="2">
        <v>251.32</v>
      </c>
      <c r="AF509" s="2">
        <v>8.7899999999999991</v>
      </c>
      <c r="AG509" s="2">
        <v>1448.74</v>
      </c>
      <c r="AH509">
        <v>0</v>
      </c>
      <c r="AI509">
        <v>362.185</v>
      </c>
      <c r="AJ509">
        <v>7.2436999999999996</v>
      </c>
      <c r="AK509" t="s">
        <v>54</v>
      </c>
      <c r="AL509">
        <v>8.59</v>
      </c>
      <c r="AM509" s="4">
        <f t="shared" si="57"/>
        <v>362.185</v>
      </c>
      <c r="AN509" s="4">
        <f t="shared" si="58"/>
        <v>557.17031250000002</v>
      </c>
      <c r="AO509" s="4">
        <f t="shared" si="59"/>
        <v>619.01621718750005</v>
      </c>
      <c r="AP509" s="4">
        <f t="shared" si="60"/>
        <v>902.56018921875</v>
      </c>
      <c r="AQ509" s="10">
        <f t="shared" si="61"/>
        <v>629.87593350000009</v>
      </c>
      <c r="AR509" s="10">
        <f t="shared" si="62"/>
        <v>699.85514971185012</v>
      </c>
      <c r="AS509" s="10">
        <f t="shared" si="63"/>
        <v>980.59085327280013</v>
      </c>
    </row>
    <row r="510" spans="1:45" x14ac:dyDescent="0.3">
      <c r="A510">
        <v>2025</v>
      </c>
      <c r="B510">
        <v>6</v>
      </c>
      <c r="C510" t="s">
        <v>55</v>
      </c>
      <c r="D510">
        <v>10</v>
      </c>
      <c r="E510" t="s">
        <v>36</v>
      </c>
      <c r="F510" t="s">
        <v>37</v>
      </c>
      <c r="G510" t="s">
        <v>38</v>
      </c>
      <c r="H510" t="s">
        <v>236</v>
      </c>
      <c r="I510" t="s">
        <v>190</v>
      </c>
      <c r="J510" t="s">
        <v>58</v>
      </c>
      <c r="K510" t="s">
        <v>59</v>
      </c>
      <c r="M510" t="s">
        <v>730</v>
      </c>
      <c r="N510" t="s">
        <v>731</v>
      </c>
      <c r="O510" t="s">
        <v>36</v>
      </c>
      <c r="Q510" t="s">
        <v>62</v>
      </c>
      <c r="R510" t="s">
        <v>732</v>
      </c>
      <c r="S510" t="s">
        <v>732</v>
      </c>
      <c r="T510" t="s">
        <v>47</v>
      </c>
      <c r="U510" t="s">
        <v>237</v>
      </c>
      <c r="V510" t="s">
        <v>49</v>
      </c>
      <c r="W510" t="s">
        <v>238</v>
      </c>
      <c r="X510" t="s">
        <v>686</v>
      </c>
      <c r="Y510" t="s">
        <v>130</v>
      </c>
      <c r="Z510" t="s">
        <v>130</v>
      </c>
      <c r="AA510" t="s">
        <v>757</v>
      </c>
      <c r="AB510" s="3">
        <f t="shared" si="56"/>
        <v>0.38000000000000078</v>
      </c>
      <c r="AC510">
        <v>37.93</v>
      </c>
      <c r="AD510" s="2">
        <v>99.815789473684006</v>
      </c>
      <c r="AE510" s="2">
        <v>8.1999999999999993</v>
      </c>
      <c r="AF510" s="2">
        <v>0.28000000000000003</v>
      </c>
      <c r="AG510" s="2">
        <v>46.23</v>
      </c>
      <c r="AH510">
        <v>0</v>
      </c>
      <c r="AI510">
        <v>121.65789473684001</v>
      </c>
      <c r="AJ510">
        <v>0.23114999999999999</v>
      </c>
      <c r="AK510" t="s">
        <v>54</v>
      </c>
      <c r="AL510">
        <v>0.27</v>
      </c>
      <c r="AM510" s="4">
        <f t="shared" si="57"/>
        <v>121.65789473684184</v>
      </c>
      <c r="AN510" s="4">
        <f t="shared" si="58"/>
        <v>187.15460526315752</v>
      </c>
      <c r="AO510" s="4">
        <f t="shared" si="59"/>
        <v>207.92876644736799</v>
      </c>
      <c r="AP510" s="4">
        <f t="shared" si="60"/>
        <v>303.17174506578885</v>
      </c>
      <c r="AQ510" s="10">
        <f t="shared" si="61"/>
        <v>211.57524473684165</v>
      </c>
      <c r="AR510" s="10">
        <f t="shared" si="62"/>
        <v>235.08125442710477</v>
      </c>
      <c r="AS510" s="10">
        <f t="shared" si="63"/>
        <v>329.38034100631506</v>
      </c>
    </row>
    <row r="511" spans="1:45" x14ac:dyDescent="0.3">
      <c r="A511">
        <v>2025</v>
      </c>
      <c r="B511">
        <v>6</v>
      </c>
      <c r="C511" t="s">
        <v>55</v>
      </c>
      <c r="D511">
        <v>10</v>
      </c>
      <c r="E511" t="s">
        <v>36</v>
      </c>
      <c r="F511" t="s">
        <v>37</v>
      </c>
      <c r="G511" t="s">
        <v>38</v>
      </c>
      <c r="H511" t="s">
        <v>410</v>
      </c>
      <c r="I511" t="s">
        <v>190</v>
      </c>
      <c r="J511" t="s">
        <v>58</v>
      </c>
      <c r="K511" t="s">
        <v>59</v>
      </c>
      <c r="M511" t="s">
        <v>730</v>
      </c>
      <c r="N511" t="s">
        <v>731</v>
      </c>
      <c r="O511" t="s">
        <v>36</v>
      </c>
      <c r="Q511" t="s">
        <v>62</v>
      </c>
      <c r="R511" t="s">
        <v>732</v>
      </c>
      <c r="S511" t="s">
        <v>732</v>
      </c>
      <c r="T511" t="s">
        <v>47</v>
      </c>
      <c r="U511" t="s">
        <v>167</v>
      </c>
      <c r="V511" t="s">
        <v>49</v>
      </c>
      <c r="W511" t="s">
        <v>168</v>
      </c>
      <c r="X511" t="s">
        <v>686</v>
      </c>
      <c r="Y511" t="s">
        <v>130</v>
      </c>
      <c r="Z511" t="s">
        <v>130</v>
      </c>
      <c r="AA511" t="s">
        <v>757</v>
      </c>
      <c r="AB511" s="3">
        <f t="shared" si="56"/>
        <v>0.96999999999999609</v>
      </c>
      <c r="AC511">
        <v>9.48</v>
      </c>
      <c r="AD511" s="2">
        <v>9.7731958762886997</v>
      </c>
      <c r="AE511" s="2">
        <v>2.1</v>
      </c>
      <c r="AF511" s="2">
        <v>0.7</v>
      </c>
      <c r="AG511" s="2">
        <v>11.56</v>
      </c>
      <c r="AH511">
        <v>0</v>
      </c>
      <c r="AI511">
        <v>11.917525773195999</v>
      </c>
      <c r="AJ511">
        <v>5.7799999999999997E-2</v>
      </c>
      <c r="AK511" t="s">
        <v>54</v>
      </c>
      <c r="AL511">
        <v>0.7</v>
      </c>
      <c r="AM511" s="4">
        <f t="shared" si="57"/>
        <v>11.917525773195925</v>
      </c>
      <c r="AN511" s="4">
        <f t="shared" si="58"/>
        <v>18.324742268041312</v>
      </c>
      <c r="AO511" s="4">
        <f t="shared" si="59"/>
        <v>20.358788659793898</v>
      </c>
      <c r="AP511" s="4">
        <f t="shared" si="60"/>
        <v>29.684250000000119</v>
      </c>
      <c r="AQ511" s="10">
        <f t="shared" si="61"/>
        <v>20.725769072165033</v>
      </c>
      <c r="AR511" s="10">
        <f t="shared" si="62"/>
        <v>23.028402016082566</v>
      </c>
      <c r="AS511" s="10">
        <f t="shared" si="63"/>
        <v>32.265877291546524</v>
      </c>
    </row>
    <row r="512" spans="1:45" x14ac:dyDescent="0.3">
      <c r="A512">
        <v>2025</v>
      </c>
      <c r="B512">
        <v>6</v>
      </c>
      <c r="C512" t="s">
        <v>55</v>
      </c>
      <c r="D512">
        <v>10</v>
      </c>
      <c r="E512" t="s">
        <v>36</v>
      </c>
      <c r="F512" t="s">
        <v>37</v>
      </c>
      <c r="G512" t="s">
        <v>38</v>
      </c>
      <c r="H512" t="s">
        <v>83</v>
      </c>
      <c r="I512" t="s">
        <v>190</v>
      </c>
      <c r="J512" t="s">
        <v>58</v>
      </c>
      <c r="K512" t="s">
        <v>59</v>
      </c>
      <c r="M512" t="s">
        <v>730</v>
      </c>
      <c r="N512" t="s">
        <v>731</v>
      </c>
      <c r="O512" t="s">
        <v>36</v>
      </c>
      <c r="Q512" t="s">
        <v>62</v>
      </c>
      <c r="R512" t="s">
        <v>732</v>
      </c>
      <c r="S512" t="s">
        <v>732</v>
      </c>
      <c r="T512" t="s">
        <v>47</v>
      </c>
      <c r="U512" t="s">
        <v>947</v>
      </c>
      <c r="V512" t="s">
        <v>49</v>
      </c>
      <c r="W512" t="s">
        <v>948</v>
      </c>
      <c r="X512" t="s">
        <v>686</v>
      </c>
      <c r="Y512" t="s">
        <v>878</v>
      </c>
      <c r="Z512" t="s">
        <v>878</v>
      </c>
      <c r="AA512" t="s">
        <v>879</v>
      </c>
      <c r="AB512" s="3">
        <f t="shared" si="56"/>
        <v>2</v>
      </c>
      <c r="AC512">
        <v>246.66</v>
      </c>
      <c r="AD512" s="2">
        <v>123.33</v>
      </c>
      <c r="AE512" s="2">
        <v>52.15</v>
      </c>
      <c r="AF512" s="2">
        <v>1.82</v>
      </c>
      <c r="AG512" s="2">
        <v>300.63</v>
      </c>
      <c r="AH512">
        <v>0</v>
      </c>
      <c r="AI512">
        <v>150.315</v>
      </c>
      <c r="AJ512">
        <v>1.50315</v>
      </c>
      <c r="AK512" t="s">
        <v>54</v>
      </c>
      <c r="AL512">
        <v>1.78</v>
      </c>
      <c r="AM512" s="4">
        <f t="shared" si="57"/>
        <v>150.315</v>
      </c>
      <c r="AN512" s="4">
        <f t="shared" si="58"/>
        <v>231.24375000000001</v>
      </c>
      <c r="AO512" s="4">
        <f t="shared" si="59"/>
        <v>256.91180624999998</v>
      </c>
      <c r="AP512" s="4">
        <f t="shared" si="60"/>
        <v>374.59175062499997</v>
      </c>
      <c r="AQ512" s="10">
        <f t="shared" si="61"/>
        <v>261.41281650000002</v>
      </c>
      <c r="AR512" s="10">
        <f t="shared" si="62"/>
        <v>290.45578041315002</v>
      </c>
      <c r="AS512" s="10">
        <f t="shared" si="63"/>
        <v>406.9674727272</v>
      </c>
    </row>
    <row r="513" spans="1:45" x14ac:dyDescent="0.3">
      <c r="A513">
        <v>2025</v>
      </c>
      <c r="B513">
        <v>6</v>
      </c>
      <c r="C513" t="s">
        <v>55</v>
      </c>
      <c r="D513">
        <v>10</v>
      </c>
      <c r="E513" t="s">
        <v>36</v>
      </c>
      <c r="F513" t="s">
        <v>37</v>
      </c>
      <c r="G513" t="s">
        <v>38</v>
      </c>
      <c r="H513" t="s">
        <v>83</v>
      </c>
      <c r="I513" t="s">
        <v>190</v>
      </c>
      <c r="J513" t="s">
        <v>58</v>
      </c>
      <c r="K513" t="s">
        <v>59</v>
      </c>
      <c r="M513" t="s">
        <v>730</v>
      </c>
      <c r="N513" t="s">
        <v>731</v>
      </c>
      <c r="O513" t="s">
        <v>36</v>
      </c>
      <c r="Q513" t="s">
        <v>62</v>
      </c>
      <c r="R513" t="s">
        <v>732</v>
      </c>
      <c r="S513" t="s">
        <v>732</v>
      </c>
      <c r="T513" t="s">
        <v>47</v>
      </c>
      <c r="U513" t="s">
        <v>72</v>
      </c>
      <c r="V513" t="s">
        <v>49</v>
      </c>
      <c r="W513" t="s">
        <v>73</v>
      </c>
      <c r="X513" t="s">
        <v>686</v>
      </c>
      <c r="Y513" t="s">
        <v>949</v>
      </c>
      <c r="Z513" t="s">
        <v>949</v>
      </c>
      <c r="AA513" t="s">
        <v>950</v>
      </c>
      <c r="AB513" s="3">
        <f t="shared" si="56"/>
        <v>4</v>
      </c>
      <c r="AC513">
        <v>1835.5</v>
      </c>
      <c r="AD513" s="2">
        <v>458.875</v>
      </c>
      <c r="AE513" s="2">
        <v>388.9</v>
      </c>
      <c r="AF513" s="2">
        <v>13.58</v>
      </c>
      <c r="AG513" s="2">
        <v>2237.16</v>
      </c>
      <c r="AH513">
        <v>0</v>
      </c>
      <c r="AI513">
        <v>559.29</v>
      </c>
      <c r="AJ513">
        <v>11.1858</v>
      </c>
      <c r="AK513" t="s">
        <v>54</v>
      </c>
      <c r="AL513">
        <v>13.27</v>
      </c>
      <c r="AM513" s="4">
        <f t="shared" si="57"/>
        <v>559.29</v>
      </c>
      <c r="AN513" s="4">
        <f t="shared" si="58"/>
        <v>860.390625</v>
      </c>
      <c r="AO513" s="4">
        <f t="shared" si="59"/>
        <v>955.89398437499995</v>
      </c>
      <c r="AP513" s="4">
        <f t="shared" si="60"/>
        <v>1393.7467734375</v>
      </c>
      <c r="AQ513" s="10">
        <f t="shared" si="61"/>
        <v>972.66123900000002</v>
      </c>
      <c r="AR513" s="10">
        <f t="shared" si="62"/>
        <v>1080.7239026529001</v>
      </c>
      <c r="AS513" s="10">
        <f t="shared" si="63"/>
        <v>1514.2390168751999</v>
      </c>
    </row>
    <row r="514" spans="1:45" x14ac:dyDescent="0.3">
      <c r="A514">
        <v>2025</v>
      </c>
      <c r="B514">
        <v>3</v>
      </c>
      <c r="C514" t="s">
        <v>55</v>
      </c>
      <c r="D514">
        <v>10</v>
      </c>
      <c r="E514" t="s">
        <v>36</v>
      </c>
      <c r="F514" t="s">
        <v>37</v>
      </c>
      <c r="G514" t="s">
        <v>38</v>
      </c>
      <c r="H514" t="s">
        <v>78</v>
      </c>
      <c r="I514" t="s">
        <v>190</v>
      </c>
      <c r="J514" t="s">
        <v>58</v>
      </c>
      <c r="K514" t="s">
        <v>59</v>
      </c>
      <c r="M514" t="s">
        <v>209</v>
      </c>
      <c r="N514" t="s">
        <v>61</v>
      </c>
      <c r="O514" t="s">
        <v>43</v>
      </c>
      <c r="Q514" t="s">
        <v>62</v>
      </c>
      <c r="R514" t="s">
        <v>210</v>
      </c>
      <c r="S514" t="s">
        <v>211</v>
      </c>
      <c r="T514" t="s">
        <v>47</v>
      </c>
      <c r="U514" t="s">
        <v>118</v>
      </c>
      <c r="V514" t="s">
        <v>49</v>
      </c>
      <c r="W514" t="s">
        <v>119</v>
      </c>
      <c r="X514" t="s">
        <v>51</v>
      </c>
      <c r="Y514" t="s">
        <v>74</v>
      </c>
      <c r="Z514" t="s">
        <v>74</v>
      </c>
      <c r="AA514" t="s">
        <v>738</v>
      </c>
      <c r="AB514" s="3">
        <f t="shared" si="56"/>
        <v>0.84</v>
      </c>
      <c r="AC514">
        <v>83.16</v>
      </c>
      <c r="AD514" s="2">
        <v>99</v>
      </c>
      <c r="AE514" s="2">
        <v>17.579999999999998</v>
      </c>
      <c r="AF514" s="2">
        <v>0.62</v>
      </c>
      <c r="AG514" s="2">
        <v>101.36</v>
      </c>
      <c r="AH514">
        <v>0</v>
      </c>
      <c r="AI514">
        <v>120.66666666667</v>
      </c>
      <c r="AJ514">
        <v>0.50680000000000003</v>
      </c>
      <c r="AK514" t="s">
        <v>54</v>
      </c>
      <c r="AL514">
        <v>0.6</v>
      </c>
      <c r="AM514" s="4">
        <f t="shared" si="57"/>
        <v>120.66666666666667</v>
      </c>
      <c r="AN514" s="4">
        <f t="shared" si="58"/>
        <v>185.625</v>
      </c>
      <c r="AO514" s="4">
        <f t="shared" si="59"/>
        <v>206.229375</v>
      </c>
      <c r="AP514" s="4">
        <f t="shared" si="60"/>
        <v>300.6939375</v>
      </c>
      <c r="AQ514" s="10">
        <f t="shared" si="61"/>
        <v>209.85140000000001</v>
      </c>
      <c r="AR514" s="10">
        <f t="shared" si="62"/>
        <v>233.16589054000002</v>
      </c>
      <c r="AS514" s="10">
        <f t="shared" si="63"/>
        <v>326.69665952000003</v>
      </c>
    </row>
    <row r="515" spans="1:45" x14ac:dyDescent="0.3">
      <c r="A515">
        <v>2025</v>
      </c>
      <c r="B515">
        <v>3</v>
      </c>
      <c r="C515" t="s">
        <v>55</v>
      </c>
      <c r="D515">
        <v>10</v>
      </c>
      <c r="E515" t="s">
        <v>36</v>
      </c>
      <c r="F515" t="s">
        <v>37</v>
      </c>
      <c r="G515" t="s">
        <v>38</v>
      </c>
      <c r="H515" t="s">
        <v>78</v>
      </c>
      <c r="I515" t="s">
        <v>190</v>
      </c>
      <c r="J515" t="s">
        <v>58</v>
      </c>
      <c r="K515" t="s">
        <v>59</v>
      </c>
      <c r="M515" t="s">
        <v>213</v>
      </c>
      <c r="N515" t="s">
        <v>61</v>
      </c>
      <c r="O515" t="s">
        <v>43</v>
      </c>
      <c r="Q515" t="s">
        <v>62</v>
      </c>
      <c r="R515" t="s">
        <v>214</v>
      </c>
      <c r="S515" t="s">
        <v>215</v>
      </c>
      <c r="T515" t="s">
        <v>47</v>
      </c>
      <c r="U515" t="s">
        <v>118</v>
      </c>
      <c r="V515" t="s">
        <v>49</v>
      </c>
      <c r="W515" t="s">
        <v>119</v>
      </c>
      <c r="X515" t="s">
        <v>51</v>
      </c>
      <c r="Y515" t="s">
        <v>130</v>
      </c>
      <c r="Z515" t="s">
        <v>64</v>
      </c>
      <c r="AA515" t="s">
        <v>331</v>
      </c>
      <c r="AB515" s="3">
        <f t="shared" ref="AB515:AB578" si="64">SUM(AC515/AD515)</f>
        <v>1</v>
      </c>
      <c r="AC515">
        <v>182.53</v>
      </c>
      <c r="AD515" s="2">
        <v>182.53</v>
      </c>
      <c r="AE515" s="2">
        <v>40.770000000000003</v>
      </c>
      <c r="AF515" s="2">
        <v>1.34</v>
      </c>
      <c r="AG515" s="2">
        <v>224.64</v>
      </c>
      <c r="AH515">
        <v>0</v>
      </c>
      <c r="AI515">
        <v>224.64</v>
      </c>
      <c r="AJ515">
        <v>1.1232</v>
      </c>
      <c r="AK515" t="s">
        <v>54</v>
      </c>
      <c r="AL515">
        <v>2.2000000000000002</v>
      </c>
      <c r="AM515" s="4">
        <f t="shared" ref="AM515:AM578" si="65">SUM(AG515/AB515)</f>
        <v>224.64</v>
      </c>
      <c r="AN515" s="4">
        <f t="shared" ref="AN515:AN578" si="66">SUM(AD515*1.875)</f>
        <v>342.24374999999998</v>
      </c>
      <c r="AO515" s="4">
        <f t="shared" si="59"/>
        <v>380.23280624999995</v>
      </c>
      <c r="AP515" s="4">
        <f t="shared" si="60"/>
        <v>554.40065062499991</v>
      </c>
      <c r="AQ515" s="10">
        <f t="shared" si="61"/>
        <v>390.671424</v>
      </c>
      <c r="AR515" s="10">
        <f t="shared" si="62"/>
        <v>434.07501920639999</v>
      </c>
      <c r="AS515" s="10">
        <f t="shared" si="63"/>
        <v>608.19727288319996</v>
      </c>
    </row>
    <row r="516" spans="1:45" x14ac:dyDescent="0.3">
      <c r="A516">
        <v>2025</v>
      </c>
      <c r="B516">
        <v>3</v>
      </c>
      <c r="C516" t="s">
        <v>55</v>
      </c>
      <c r="D516">
        <v>10</v>
      </c>
      <c r="E516" t="s">
        <v>36</v>
      </c>
      <c r="F516" t="s">
        <v>37</v>
      </c>
      <c r="G516" t="s">
        <v>38</v>
      </c>
      <c r="H516" t="s">
        <v>78</v>
      </c>
      <c r="I516" t="s">
        <v>190</v>
      </c>
      <c r="J516" t="s">
        <v>58</v>
      </c>
      <c r="K516" t="s">
        <v>59</v>
      </c>
      <c r="M516" t="s">
        <v>213</v>
      </c>
      <c r="N516" t="s">
        <v>61</v>
      </c>
      <c r="O516" t="s">
        <v>43</v>
      </c>
      <c r="Q516" t="s">
        <v>62</v>
      </c>
      <c r="R516" t="s">
        <v>214</v>
      </c>
      <c r="S516" t="s">
        <v>215</v>
      </c>
      <c r="T516" t="s">
        <v>47</v>
      </c>
      <c r="U516" t="s">
        <v>118</v>
      </c>
      <c r="V516" t="s">
        <v>49</v>
      </c>
      <c r="W516" t="s">
        <v>119</v>
      </c>
      <c r="X516" t="s">
        <v>51</v>
      </c>
      <c r="Y516" t="s">
        <v>130</v>
      </c>
      <c r="Z516" t="s">
        <v>64</v>
      </c>
      <c r="AA516" t="s">
        <v>331</v>
      </c>
      <c r="AB516" s="3">
        <f t="shared" si="64"/>
        <v>1</v>
      </c>
      <c r="AC516">
        <v>185.38</v>
      </c>
      <c r="AD516" s="2">
        <v>185.38</v>
      </c>
      <c r="AE516" s="2">
        <v>38.9</v>
      </c>
      <c r="AF516" s="2">
        <v>1.37</v>
      </c>
      <c r="AG516" s="2">
        <v>225.66</v>
      </c>
      <c r="AH516">
        <v>0</v>
      </c>
      <c r="AI516">
        <v>225.66</v>
      </c>
      <c r="AJ516">
        <v>1.1283000000000001</v>
      </c>
      <c r="AK516" t="s">
        <v>54</v>
      </c>
      <c r="AL516">
        <v>1.94</v>
      </c>
      <c r="AM516" s="4">
        <f t="shared" si="65"/>
        <v>225.66</v>
      </c>
      <c r="AN516" s="4">
        <f t="shared" si="66"/>
        <v>347.58749999999998</v>
      </c>
      <c r="AO516" s="4">
        <f t="shared" ref="AO516:AO579" si="67">SUM(AN516)*1.111</f>
        <v>386.16971249999995</v>
      </c>
      <c r="AP516" s="4">
        <f t="shared" ref="AP516:AP579" si="68">SUM(AN516)*1.6199</f>
        <v>563.0569912499999</v>
      </c>
      <c r="AQ516" s="10">
        <f t="shared" ref="AQ516:AQ579" si="69">SUM(AM516)*1.7391</f>
        <v>392.44530600000002</v>
      </c>
      <c r="AR516" s="10">
        <f t="shared" ref="AR516:AR579" si="70">SUM(AQ516)*1.1111</f>
        <v>436.04597949660001</v>
      </c>
      <c r="AS516" s="10">
        <f t="shared" ref="AS516:AS579" si="71">SUM(AQ516)*1.5568</f>
        <v>610.95885238080007</v>
      </c>
    </row>
    <row r="517" spans="1:45" x14ac:dyDescent="0.3">
      <c r="A517">
        <v>2025</v>
      </c>
      <c r="B517">
        <v>4</v>
      </c>
      <c r="C517" t="s">
        <v>55</v>
      </c>
      <c r="D517">
        <v>10</v>
      </c>
      <c r="E517" t="s">
        <v>36</v>
      </c>
      <c r="F517" t="s">
        <v>37</v>
      </c>
      <c r="G517" t="s">
        <v>38</v>
      </c>
      <c r="H517" t="s">
        <v>78</v>
      </c>
      <c r="I517" t="s">
        <v>375</v>
      </c>
      <c r="J517" t="s">
        <v>376</v>
      </c>
      <c r="K517" t="s">
        <v>59</v>
      </c>
      <c r="M517">
        <v>2503061</v>
      </c>
      <c r="N517" t="s">
        <v>377</v>
      </c>
      <c r="O517" t="s">
        <v>36</v>
      </c>
      <c r="Q517" t="s">
        <v>62</v>
      </c>
      <c r="R517" t="s">
        <v>378</v>
      </c>
      <c r="S517" t="s">
        <v>378</v>
      </c>
      <c r="T517" t="s">
        <v>47</v>
      </c>
      <c r="U517" t="s">
        <v>118</v>
      </c>
      <c r="V517" t="s">
        <v>49</v>
      </c>
      <c r="W517" t="s">
        <v>119</v>
      </c>
      <c r="X517" t="s">
        <v>51</v>
      </c>
      <c r="Y517" t="s">
        <v>130</v>
      </c>
      <c r="Z517" t="s">
        <v>64</v>
      </c>
      <c r="AA517" t="s">
        <v>331</v>
      </c>
      <c r="AB517" s="3">
        <f t="shared" si="64"/>
        <v>4</v>
      </c>
      <c r="AC517">
        <v>741.53</v>
      </c>
      <c r="AD517" s="2">
        <v>185.38249999999999</v>
      </c>
      <c r="AE517" s="2">
        <v>155.61000000000001</v>
      </c>
      <c r="AF517" s="2">
        <v>5.49</v>
      </c>
      <c r="AG517" s="2">
        <v>902.64</v>
      </c>
      <c r="AH517">
        <v>0</v>
      </c>
      <c r="AI517">
        <v>225.66</v>
      </c>
      <c r="AJ517">
        <v>4.5132000000000003</v>
      </c>
      <c r="AK517" t="s">
        <v>54</v>
      </c>
      <c r="AL517">
        <v>7.78</v>
      </c>
      <c r="AM517" s="4">
        <f t="shared" si="65"/>
        <v>225.66</v>
      </c>
      <c r="AN517" s="4">
        <f t="shared" si="66"/>
        <v>347.59218749999997</v>
      </c>
      <c r="AO517" s="4">
        <f t="shared" si="67"/>
        <v>386.17492031249998</v>
      </c>
      <c r="AP517" s="4">
        <f t="shared" si="68"/>
        <v>563.06458453124992</v>
      </c>
      <c r="AQ517" s="10">
        <f t="shared" si="69"/>
        <v>392.44530600000002</v>
      </c>
      <c r="AR517" s="10">
        <f t="shared" si="70"/>
        <v>436.04597949660001</v>
      </c>
      <c r="AS517" s="10">
        <f t="shared" si="71"/>
        <v>610.95885238080007</v>
      </c>
    </row>
    <row r="518" spans="1:45" x14ac:dyDescent="0.3">
      <c r="A518">
        <v>2025</v>
      </c>
      <c r="B518">
        <v>4</v>
      </c>
      <c r="C518" t="s">
        <v>55</v>
      </c>
      <c r="D518">
        <v>10</v>
      </c>
      <c r="E518" t="s">
        <v>36</v>
      </c>
      <c r="F518" t="s">
        <v>37</v>
      </c>
      <c r="G518" t="s">
        <v>38</v>
      </c>
      <c r="H518" t="s">
        <v>78</v>
      </c>
      <c r="I518" t="s">
        <v>375</v>
      </c>
      <c r="J518" t="s">
        <v>376</v>
      </c>
      <c r="K518" t="s">
        <v>59</v>
      </c>
      <c r="M518">
        <v>2503061</v>
      </c>
      <c r="N518" t="s">
        <v>377</v>
      </c>
      <c r="O518" t="s">
        <v>36</v>
      </c>
      <c r="Q518" t="s">
        <v>62</v>
      </c>
      <c r="R518" t="s">
        <v>378</v>
      </c>
      <c r="S518" t="s">
        <v>378</v>
      </c>
      <c r="T518" t="s">
        <v>47</v>
      </c>
      <c r="U518" t="s">
        <v>118</v>
      </c>
      <c r="V518" t="s">
        <v>49</v>
      </c>
      <c r="W518" t="s">
        <v>119</v>
      </c>
      <c r="X518" t="s">
        <v>51</v>
      </c>
      <c r="Y518" t="s">
        <v>130</v>
      </c>
      <c r="Z518" t="s">
        <v>130</v>
      </c>
      <c r="AA518" t="s">
        <v>331</v>
      </c>
      <c r="AB518" s="3">
        <f t="shared" si="64"/>
        <v>1</v>
      </c>
      <c r="AC518">
        <v>203.5</v>
      </c>
      <c r="AD518" s="2">
        <v>203.5</v>
      </c>
      <c r="AE518" s="2">
        <v>23.68</v>
      </c>
      <c r="AF518" s="2">
        <v>1.44</v>
      </c>
      <c r="AG518" s="2">
        <v>228.62</v>
      </c>
      <c r="AH518">
        <v>0</v>
      </c>
      <c r="AI518">
        <v>228.62</v>
      </c>
      <c r="AJ518">
        <v>1.1431</v>
      </c>
      <c r="AK518" t="s">
        <v>54</v>
      </c>
      <c r="AL518">
        <v>1.1299999999999999</v>
      </c>
      <c r="AM518" s="4">
        <f t="shared" si="65"/>
        <v>228.62</v>
      </c>
      <c r="AN518" s="4">
        <f t="shared" si="66"/>
        <v>381.5625</v>
      </c>
      <c r="AO518" s="4">
        <f t="shared" si="67"/>
        <v>423.91593749999998</v>
      </c>
      <c r="AP518" s="4">
        <f t="shared" si="68"/>
        <v>618.09309374999998</v>
      </c>
      <c r="AQ518" s="10">
        <f t="shared" si="69"/>
        <v>397.59304200000003</v>
      </c>
      <c r="AR518" s="10">
        <f t="shared" si="70"/>
        <v>441.76562896620004</v>
      </c>
      <c r="AS518" s="10">
        <f t="shared" si="71"/>
        <v>618.97284778560004</v>
      </c>
    </row>
    <row r="519" spans="1:45" x14ac:dyDescent="0.3">
      <c r="A519">
        <v>2025</v>
      </c>
      <c r="B519">
        <v>9</v>
      </c>
      <c r="C519" t="s">
        <v>55</v>
      </c>
      <c r="D519">
        <v>10</v>
      </c>
      <c r="E519" t="s">
        <v>36</v>
      </c>
      <c r="F519" t="s">
        <v>37</v>
      </c>
      <c r="G519" t="s">
        <v>38</v>
      </c>
      <c r="H519" t="s">
        <v>78</v>
      </c>
      <c r="I519" t="s">
        <v>375</v>
      </c>
      <c r="J519" t="s">
        <v>376</v>
      </c>
      <c r="K519" t="s">
        <v>41</v>
      </c>
      <c r="L519" t="s">
        <v>1503</v>
      </c>
      <c r="M519" t="s">
        <v>1504</v>
      </c>
      <c r="N519" t="s">
        <v>377</v>
      </c>
      <c r="O519" t="s">
        <v>1197</v>
      </c>
      <c r="Q519" t="s">
        <v>62</v>
      </c>
      <c r="R519" t="s">
        <v>1505</v>
      </c>
      <c r="S519" t="s">
        <v>1505</v>
      </c>
      <c r="T519" t="s">
        <v>47</v>
      </c>
      <c r="U519" t="s">
        <v>118</v>
      </c>
      <c r="V519" t="s">
        <v>49</v>
      </c>
      <c r="W519" t="s">
        <v>714</v>
      </c>
      <c r="X519" t="s">
        <v>388</v>
      </c>
      <c r="Y519" t="s">
        <v>130</v>
      </c>
      <c r="Z519" t="s">
        <v>130</v>
      </c>
      <c r="AA519" t="s">
        <v>331</v>
      </c>
      <c r="AB519" s="3">
        <f t="shared" si="64"/>
        <v>2</v>
      </c>
      <c r="AC519">
        <v>406.97</v>
      </c>
      <c r="AD519" s="2">
        <v>203.48500000000001</v>
      </c>
      <c r="AE519" s="2">
        <v>47.15</v>
      </c>
      <c r="AF519" s="2">
        <v>2.88</v>
      </c>
      <c r="AG519" s="2">
        <v>457</v>
      </c>
      <c r="AH519">
        <v>0</v>
      </c>
      <c r="AI519">
        <v>228.5</v>
      </c>
      <c r="AJ519">
        <v>2.2850000000000001</v>
      </c>
      <c r="AK519" t="s">
        <v>54</v>
      </c>
      <c r="AL519">
        <v>2.25</v>
      </c>
      <c r="AM519" s="4">
        <f t="shared" si="65"/>
        <v>228.5</v>
      </c>
      <c r="AN519" s="4">
        <f t="shared" si="66"/>
        <v>381.53437500000001</v>
      </c>
      <c r="AO519" s="4">
        <f t="shared" si="67"/>
        <v>423.88469062500002</v>
      </c>
      <c r="AP519" s="4">
        <f t="shared" si="68"/>
        <v>618.04753406249995</v>
      </c>
      <c r="AQ519" s="10">
        <f t="shared" si="69"/>
        <v>397.38435000000004</v>
      </c>
      <c r="AR519" s="10">
        <f t="shared" si="70"/>
        <v>441.53375128500005</v>
      </c>
      <c r="AS519" s="10">
        <f t="shared" si="71"/>
        <v>618.64795608000009</v>
      </c>
    </row>
    <row r="520" spans="1:45" x14ac:dyDescent="0.3">
      <c r="A520">
        <v>2025</v>
      </c>
      <c r="B520">
        <v>9</v>
      </c>
      <c r="C520" t="s">
        <v>55</v>
      </c>
      <c r="D520">
        <v>10</v>
      </c>
      <c r="E520" t="s">
        <v>36</v>
      </c>
      <c r="F520" t="s">
        <v>37</v>
      </c>
      <c r="G520" t="s">
        <v>38</v>
      </c>
      <c r="H520" t="s">
        <v>78</v>
      </c>
      <c r="I520" t="s">
        <v>375</v>
      </c>
      <c r="J520" t="s">
        <v>376</v>
      </c>
      <c r="K520" t="s">
        <v>41</v>
      </c>
      <c r="L520" t="s">
        <v>1503</v>
      </c>
      <c r="M520" t="s">
        <v>1504</v>
      </c>
      <c r="N520" t="s">
        <v>377</v>
      </c>
      <c r="O520" t="s">
        <v>1197</v>
      </c>
      <c r="Q520" t="s">
        <v>62</v>
      </c>
      <c r="R520" t="s">
        <v>1505</v>
      </c>
      <c r="S520" t="s">
        <v>1505</v>
      </c>
      <c r="T520" t="s">
        <v>47</v>
      </c>
      <c r="U520" t="s">
        <v>118</v>
      </c>
      <c r="V520" t="s">
        <v>49</v>
      </c>
      <c r="W520" t="s">
        <v>714</v>
      </c>
      <c r="X520" t="s">
        <v>388</v>
      </c>
      <c r="Y520" t="s">
        <v>1072</v>
      </c>
      <c r="Z520" t="s">
        <v>1072</v>
      </c>
      <c r="AA520" t="s">
        <v>331</v>
      </c>
      <c r="AB520" s="3">
        <f t="shared" si="64"/>
        <v>3</v>
      </c>
      <c r="AC520">
        <v>529.41</v>
      </c>
      <c r="AD520" s="2">
        <v>176.47</v>
      </c>
      <c r="AE520" s="2">
        <v>192.51</v>
      </c>
      <c r="AF520" s="2">
        <v>4.43</v>
      </c>
      <c r="AG520" s="2">
        <v>726.35</v>
      </c>
      <c r="AH520">
        <v>0</v>
      </c>
      <c r="AI520">
        <v>242.11666666667</v>
      </c>
      <c r="AJ520">
        <v>3.6317499999999998</v>
      </c>
      <c r="AK520" t="s">
        <v>54</v>
      </c>
      <c r="AL520">
        <v>6.67</v>
      </c>
      <c r="AM520" s="4">
        <f t="shared" si="65"/>
        <v>242.11666666666667</v>
      </c>
      <c r="AN520" s="4">
        <f t="shared" si="66"/>
        <v>330.88125000000002</v>
      </c>
      <c r="AO520" s="4">
        <f t="shared" si="67"/>
        <v>367.60906875000001</v>
      </c>
      <c r="AP520" s="4">
        <f t="shared" si="68"/>
        <v>535.99453687499999</v>
      </c>
      <c r="AQ520" s="10">
        <f t="shared" si="69"/>
        <v>421.06509500000004</v>
      </c>
      <c r="AR520" s="10">
        <f t="shared" si="70"/>
        <v>467.84542705450002</v>
      </c>
      <c r="AS520" s="10">
        <f t="shared" si="71"/>
        <v>655.51413989600007</v>
      </c>
    </row>
    <row r="521" spans="1:45" x14ac:dyDescent="0.3">
      <c r="A521">
        <v>2025</v>
      </c>
      <c r="B521">
        <v>1</v>
      </c>
      <c r="C521" t="s">
        <v>55</v>
      </c>
      <c r="D521">
        <v>10</v>
      </c>
      <c r="E521" t="s">
        <v>36</v>
      </c>
      <c r="F521" t="s">
        <v>37</v>
      </c>
      <c r="G521" t="s">
        <v>38</v>
      </c>
      <c r="H521" t="s">
        <v>78</v>
      </c>
      <c r="I521" t="s">
        <v>57</v>
      </c>
      <c r="J521" t="s">
        <v>58</v>
      </c>
      <c r="K521" t="s">
        <v>59</v>
      </c>
      <c r="M521" t="s">
        <v>60</v>
      </c>
      <c r="N521" t="s">
        <v>61</v>
      </c>
      <c r="O521" t="s">
        <v>43</v>
      </c>
      <c r="Q521" t="s">
        <v>62</v>
      </c>
      <c r="R521" t="s">
        <v>63</v>
      </c>
      <c r="S521" t="s">
        <v>63</v>
      </c>
      <c r="T521" t="s">
        <v>47</v>
      </c>
      <c r="U521" t="s">
        <v>118</v>
      </c>
      <c r="V521" t="s">
        <v>49</v>
      </c>
      <c r="W521" t="s">
        <v>119</v>
      </c>
      <c r="X521" t="s">
        <v>51</v>
      </c>
      <c r="Y521" t="s">
        <v>1072</v>
      </c>
      <c r="Z521" t="s">
        <v>1072</v>
      </c>
      <c r="AA521" t="s">
        <v>331</v>
      </c>
      <c r="AB521" s="3">
        <f t="shared" si="64"/>
        <v>5</v>
      </c>
      <c r="AC521">
        <v>882.36</v>
      </c>
      <c r="AD521" s="2">
        <v>176.47200000000001</v>
      </c>
      <c r="AE521" s="2">
        <v>320.83999999999997</v>
      </c>
      <c r="AF521" s="2">
        <v>7.39</v>
      </c>
      <c r="AG521" s="2">
        <v>1210.58</v>
      </c>
      <c r="AH521">
        <v>0</v>
      </c>
      <c r="AI521">
        <v>242.11600000000001</v>
      </c>
      <c r="AJ521">
        <v>6.0529000000000002</v>
      </c>
      <c r="AK521" t="s">
        <v>54</v>
      </c>
      <c r="AL521">
        <v>11.12</v>
      </c>
      <c r="AM521" s="4">
        <f t="shared" si="65"/>
        <v>242.11599999999999</v>
      </c>
      <c r="AN521" s="4">
        <f t="shared" si="66"/>
        <v>330.88499999999999</v>
      </c>
      <c r="AO521" s="4">
        <f t="shared" si="67"/>
        <v>367.61323499999997</v>
      </c>
      <c r="AP521" s="4">
        <f t="shared" si="68"/>
        <v>536.00061149999999</v>
      </c>
      <c r="AQ521" s="10">
        <f t="shared" si="69"/>
        <v>421.06393559999998</v>
      </c>
      <c r="AR521" s="10">
        <f t="shared" si="70"/>
        <v>467.84413884515999</v>
      </c>
      <c r="AS521" s="10">
        <f t="shared" si="71"/>
        <v>655.51233494207997</v>
      </c>
    </row>
    <row r="522" spans="1:45" x14ac:dyDescent="0.3">
      <c r="A522">
        <v>2025</v>
      </c>
      <c r="B522">
        <v>3</v>
      </c>
      <c r="C522" t="s">
        <v>55</v>
      </c>
      <c r="D522">
        <v>10</v>
      </c>
      <c r="E522" t="s">
        <v>36</v>
      </c>
      <c r="F522" t="s">
        <v>37</v>
      </c>
      <c r="G522" t="s">
        <v>38</v>
      </c>
      <c r="H522" t="s">
        <v>78</v>
      </c>
      <c r="I522" t="s">
        <v>190</v>
      </c>
      <c r="J522" t="s">
        <v>58</v>
      </c>
      <c r="K522" t="s">
        <v>59</v>
      </c>
      <c r="M522" t="s">
        <v>209</v>
      </c>
      <c r="N522" t="s">
        <v>61</v>
      </c>
      <c r="O522" t="s">
        <v>43</v>
      </c>
      <c r="Q522" t="s">
        <v>62</v>
      </c>
      <c r="R522" t="s">
        <v>210</v>
      </c>
      <c r="S522" t="s">
        <v>211</v>
      </c>
      <c r="T522" t="s">
        <v>47</v>
      </c>
      <c r="U522" t="s">
        <v>118</v>
      </c>
      <c r="V522" t="s">
        <v>49</v>
      </c>
      <c r="W522" t="s">
        <v>119</v>
      </c>
      <c r="X522" t="s">
        <v>51</v>
      </c>
      <c r="Y522" t="s">
        <v>130</v>
      </c>
      <c r="Z522" t="s">
        <v>64</v>
      </c>
      <c r="AA522" t="s">
        <v>147</v>
      </c>
      <c r="AB522" s="3">
        <f t="shared" si="64"/>
        <v>6</v>
      </c>
      <c r="AC522">
        <v>1679.64</v>
      </c>
      <c r="AD522" s="2">
        <v>279.94</v>
      </c>
      <c r="AE522" s="2">
        <v>403.54</v>
      </c>
      <c r="AF522" s="2">
        <v>11.6</v>
      </c>
      <c r="AG522" s="2">
        <v>2094.7800000000002</v>
      </c>
      <c r="AH522">
        <v>0</v>
      </c>
      <c r="AI522">
        <v>349.13</v>
      </c>
      <c r="AJ522">
        <v>10.4739</v>
      </c>
      <c r="AK522" t="s">
        <v>54</v>
      </c>
      <c r="AL522">
        <v>18.03</v>
      </c>
      <c r="AM522" s="4">
        <f t="shared" si="65"/>
        <v>349.13000000000005</v>
      </c>
      <c r="AN522" s="4">
        <f t="shared" si="66"/>
        <v>524.88750000000005</v>
      </c>
      <c r="AO522" s="4">
        <f t="shared" si="67"/>
        <v>583.1500125</v>
      </c>
      <c r="AP522" s="4">
        <f t="shared" si="68"/>
        <v>850.26526124999998</v>
      </c>
      <c r="AQ522" s="10">
        <f t="shared" si="69"/>
        <v>607.17198300000007</v>
      </c>
      <c r="AR522" s="10">
        <f t="shared" si="70"/>
        <v>674.62879031130001</v>
      </c>
      <c r="AS522" s="10">
        <f t="shared" si="71"/>
        <v>945.24534313440006</v>
      </c>
    </row>
    <row r="523" spans="1:45" x14ac:dyDescent="0.3">
      <c r="A523">
        <v>2025</v>
      </c>
      <c r="B523">
        <v>3</v>
      </c>
      <c r="C523" t="s">
        <v>55</v>
      </c>
      <c r="D523">
        <v>10</v>
      </c>
      <c r="E523" t="s">
        <v>36</v>
      </c>
      <c r="F523" t="s">
        <v>37</v>
      </c>
      <c r="G523" t="s">
        <v>38</v>
      </c>
      <c r="H523" t="s">
        <v>78</v>
      </c>
      <c r="I523" t="s">
        <v>190</v>
      </c>
      <c r="J523" t="s">
        <v>58</v>
      </c>
      <c r="K523" t="s">
        <v>59</v>
      </c>
      <c r="M523" t="s">
        <v>213</v>
      </c>
      <c r="N523" t="s">
        <v>61</v>
      </c>
      <c r="O523" t="s">
        <v>43</v>
      </c>
      <c r="Q523" t="s">
        <v>62</v>
      </c>
      <c r="R523" t="s">
        <v>214</v>
      </c>
      <c r="S523" t="s">
        <v>215</v>
      </c>
      <c r="T523" t="s">
        <v>47</v>
      </c>
      <c r="U523" t="s">
        <v>118</v>
      </c>
      <c r="V523" t="s">
        <v>49</v>
      </c>
      <c r="W523" t="s">
        <v>119</v>
      </c>
      <c r="X523" t="s">
        <v>51</v>
      </c>
      <c r="Y523" t="s">
        <v>130</v>
      </c>
      <c r="Z523" t="s">
        <v>64</v>
      </c>
      <c r="AA523" t="s">
        <v>147</v>
      </c>
      <c r="AB523" s="3">
        <f t="shared" si="64"/>
        <v>8</v>
      </c>
      <c r="AC523">
        <v>2203.4699999999998</v>
      </c>
      <c r="AD523" s="2">
        <v>275.43374999999997</v>
      </c>
      <c r="AE523" s="2">
        <v>492.18</v>
      </c>
      <c r="AF523" s="2">
        <v>16.14</v>
      </c>
      <c r="AG523" s="2">
        <v>2711.8</v>
      </c>
      <c r="AH523">
        <v>0</v>
      </c>
      <c r="AI523">
        <v>338.97500000000002</v>
      </c>
      <c r="AJ523">
        <v>13.558999999999999</v>
      </c>
      <c r="AK523" t="s">
        <v>54</v>
      </c>
      <c r="AL523">
        <v>17.62</v>
      </c>
      <c r="AM523" s="4">
        <f t="shared" si="65"/>
        <v>338.97500000000002</v>
      </c>
      <c r="AN523" s="4">
        <f t="shared" si="66"/>
        <v>516.43828124999993</v>
      </c>
      <c r="AO523" s="4">
        <f t="shared" si="67"/>
        <v>573.76293046874991</v>
      </c>
      <c r="AP523" s="4">
        <f t="shared" si="68"/>
        <v>836.57837179687488</v>
      </c>
      <c r="AQ523" s="10">
        <f t="shared" si="69"/>
        <v>589.51142250000009</v>
      </c>
      <c r="AR523" s="10">
        <f t="shared" si="70"/>
        <v>655.00614153975005</v>
      </c>
      <c r="AS523" s="10">
        <f t="shared" si="71"/>
        <v>917.75138254800015</v>
      </c>
    </row>
    <row r="524" spans="1:45" x14ac:dyDescent="0.3">
      <c r="A524">
        <v>2025</v>
      </c>
      <c r="B524">
        <v>3</v>
      </c>
      <c r="C524" t="s">
        <v>55</v>
      </c>
      <c r="D524">
        <v>10</v>
      </c>
      <c r="E524" t="s">
        <v>36</v>
      </c>
      <c r="F524" t="s">
        <v>37</v>
      </c>
      <c r="G524" t="s">
        <v>38</v>
      </c>
      <c r="H524" t="s">
        <v>78</v>
      </c>
      <c r="I524" t="s">
        <v>190</v>
      </c>
      <c r="J524" t="s">
        <v>58</v>
      </c>
      <c r="K524" t="s">
        <v>59</v>
      </c>
      <c r="M524" t="s">
        <v>213</v>
      </c>
      <c r="N524" t="s">
        <v>61</v>
      </c>
      <c r="O524" t="s">
        <v>43</v>
      </c>
      <c r="Q524" t="s">
        <v>62</v>
      </c>
      <c r="R524" t="s">
        <v>214</v>
      </c>
      <c r="S524" t="s">
        <v>215</v>
      </c>
      <c r="T524" t="s">
        <v>47</v>
      </c>
      <c r="U524" t="s">
        <v>118</v>
      </c>
      <c r="V524" t="s">
        <v>49</v>
      </c>
      <c r="W524" t="s">
        <v>119</v>
      </c>
      <c r="X524" t="s">
        <v>51</v>
      </c>
      <c r="Y524" t="s">
        <v>130</v>
      </c>
      <c r="Z524" t="s">
        <v>64</v>
      </c>
      <c r="AA524" t="s">
        <v>147</v>
      </c>
      <c r="AB524" s="3">
        <f t="shared" si="64"/>
        <v>2</v>
      </c>
      <c r="AC524">
        <v>561.55999999999995</v>
      </c>
      <c r="AD524" s="2">
        <v>280.77999999999997</v>
      </c>
      <c r="AE524" s="2">
        <v>117.85</v>
      </c>
      <c r="AF524" s="2">
        <v>4.16</v>
      </c>
      <c r="AG524" s="2">
        <v>683.56</v>
      </c>
      <c r="AH524">
        <v>0</v>
      </c>
      <c r="AI524">
        <v>341.78</v>
      </c>
      <c r="AJ524">
        <v>3.4178000000000002</v>
      </c>
      <c r="AK524" t="s">
        <v>54</v>
      </c>
      <c r="AL524">
        <v>3.89</v>
      </c>
      <c r="AM524" s="4">
        <f t="shared" si="65"/>
        <v>341.78</v>
      </c>
      <c r="AN524" s="4">
        <f t="shared" si="66"/>
        <v>526.46249999999998</v>
      </c>
      <c r="AO524" s="4">
        <f t="shared" si="67"/>
        <v>584.89983749999999</v>
      </c>
      <c r="AP524" s="4">
        <f t="shared" si="68"/>
        <v>852.8166037499999</v>
      </c>
      <c r="AQ524" s="10">
        <f t="shared" si="69"/>
        <v>594.38959799999998</v>
      </c>
      <c r="AR524" s="10">
        <f t="shared" si="70"/>
        <v>660.42628233779999</v>
      </c>
      <c r="AS524" s="10">
        <f t="shared" si="71"/>
        <v>925.34572616639991</v>
      </c>
    </row>
    <row r="525" spans="1:45" x14ac:dyDescent="0.3">
      <c r="A525">
        <v>2025</v>
      </c>
      <c r="B525">
        <v>7</v>
      </c>
      <c r="C525" t="s">
        <v>55</v>
      </c>
      <c r="D525">
        <v>10</v>
      </c>
      <c r="E525" t="s">
        <v>36</v>
      </c>
      <c r="F525" t="s">
        <v>37</v>
      </c>
      <c r="G525" t="s">
        <v>38</v>
      </c>
      <c r="H525" t="s">
        <v>78</v>
      </c>
      <c r="I525" t="s">
        <v>190</v>
      </c>
      <c r="J525" t="s">
        <v>58</v>
      </c>
      <c r="K525" t="s">
        <v>41</v>
      </c>
      <c r="L525" t="s">
        <v>953</v>
      </c>
      <c r="M525" t="s">
        <v>954</v>
      </c>
      <c r="N525" t="s">
        <v>731</v>
      </c>
      <c r="O525" t="s">
        <v>36</v>
      </c>
      <c r="Q525" t="s">
        <v>62</v>
      </c>
      <c r="R525" t="s">
        <v>955</v>
      </c>
      <c r="S525" t="s">
        <v>956</v>
      </c>
      <c r="T525" t="s">
        <v>47</v>
      </c>
      <c r="U525" t="s">
        <v>476</v>
      </c>
      <c r="V525" t="s">
        <v>49</v>
      </c>
      <c r="W525" t="s">
        <v>708</v>
      </c>
      <c r="X525" t="s">
        <v>51</v>
      </c>
      <c r="Y525" t="s">
        <v>130</v>
      </c>
      <c r="Z525" t="s">
        <v>64</v>
      </c>
      <c r="AA525" t="s">
        <v>147</v>
      </c>
      <c r="AB525" s="3">
        <f t="shared" si="64"/>
        <v>6.0000000000000009</v>
      </c>
      <c r="AC525">
        <v>1684.68</v>
      </c>
      <c r="AD525" s="2">
        <v>280.77999999999997</v>
      </c>
      <c r="AE525" s="2">
        <v>353.54</v>
      </c>
      <c r="AF525" s="2">
        <v>12.47</v>
      </c>
      <c r="AG525" s="2">
        <v>2050.69</v>
      </c>
      <c r="AH525">
        <v>0</v>
      </c>
      <c r="AI525">
        <v>341.78166666666999</v>
      </c>
      <c r="AJ525">
        <v>10.253450000000001</v>
      </c>
      <c r="AK525" t="s">
        <v>54</v>
      </c>
      <c r="AL525">
        <v>11.66</v>
      </c>
      <c r="AM525" s="4">
        <f t="shared" si="65"/>
        <v>341.78166666666664</v>
      </c>
      <c r="AN525" s="4">
        <f t="shared" si="66"/>
        <v>526.46249999999998</v>
      </c>
      <c r="AO525" s="4">
        <f t="shared" si="67"/>
        <v>584.89983749999999</v>
      </c>
      <c r="AP525" s="4">
        <f t="shared" si="68"/>
        <v>852.8166037499999</v>
      </c>
      <c r="AQ525" s="10">
        <f t="shared" si="69"/>
        <v>594.39249649999999</v>
      </c>
      <c r="AR525" s="10">
        <f t="shared" si="70"/>
        <v>660.42950286115001</v>
      </c>
      <c r="AS525" s="10">
        <f t="shared" si="71"/>
        <v>925.35023855119994</v>
      </c>
    </row>
    <row r="526" spans="1:45" x14ac:dyDescent="0.3">
      <c r="A526">
        <v>2025</v>
      </c>
      <c r="B526">
        <v>7</v>
      </c>
      <c r="C526" t="s">
        <v>55</v>
      </c>
      <c r="D526">
        <v>10</v>
      </c>
      <c r="E526" t="s">
        <v>36</v>
      </c>
      <c r="F526" t="s">
        <v>37</v>
      </c>
      <c r="G526" t="s">
        <v>38</v>
      </c>
      <c r="H526" t="s">
        <v>78</v>
      </c>
      <c r="I526" t="s">
        <v>190</v>
      </c>
      <c r="J526" t="s">
        <v>58</v>
      </c>
      <c r="K526" t="s">
        <v>41</v>
      </c>
      <c r="L526" t="s">
        <v>953</v>
      </c>
      <c r="M526" t="s">
        <v>954</v>
      </c>
      <c r="N526" t="s">
        <v>731</v>
      </c>
      <c r="O526" t="s">
        <v>36</v>
      </c>
      <c r="Q526" t="s">
        <v>62</v>
      </c>
      <c r="R526" t="s">
        <v>955</v>
      </c>
      <c r="S526" t="s">
        <v>956</v>
      </c>
      <c r="T526" t="s">
        <v>47</v>
      </c>
      <c r="U526" t="s">
        <v>118</v>
      </c>
      <c r="V526" t="s">
        <v>49</v>
      </c>
      <c r="W526" t="s">
        <v>714</v>
      </c>
      <c r="X526" t="s">
        <v>51</v>
      </c>
      <c r="Y526" t="s">
        <v>1072</v>
      </c>
      <c r="Z526" t="s">
        <v>1072</v>
      </c>
      <c r="AA526" t="s">
        <v>147</v>
      </c>
      <c r="AB526" s="3">
        <f t="shared" si="64"/>
        <v>1</v>
      </c>
      <c r="AC526">
        <v>226.26</v>
      </c>
      <c r="AD526" s="2">
        <v>226.26</v>
      </c>
      <c r="AE526" s="2">
        <v>29.4</v>
      </c>
      <c r="AF526" s="2">
        <v>1.58</v>
      </c>
      <c r="AG526" s="2">
        <v>256.88</v>
      </c>
      <c r="AH526">
        <v>0</v>
      </c>
      <c r="AI526">
        <v>256.88</v>
      </c>
      <c r="AJ526">
        <v>1.2844</v>
      </c>
      <c r="AK526" t="s">
        <v>54</v>
      </c>
      <c r="AL526">
        <v>2.17</v>
      </c>
      <c r="AM526" s="4">
        <f t="shared" si="65"/>
        <v>256.88</v>
      </c>
      <c r="AN526" s="4">
        <f t="shared" si="66"/>
        <v>424.23749999999995</v>
      </c>
      <c r="AO526" s="4">
        <f t="shared" si="67"/>
        <v>471.32786249999992</v>
      </c>
      <c r="AP526" s="4">
        <f t="shared" si="68"/>
        <v>687.22232624999992</v>
      </c>
      <c r="AQ526" s="10">
        <f t="shared" si="69"/>
        <v>446.74000799999999</v>
      </c>
      <c r="AR526" s="10">
        <f t="shared" si="70"/>
        <v>496.37282288879999</v>
      </c>
      <c r="AS526" s="10">
        <f t="shared" si="71"/>
        <v>695.48484445439999</v>
      </c>
    </row>
    <row r="527" spans="1:45" x14ac:dyDescent="0.3">
      <c r="A527">
        <v>2025</v>
      </c>
      <c r="B527">
        <v>10</v>
      </c>
      <c r="C527" t="s">
        <v>55</v>
      </c>
      <c r="D527">
        <v>10</v>
      </c>
      <c r="E527" t="s">
        <v>36</v>
      </c>
      <c r="F527" t="s">
        <v>37</v>
      </c>
      <c r="G527" t="s">
        <v>38</v>
      </c>
      <c r="H527" t="s">
        <v>78</v>
      </c>
      <c r="I527" t="s">
        <v>375</v>
      </c>
      <c r="J527" t="s">
        <v>376</v>
      </c>
      <c r="K527" t="s">
        <v>59</v>
      </c>
      <c r="L527" t="s">
        <v>1549</v>
      </c>
      <c r="M527" t="s">
        <v>1550</v>
      </c>
      <c r="N527" t="s">
        <v>1551</v>
      </c>
      <c r="O527" t="s">
        <v>1197</v>
      </c>
      <c r="Q527" t="s">
        <v>62</v>
      </c>
      <c r="R527" t="s">
        <v>1552</v>
      </c>
      <c r="S527" t="s">
        <v>1552</v>
      </c>
      <c r="T527" t="s">
        <v>47</v>
      </c>
      <c r="U527" t="s">
        <v>118</v>
      </c>
      <c r="V527" t="s">
        <v>49</v>
      </c>
      <c r="W527" t="s">
        <v>714</v>
      </c>
      <c r="X527" t="s">
        <v>51</v>
      </c>
      <c r="Y527" t="s">
        <v>1072</v>
      </c>
      <c r="Z527" t="s">
        <v>1072</v>
      </c>
      <c r="AA527" t="s">
        <v>147</v>
      </c>
      <c r="AB527" s="3">
        <f t="shared" si="64"/>
        <v>1</v>
      </c>
      <c r="AC527">
        <v>226.26</v>
      </c>
      <c r="AD527" s="2">
        <v>226.26</v>
      </c>
      <c r="AE527" s="2">
        <v>29.4</v>
      </c>
      <c r="AF527" s="2">
        <v>1.58</v>
      </c>
      <c r="AG527" s="2">
        <v>256.88</v>
      </c>
      <c r="AH527">
        <v>0</v>
      </c>
      <c r="AI527">
        <v>256.88</v>
      </c>
      <c r="AJ527">
        <v>1.2844</v>
      </c>
      <c r="AK527" t="s">
        <v>54</v>
      </c>
      <c r="AL527">
        <v>2.17</v>
      </c>
      <c r="AM527" s="4">
        <f t="shared" si="65"/>
        <v>256.88</v>
      </c>
      <c r="AN527" s="4">
        <f t="shared" si="66"/>
        <v>424.23749999999995</v>
      </c>
      <c r="AO527" s="4">
        <f t="shared" si="67"/>
        <v>471.32786249999992</v>
      </c>
      <c r="AP527" s="4">
        <f t="shared" si="68"/>
        <v>687.22232624999992</v>
      </c>
      <c r="AQ527" s="10">
        <f t="shared" si="69"/>
        <v>446.74000799999999</v>
      </c>
      <c r="AR527" s="10">
        <f t="shared" si="70"/>
        <v>496.37282288879999</v>
      </c>
      <c r="AS527" s="10">
        <f t="shared" si="71"/>
        <v>695.48484445439999</v>
      </c>
    </row>
    <row r="528" spans="1:45" x14ac:dyDescent="0.3">
      <c r="A528">
        <v>2025</v>
      </c>
      <c r="B528">
        <v>1</v>
      </c>
      <c r="C528" t="s">
        <v>55</v>
      </c>
      <c r="D528">
        <v>10</v>
      </c>
      <c r="E528" t="s">
        <v>36</v>
      </c>
      <c r="F528" t="s">
        <v>37</v>
      </c>
      <c r="G528" t="s">
        <v>38</v>
      </c>
      <c r="H528" t="s">
        <v>78</v>
      </c>
      <c r="I528" t="s">
        <v>57</v>
      </c>
      <c r="J528" t="s">
        <v>58</v>
      </c>
      <c r="K528" t="s">
        <v>59</v>
      </c>
      <c r="M528" t="s">
        <v>60</v>
      </c>
      <c r="N528" t="s">
        <v>61</v>
      </c>
      <c r="O528" t="s">
        <v>43</v>
      </c>
      <c r="Q528" t="s">
        <v>62</v>
      </c>
      <c r="R528" t="s">
        <v>63</v>
      </c>
      <c r="S528" t="s">
        <v>63</v>
      </c>
      <c r="T528" t="s">
        <v>47</v>
      </c>
      <c r="U528" t="s">
        <v>118</v>
      </c>
      <c r="V528" t="s">
        <v>49</v>
      </c>
      <c r="W528" t="s">
        <v>119</v>
      </c>
      <c r="X528" t="s">
        <v>51</v>
      </c>
      <c r="Y528" t="s">
        <v>1072</v>
      </c>
      <c r="Z528" t="s">
        <v>1072</v>
      </c>
      <c r="AA528" t="s">
        <v>147</v>
      </c>
      <c r="AB528" s="3">
        <f t="shared" si="64"/>
        <v>4</v>
      </c>
      <c r="AC528">
        <v>959.18</v>
      </c>
      <c r="AD528" s="2">
        <v>239.79499999999999</v>
      </c>
      <c r="AE528" s="2">
        <v>438.42</v>
      </c>
      <c r="AF528" s="2">
        <v>8.5500000000000007</v>
      </c>
      <c r="AG528" s="2">
        <v>1406.15</v>
      </c>
      <c r="AH528">
        <v>0</v>
      </c>
      <c r="AI528">
        <v>351.53750000000002</v>
      </c>
      <c r="AJ528">
        <v>7.0307500000000003</v>
      </c>
      <c r="AK528" t="s">
        <v>54</v>
      </c>
      <c r="AL528">
        <v>19.850000000000001</v>
      </c>
      <c r="AM528" s="4">
        <f t="shared" si="65"/>
        <v>351.53750000000002</v>
      </c>
      <c r="AN528" s="4">
        <f t="shared" si="66"/>
        <v>449.61562499999997</v>
      </c>
      <c r="AO528" s="4">
        <f t="shared" si="67"/>
        <v>499.52295937499997</v>
      </c>
      <c r="AP528" s="4">
        <f t="shared" si="68"/>
        <v>728.33235093749988</v>
      </c>
      <c r="AQ528" s="10">
        <f t="shared" si="69"/>
        <v>611.35886625000012</v>
      </c>
      <c r="AR528" s="10">
        <f t="shared" si="70"/>
        <v>679.28083629037508</v>
      </c>
      <c r="AS528" s="10">
        <f t="shared" si="71"/>
        <v>951.76348297800018</v>
      </c>
    </row>
    <row r="529" spans="1:45" x14ac:dyDescent="0.3">
      <c r="A529">
        <v>2025</v>
      </c>
      <c r="B529">
        <v>1</v>
      </c>
      <c r="C529" t="s">
        <v>55</v>
      </c>
      <c r="D529">
        <v>10</v>
      </c>
      <c r="E529" t="s">
        <v>36</v>
      </c>
      <c r="F529" t="s">
        <v>37</v>
      </c>
      <c r="G529" t="s">
        <v>38</v>
      </c>
      <c r="H529" t="s">
        <v>78</v>
      </c>
      <c r="I529" t="s">
        <v>57</v>
      </c>
      <c r="J529" t="s">
        <v>58</v>
      </c>
      <c r="K529" t="s">
        <v>59</v>
      </c>
      <c r="M529" t="s">
        <v>60</v>
      </c>
      <c r="N529" t="s">
        <v>61</v>
      </c>
      <c r="O529" t="s">
        <v>43</v>
      </c>
      <c r="Q529" t="s">
        <v>62</v>
      </c>
      <c r="R529" t="s">
        <v>63</v>
      </c>
      <c r="S529" t="s">
        <v>63</v>
      </c>
      <c r="T529" t="s">
        <v>47</v>
      </c>
      <c r="U529" t="s">
        <v>118</v>
      </c>
      <c r="V529" t="s">
        <v>49</v>
      </c>
      <c r="W529" t="s">
        <v>119</v>
      </c>
      <c r="X529" t="s">
        <v>51</v>
      </c>
      <c r="Y529" t="s">
        <v>130</v>
      </c>
      <c r="Z529" t="s">
        <v>64</v>
      </c>
      <c r="AA529" t="s">
        <v>131</v>
      </c>
      <c r="AB529" s="3">
        <f t="shared" si="64"/>
        <v>2.9999999999999836</v>
      </c>
      <c r="AC529">
        <v>1801.4</v>
      </c>
      <c r="AD529" s="2">
        <v>600.46666666666999</v>
      </c>
      <c r="AE529" s="2">
        <v>432.8</v>
      </c>
      <c r="AF529" s="2">
        <v>12.44</v>
      </c>
      <c r="AG529" s="2">
        <v>2246.64</v>
      </c>
      <c r="AH529">
        <v>0</v>
      </c>
      <c r="AI529">
        <v>748.88</v>
      </c>
      <c r="AJ529">
        <v>11.2332</v>
      </c>
      <c r="AK529" t="s">
        <v>54</v>
      </c>
      <c r="AL529">
        <v>9.02</v>
      </c>
      <c r="AM529" s="4">
        <f t="shared" si="65"/>
        <v>748.88000000000409</v>
      </c>
      <c r="AN529" s="4">
        <f t="shared" si="66"/>
        <v>1125.8750000000061</v>
      </c>
      <c r="AO529" s="4">
        <f t="shared" si="67"/>
        <v>1250.8471250000068</v>
      </c>
      <c r="AP529" s="4">
        <f t="shared" si="68"/>
        <v>1823.8049125000098</v>
      </c>
      <c r="AQ529" s="10">
        <f t="shared" si="69"/>
        <v>1302.3772080000072</v>
      </c>
      <c r="AR529" s="10">
        <f t="shared" si="70"/>
        <v>1447.0713158088079</v>
      </c>
      <c r="AS529" s="10">
        <f t="shared" si="71"/>
        <v>2027.540837414411</v>
      </c>
    </row>
    <row r="530" spans="1:45" x14ac:dyDescent="0.3">
      <c r="A530">
        <v>2025</v>
      </c>
      <c r="B530">
        <v>3</v>
      </c>
      <c r="C530" t="s">
        <v>55</v>
      </c>
      <c r="D530">
        <v>10</v>
      </c>
      <c r="E530" t="s">
        <v>36</v>
      </c>
      <c r="F530" t="s">
        <v>37</v>
      </c>
      <c r="G530" t="s">
        <v>38</v>
      </c>
      <c r="H530" t="s">
        <v>78</v>
      </c>
      <c r="I530" t="s">
        <v>190</v>
      </c>
      <c r="J530" t="s">
        <v>58</v>
      </c>
      <c r="K530" t="s">
        <v>59</v>
      </c>
      <c r="M530" t="s">
        <v>209</v>
      </c>
      <c r="N530" t="s">
        <v>61</v>
      </c>
      <c r="O530" t="s">
        <v>43</v>
      </c>
      <c r="Q530" t="s">
        <v>62</v>
      </c>
      <c r="R530" t="s">
        <v>210</v>
      </c>
      <c r="S530" t="s">
        <v>211</v>
      </c>
      <c r="T530" t="s">
        <v>47</v>
      </c>
      <c r="U530" t="s">
        <v>118</v>
      </c>
      <c r="V530" t="s">
        <v>49</v>
      </c>
      <c r="W530" t="s">
        <v>119</v>
      </c>
      <c r="X530" t="s">
        <v>51</v>
      </c>
      <c r="Y530" t="s">
        <v>130</v>
      </c>
      <c r="Z530" t="s">
        <v>64</v>
      </c>
      <c r="AA530" t="s">
        <v>131</v>
      </c>
      <c r="AB530" s="3">
        <f t="shared" si="64"/>
        <v>4</v>
      </c>
      <c r="AC530">
        <v>2401.86</v>
      </c>
      <c r="AD530" s="2">
        <v>600.46500000000003</v>
      </c>
      <c r="AE530" s="2">
        <v>577.07000000000005</v>
      </c>
      <c r="AF530" s="2">
        <v>16.59</v>
      </c>
      <c r="AG530" s="2">
        <v>2995.52</v>
      </c>
      <c r="AH530">
        <v>0</v>
      </c>
      <c r="AI530">
        <v>748.88</v>
      </c>
      <c r="AJ530">
        <v>14.977600000000001</v>
      </c>
      <c r="AK530" t="s">
        <v>54</v>
      </c>
      <c r="AL530">
        <v>12.03</v>
      </c>
      <c r="AM530" s="4">
        <f t="shared" si="65"/>
        <v>748.88</v>
      </c>
      <c r="AN530" s="4">
        <f t="shared" si="66"/>
        <v>1125.871875</v>
      </c>
      <c r="AO530" s="4">
        <f t="shared" si="67"/>
        <v>1250.8436531249999</v>
      </c>
      <c r="AP530" s="4">
        <f t="shared" si="68"/>
        <v>1823.7998503125</v>
      </c>
      <c r="AQ530" s="10">
        <f t="shared" si="69"/>
        <v>1302.3772080000001</v>
      </c>
      <c r="AR530" s="10">
        <f t="shared" si="70"/>
        <v>1447.0713158088001</v>
      </c>
      <c r="AS530" s="10">
        <f t="shared" si="71"/>
        <v>2027.5408374144001</v>
      </c>
    </row>
    <row r="531" spans="1:45" x14ac:dyDescent="0.3">
      <c r="A531">
        <v>2025</v>
      </c>
      <c r="B531">
        <v>4</v>
      </c>
      <c r="C531" t="s">
        <v>55</v>
      </c>
      <c r="D531">
        <v>10</v>
      </c>
      <c r="E531" t="s">
        <v>36</v>
      </c>
      <c r="F531" t="s">
        <v>37</v>
      </c>
      <c r="G531" t="s">
        <v>38</v>
      </c>
      <c r="H531" t="s">
        <v>78</v>
      </c>
      <c r="I531" t="s">
        <v>375</v>
      </c>
      <c r="J531" t="s">
        <v>376</v>
      </c>
      <c r="K531" t="s">
        <v>59</v>
      </c>
      <c r="M531">
        <v>2503061</v>
      </c>
      <c r="N531" t="s">
        <v>377</v>
      </c>
      <c r="O531" t="s">
        <v>36</v>
      </c>
      <c r="Q531" t="s">
        <v>62</v>
      </c>
      <c r="R531" t="s">
        <v>378</v>
      </c>
      <c r="S531" t="s">
        <v>378</v>
      </c>
      <c r="T531" t="s">
        <v>47</v>
      </c>
      <c r="U531" t="s">
        <v>118</v>
      </c>
      <c r="V531" t="s">
        <v>49</v>
      </c>
      <c r="W531" t="s">
        <v>119</v>
      </c>
      <c r="X531" t="s">
        <v>51</v>
      </c>
      <c r="Y531" t="s">
        <v>130</v>
      </c>
      <c r="Z531" t="s">
        <v>64</v>
      </c>
      <c r="AA531" t="s">
        <v>131</v>
      </c>
      <c r="AB531" s="3">
        <f t="shared" si="64"/>
        <v>4</v>
      </c>
      <c r="AC531">
        <v>2372.02</v>
      </c>
      <c r="AD531" s="2">
        <v>593.005</v>
      </c>
      <c r="AE531" s="2">
        <v>529.83000000000004</v>
      </c>
      <c r="AF531" s="2">
        <v>17.38</v>
      </c>
      <c r="AG531" s="2">
        <v>2919.22</v>
      </c>
      <c r="AH531">
        <v>0</v>
      </c>
      <c r="AI531">
        <v>729.80499999999995</v>
      </c>
      <c r="AJ531">
        <v>14.5961</v>
      </c>
      <c r="AK531" t="s">
        <v>54</v>
      </c>
      <c r="AL531">
        <v>8.81</v>
      </c>
      <c r="AM531" s="4">
        <f t="shared" si="65"/>
        <v>729.80499999999995</v>
      </c>
      <c r="AN531" s="4">
        <f t="shared" si="66"/>
        <v>1111.8843750000001</v>
      </c>
      <c r="AO531" s="4">
        <f t="shared" si="67"/>
        <v>1235.3035406250001</v>
      </c>
      <c r="AP531" s="4">
        <f t="shared" si="68"/>
        <v>1801.1414990625001</v>
      </c>
      <c r="AQ531" s="10">
        <f t="shared" si="69"/>
        <v>1269.2038754999999</v>
      </c>
      <c r="AR531" s="10">
        <f t="shared" si="70"/>
        <v>1410.2124260680498</v>
      </c>
      <c r="AS531" s="10">
        <f t="shared" si="71"/>
        <v>1975.8965933783998</v>
      </c>
    </row>
    <row r="532" spans="1:45" x14ac:dyDescent="0.3">
      <c r="A532">
        <v>2025</v>
      </c>
      <c r="B532">
        <v>1</v>
      </c>
      <c r="C532" t="s">
        <v>35</v>
      </c>
      <c r="D532">
        <v>10</v>
      </c>
      <c r="E532" t="s">
        <v>36</v>
      </c>
      <c r="F532" t="s">
        <v>37</v>
      </c>
      <c r="G532" t="s">
        <v>38</v>
      </c>
      <c r="H532" t="s">
        <v>56</v>
      </c>
      <c r="J532" t="s">
        <v>40</v>
      </c>
      <c r="K532" t="s">
        <v>41</v>
      </c>
      <c r="M532">
        <v>431845</v>
      </c>
      <c r="N532" t="s">
        <v>42</v>
      </c>
      <c r="O532" t="s">
        <v>43</v>
      </c>
      <c r="Q532" t="s">
        <v>44</v>
      </c>
      <c r="R532" t="s">
        <v>45</v>
      </c>
      <c r="S532" t="s">
        <v>46</v>
      </c>
      <c r="T532" t="s">
        <v>47</v>
      </c>
      <c r="U532" t="s">
        <v>72</v>
      </c>
      <c r="V532" t="s">
        <v>49</v>
      </c>
      <c r="W532" t="s">
        <v>73</v>
      </c>
      <c r="X532" t="s">
        <v>51</v>
      </c>
      <c r="Y532" t="s">
        <v>130</v>
      </c>
      <c r="Z532" t="s">
        <v>130</v>
      </c>
      <c r="AA532" t="s">
        <v>131</v>
      </c>
      <c r="AB532" s="3">
        <f t="shared" si="64"/>
        <v>2</v>
      </c>
      <c r="AC532">
        <v>1159.4100000000001</v>
      </c>
      <c r="AD532" s="2">
        <v>579.70500000000004</v>
      </c>
      <c r="AE532" s="2">
        <v>30.17</v>
      </c>
      <c r="AF532" s="2">
        <v>8.2799999999999994</v>
      </c>
      <c r="AG532" s="2">
        <v>1197.8699999999999</v>
      </c>
      <c r="AH532">
        <v>0</v>
      </c>
      <c r="AI532">
        <v>598.93499999999995</v>
      </c>
      <c r="AJ532">
        <v>5.98935</v>
      </c>
      <c r="AK532" t="s">
        <v>54</v>
      </c>
      <c r="AL532">
        <v>1.44</v>
      </c>
      <c r="AM532" s="4">
        <f t="shared" si="65"/>
        <v>598.93499999999995</v>
      </c>
      <c r="AN532" s="4">
        <f t="shared" si="66"/>
        <v>1086.9468750000001</v>
      </c>
      <c r="AO532" s="4">
        <f t="shared" si="67"/>
        <v>1207.5979781250001</v>
      </c>
      <c r="AP532" s="4">
        <f t="shared" si="68"/>
        <v>1760.7452428125</v>
      </c>
      <c r="AQ532" s="10">
        <f t="shared" si="69"/>
        <v>1041.6078585</v>
      </c>
      <c r="AR532" s="10">
        <f t="shared" si="70"/>
        <v>1157.3304915793501</v>
      </c>
      <c r="AS532" s="10">
        <f t="shared" si="71"/>
        <v>1621.5751141128001</v>
      </c>
    </row>
    <row r="533" spans="1:45" x14ac:dyDescent="0.3">
      <c r="A533">
        <v>2025</v>
      </c>
      <c r="B533">
        <v>5</v>
      </c>
      <c r="C533" t="s">
        <v>35</v>
      </c>
      <c r="D533">
        <v>10</v>
      </c>
      <c r="E533" t="s">
        <v>36</v>
      </c>
      <c r="F533" t="s">
        <v>37</v>
      </c>
      <c r="G533" t="s">
        <v>38</v>
      </c>
      <c r="H533" t="s">
        <v>56</v>
      </c>
      <c r="I533" t="s">
        <v>190</v>
      </c>
      <c r="J533" t="s">
        <v>40</v>
      </c>
      <c r="K533" t="s">
        <v>59</v>
      </c>
      <c r="M533">
        <v>442936</v>
      </c>
      <c r="N533" t="s">
        <v>42</v>
      </c>
      <c r="O533" t="s">
        <v>36</v>
      </c>
      <c r="P533" t="s">
        <v>191</v>
      </c>
      <c r="Q533" t="s">
        <v>44</v>
      </c>
      <c r="R533" t="s">
        <v>672</v>
      </c>
      <c r="S533" t="s">
        <v>673</v>
      </c>
      <c r="T533" t="s">
        <v>47</v>
      </c>
      <c r="U533" t="s">
        <v>72</v>
      </c>
      <c r="V533" t="s">
        <v>49</v>
      </c>
      <c r="W533" t="s">
        <v>73</v>
      </c>
      <c r="X533" t="s">
        <v>51</v>
      </c>
      <c r="Y533" t="s">
        <v>74</v>
      </c>
      <c r="Z533" t="s">
        <v>74</v>
      </c>
      <c r="AA533" t="s">
        <v>75</v>
      </c>
      <c r="AB533" s="3">
        <f t="shared" si="64"/>
        <v>6.0000000000000471</v>
      </c>
      <c r="AC533">
        <v>2549.9</v>
      </c>
      <c r="AD533" s="2">
        <v>424.98333333332999</v>
      </c>
      <c r="AE533" s="2">
        <v>121.29</v>
      </c>
      <c r="AF533" s="2">
        <v>16.68</v>
      </c>
      <c r="AG533" s="2">
        <v>2687.86</v>
      </c>
      <c r="AH533">
        <v>0</v>
      </c>
      <c r="AI533">
        <v>447.97666666666998</v>
      </c>
      <c r="AJ533">
        <v>13.439299999999999</v>
      </c>
      <c r="AK533" t="s">
        <v>54</v>
      </c>
      <c r="AL533">
        <v>241.67</v>
      </c>
      <c r="AM533" s="4">
        <f t="shared" si="65"/>
        <v>447.97666666666316</v>
      </c>
      <c r="AN533" s="4">
        <f t="shared" si="66"/>
        <v>796.84374999999375</v>
      </c>
      <c r="AO533" s="4">
        <f t="shared" si="67"/>
        <v>885.29340624999304</v>
      </c>
      <c r="AP533" s="4">
        <f t="shared" si="68"/>
        <v>1290.8071906249897</v>
      </c>
      <c r="AQ533" s="10">
        <f t="shared" si="69"/>
        <v>779.07622099999389</v>
      </c>
      <c r="AR533" s="10">
        <f t="shared" si="70"/>
        <v>865.63158915309316</v>
      </c>
      <c r="AS533" s="10">
        <f t="shared" si="71"/>
        <v>1212.8658608527905</v>
      </c>
    </row>
    <row r="534" spans="1:45" x14ac:dyDescent="0.3">
      <c r="A534">
        <v>2025</v>
      </c>
      <c r="B534">
        <v>5</v>
      </c>
      <c r="C534" t="s">
        <v>35</v>
      </c>
      <c r="D534">
        <v>10</v>
      </c>
      <c r="E534" t="s">
        <v>36</v>
      </c>
      <c r="F534" t="s">
        <v>37</v>
      </c>
      <c r="G534" t="s">
        <v>38</v>
      </c>
      <c r="H534" t="s">
        <v>56</v>
      </c>
      <c r="I534" t="s">
        <v>190</v>
      </c>
      <c r="J534" t="s">
        <v>40</v>
      </c>
      <c r="K534" t="s">
        <v>59</v>
      </c>
      <c r="M534">
        <v>442936</v>
      </c>
      <c r="N534" t="s">
        <v>42</v>
      </c>
      <c r="O534" t="s">
        <v>36</v>
      </c>
      <c r="P534" t="s">
        <v>191</v>
      </c>
      <c r="Q534" t="s">
        <v>44</v>
      </c>
      <c r="R534" t="s">
        <v>672</v>
      </c>
      <c r="S534" t="s">
        <v>673</v>
      </c>
      <c r="T534" t="s">
        <v>47</v>
      </c>
      <c r="U534" t="s">
        <v>72</v>
      </c>
      <c r="V534" t="s">
        <v>49</v>
      </c>
      <c r="W534" t="s">
        <v>73</v>
      </c>
      <c r="X534" t="s">
        <v>51</v>
      </c>
      <c r="Y534" t="s">
        <v>74</v>
      </c>
      <c r="Z534" t="s">
        <v>74</v>
      </c>
      <c r="AA534" t="s">
        <v>75</v>
      </c>
      <c r="AB534" s="3">
        <f t="shared" si="64"/>
        <v>14.890000000000121</v>
      </c>
      <c r="AC534">
        <v>481.2</v>
      </c>
      <c r="AD534" s="2">
        <v>32.316991269307998</v>
      </c>
      <c r="AE534" s="2">
        <v>17.28</v>
      </c>
      <c r="AF534" s="2">
        <v>3.23</v>
      </c>
      <c r="AG534" s="2">
        <v>501.71</v>
      </c>
      <c r="AH534">
        <v>0</v>
      </c>
      <c r="AI534">
        <v>33.694425789119997</v>
      </c>
      <c r="AJ534">
        <v>2.5085500000000001</v>
      </c>
      <c r="AK534" t="s">
        <v>54</v>
      </c>
      <c r="AL534">
        <v>12.91</v>
      </c>
      <c r="AM534" s="4">
        <f t="shared" si="65"/>
        <v>33.69442578911994</v>
      </c>
      <c r="AN534" s="4">
        <f t="shared" si="66"/>
        <v>60.594358629952495</v>
      </c>
      <c r="AO534" s="4">
        <f t="shared" si="67"/>
        <v>67.320332437877227</v>
      </c>
      <c r="AP534" s="4">
        <f t="shared" si="68"/>
        <v>98.156801544660041</v>
      </c>
      <c r="AQ534" s="10">
        <f t="shared" si="69"/>
        <v>58.597975889858489</v>
      </c>
      <c r="AR534" s="10">
        <f t="shared" si="70"/>
        <v>65.108211011221769</v>
      </c>
      <c r="AS534" s="10">
        <f t="shared" si="71"/>
        <v>91.22532886533169</v>
      </c>
    </row>
    <row r="535" spans="1:45" x14ac:dyDescent="0.3">
      <c r="A535">
        <v>2025</v>
      </c>
      <c r="B535">
        <v>5</v>
      </c>
      <c r="C535" t="s">
        <v>35</v>
      </c>
      <c r="D535">
        <v>10</v>
      </c>
      <c r="E535" t="s">
        <v>36</v>
      </c>
      <c r="F535" t="s">
        <v>37</v>
      </c>
      <c r="G535" t="s">
        <v>38</v>
      </c>
      <c r="H535" t="s">
        <v>56</v>
      </c>
      <c r="I535" t="s">
        <v>190</v>
      </c>
      <c r="J535" t="s">
        <v>40</v>
      </c>
      <c r="K535" t="s">
        <v>59</v>
      </c>
      <c r="M535">
        <v>442936</v>
      </c>
      <c r="N535" t="s">
        <v>42</v>
      </c>
      <c r="O535" t="s">
        <v>36</v>
      </c>
      <c r="P535" t="s">
        <v>191</v>
      </c>
      <c r="Q535" t="s">
        <v>44</v>
      </c>
      <c r="R535" t="s">
        <v>672</v>
      </c>
      <c r="S535" t="s">
        <v>673</v>
      </c>
      <c r="T535" t="s">
        <v>47</v>
      </c>
      <c r="U535" t="s">
        <v>72</v>
      </c>
      <c r="V535" t="s">
        <v>49</v>
      </c>
      <c r="W535" t="s">
        <v>73</v>
      </c>
      <c r="X535" t="s">
        <v>51</v>
      </c>
      <c r="Y535" t="s">
        <v>74</v>
      </c>
      <c r="Z535" t="s">
        <v>74</v>
      </c>
      <c r="AA535" t="s">
        <v>75</v>
      </c>
      <c r="AB535" s="3">
        <f t="shared" si="64"/>
        <v>14.890000000000121</v>
      </c>
      <c r="AC535">
        <v>481.2</v>
      </c>
      <c r="AD535" s="2">
        <v>32.316991269307998</v>
      </c>
      <c r="AE535" s="2">
        <v>17.28</v>
      </c>
      <c r="AF535" s="2">
        <v>3.23</v>
      </c>
      <c r="AG535" s="2">
        <v>501.71</v>
      </c>
      <c r="AH535">
        <v>0</v>
      </c>
      <c r="AI535">
        <v>33.694425789119997</v>
      </c>
      <c r="AJ535">
        <v>2.5085500000000001</v>
      </c>
      <c r="AK535" t="s">
        <v>54</v>
      </c>
      <c r="AL535">
        <v>12.91</v>
      </c>
      <c r="AM535" s="4">
        <f t="shared" si="65"/>
        <v>33.69442578911994</v>
      </c>
      <c r="AN535" s="4">
        <f t="shared" si="66"/>
        <v>60.594358629952495</v>
      </c>
      <c r="AO535" s="4">
        <f t="shared" si="67"/>
        <v>67.320332437877227</v>
      </c>
      <c r="AP535" s="4">
        <f t="shared" si="68"/>
        <v>98.156801544660041</v>
      </c>
      <c r="AQ535" s="10">
        <f t="shared" si="69"/>
        <v>58.597975889858489</v>
      </c>
      <c r="AR535" s="10">
        <f t="shared" si="70"/>
        <v>65.108211011221769</v>
      </c>
      <c r="AS535" s="10">
        <f t="shared" si="71"/>
        <v>91.22532886533169</v>
      </c>
    </row>
    <row r="536" spans="1:45" x14ac:dyDescent="0.3">
      <c r="A536">
        <v>2025</v>
      </c>
      <c r="B536">
        <v>5</v>
      </c>
      <c r="C536" t="s">
        <v>35</v>
      </c>
      <c r="D536">
        <v>10</v>
      </c>
      <c r="E536" t="s">
        <v>36</v>
      </c>
      <c r="F536" t="s">
        <v>37</v>
      </c>
      <c r="G536" t="s">
        <v>38</v>
      </c>
      <c r="H536" t="s">
        <v>56</v>
      </c>
      <c r="I536" t="s">
        <v>190</v>
      </c>
      <c r="J536" t="s">
        <v>40</v>
      </c>
      <c r="K536" t="s">
        <v>59</v>
      </c>
      <c r="M536">
        <v>442936</v>
      </c>
      <c r="N536" t="s">
        <v>42</v>
      </c>
      <c r="O536" t="s">
        <v>36</v>
      </c>
      <c r="P536" t="s">
        <v>191</v>
      </c>
      <c r="Q536" t="s">
        <v>44</v>
      </c>
      <c r="R536" t="s">
        <v>672</v>
      </c>
      <c r="S536" t="s">
        <v>673</v>
      </c>
      <c r="T536" t="s">
        <v>47</v>
      </c>
      <c r="U536" t="s">
        <v>72</v>
      </c>
      <c r="V536" t="s">
        <v>49</v>
      </c>
      <c r="W536" t="s">
        <v>73</v>
      </c>
      <c r="X536" t="s">
        <v>51</v>
      </c>
      <c r="Y536" t="s">
        <v>74</v>
      </c>
      <c r="Z536" t="s">
        <v>74</v>
      </c>
      <c r="AA536" t="s">
        <v>75</v>
      </c>
      <c r="AB536" s="3">
        <f t="shared" si="64"/>
        <v>14.890000000000121</v>
      </c>
      <c r="AC536">
        <v>481.2</v>
      </c>
      <c r="AD536" s="2">
        <v>32.316991269307998</v>
      </c>
      <c r="AE536" s="2">
        <v>17.28</v>
      </c>
      <c r="AF536" s="2">
        <v>3.23</v>
      </c>
      <c r="AG536" s="2">
        <v>501.71</v>
      </c>
      <c r="AH536">
        <v>0</v>
      </c>
      <c r="AI536">
        <v>33.694425789119997</v>
      </c>
      <c r="AJ536">
        <v>2.5085500000000001</v>
      </c>
      <c r="AK536" t="s">
        <v>54</v>
      </c>
      <c r="AL536">
        <v>12.91</v>
      </c>
      <c r="AM536" s="4">
        <f t="shared" si="65"/>
        <v>33.69442578911994</v>
      </c>
      <c r="AN536" s="4">
        <f t="shared" si="66"/>
        <v>60.594358629952495</v>
      </c>
      <c r="AO536" s="4">
        <f t="shared" si="67"/>
        <v>67.320332437877227</v>
      </c>
      <c r="AP536" s="4">
        <f t="shared" si="68"/>
        <v>98.156801544660041</v>
      </c>
      <c r="AQ536" s="10">
        <f t="shared" si="69"/>
        <v>58.597975889858489</v>
      </c>
      <c r="AR536" s="10">
        <f t="shared" si="70"/>
        <v>65.108211011221769</v>
      </c>
      <c r="AS536" s="10">
        <f t="shared" si="71"/>
        <v>91.22532886533169</v>
      </c>
    </row>
    <row r="537" spans="1:45" x14ac:dyDescent="0.3">
      <c r="A537">
        <v>2025</v>
      </c>
      <c r="B537">
        <v>7</v>
      </c>
      <c r="C537" t="s">
        <v>35</v>
      </c>
      <c r="D537">
        <v>10</v>
      </c>
      <c r="E537" t="s">
        <v>36</v>
      </c>
      <c r="F537" t="s">
        <v>37</v>
      </c>
      <c r="G537" t="s">
        <v>38</v>
      </c>
      <c r="H537" t="s">
        <v>56</v>
      </c>
      <c r="I537" t="s">
        <v>190</v>
      </c>
      <c r="J537" t="s">
        <v>40</v>
      </c>
      <c r="K537" t="s">
        <v>59</v>
      </c>
      <c r="L537" t="s">
        <v>961</v>
      </c>
      <c r="M537">
        <v>448168</v>
      </c>
      <c r="N537" t="s">
        <v>42</v>
      </c>
      <c r="O537" t="s">
        <v>36</v>
      </c>
      <c r="P537" t="s">
        <v>191</v>
      </c>
      <c r="Q537" t="s">
        <v>44</v>
      </c>
      <c r="R537" t="s">
        <v>962</v>
      </c>
      <c r="S537" t="s">
        <v>963</v>
      </c>
      <c r="T537" t="s">
        <v>47</v>
      </c>
      <c r="U537" t="s">
        <v>72</v>
      </c>
      <c r="V537" t="s">
        <v>49</v>
      </c>
      <c r="W537" t="s">
        <v>73</v>
      </c>
      <c r="X537" t="s">
        <v>51</v>
      </c>
      <c r="Y537" t="s">
        <v>74</v>
      </c>
      <c r="Z537" t="s">
        <v>74</v>
      </c>
      <c r="AA537" t="s">
        <v>75</v>
      </c>
      <c r="AB537" s="3">
        <f t="shared" si="64"/>
        <v>178.64999999999904</v>
      </c>
      <c r="AC537">
        <v>5774.42</v>
      </c>
      <c r="AD537" s="2">
        <v>32.322530086762001</v>
      </c>
      <c r="AE537" s="2">
        <v>207.31</v>
      </c>
      <c r="AF537" s="2">
        <v>38.799999999999997</v>
      </c>
      <c r="AG537" s="2">
        <v>6020.53</v>
      </c>
      <c r="AH537">
        <v>0</v>
      </c>
      <c r="AI537">
        <v>33.700139938427</v>
      </c>
      <c r="AJ537">
        <v>30.102650000000001</v>
      </c>
      <c r="AK537" t="s">
        <v>54</v>
      </c>
      <c r="AL537">
        <v>154.91999999999999</v>
      </c>
      <c r="AM537" s="4">
        <f t="shared" si="65"/>
        <v>33.70013993842727</v>
      </c>
      <c r="AN537" s="4">
        <f t="shared" si="66"/>
        <v>60.604743912678749</v>
      </c>
      <c r="AO537" s="4">
        <f t="shared" si="67"/>
        <v>67.331870486986091</v>
      </c>
      <c r="AP537" s="4">
        <f t="shared" si="68"/>
        <v>98.173624664148306</v>
      </c>
      <c r="AQ537" s="10">
        <f t="shared" si="69"/>
        <v>58.607913366918872</v>
      </c>
      <c r="AR537" s="10">
        <f t="shared" si="70"/>
        <v>65.119252541983556</v>
      </c>
      <c r="AS537" s="10">
        <f t="shared" si="71"/>
        <v>91.240799529619295</v>
      </c>
    </row>
    <row r="538" spans="1:45" x14ac:dyDescent="0.3">
      <c r="A538">
        <v>2025</v>
      </c>
      <c r="B538">
        <v>7</v>
      </c>
      <c r="C538" t="s">
        <v>35</v>
      </c>
      <c r="D538">
        <v>10</v>
      </c>
      <c r="E538" t="s">
        <v>36</v>
      </c>
      <c r="F538" t="s">
        <v>37</v>
      </c>
      <c r="G538" t="s">
        <v>38</v>
      </c>
      <c r="H538" t="s">
        <v>56</v>
      </c>
      <c r="I538" t="s">
        <v>190</v>
      </c>
      <c r="J538" t="s">
        <v>40</v>
      </c>
      <c r="K538" t="s">
        <v>59</v>
      </c>
      <c r="L538" t="s">
        <v>961</v>
      </c>
      <c r="M538">
        <v>448168</v>
      </c>
      <c r="N538" t="s">
        <v>42</v>
      </c>
      <c r="O538" t="s">
        <v>36</v>
      </c>
      <c r="P538" t="s">
        <v>191</v>
      </c>
      <c r="Q538" t="s">
        <v>44</v>
      </c>
      <c r="R538" t="s">
        <v>962</v>
      </c>
      <c r="S538" t="s">
        <v>963</v>
      </c>
      <c r="T538" t="s">
        <v>47</v>
      </c>
      <c r="U538" t="s">
        <v>72</v>
      </c>
      <c r="V538" t="s">
        <v>49</v>
      </c>
      <c r="W538" t="s">
        <v>73</v>
      </c>
      <c r="X538" t="s">
        <v>51</v>
      </c>
      <c r="Y538" t="s">
        <v>967</v>
      </c>
      <c r="Z538" t="s">
        <v>967</v>
      </c>
      <c r="AA538" t="s">
        <v>75</v>
      </c>
      <c r="AB538" s="3">
        <f t="shared" si="64"/>
        <v>141.97999999999783</v>
      </c>
      <c r="AC538">
        <v>2561.44</v>
      </c>
      <c r="AD538" s="2">
        <v>18.040850824060001</v>
      </c>
      <c r="AE538" s="2">
        <v>144.80000000000001</v>
      </c>
      <c r="AF538" s="2">
        <v>16.98</v>
      </c>
      <c r="AG538" s="2">
        <v>2722.5</v>
      </c>
      <c r="AH538">
        <v>0</v>
      </c>
      <c r="AI538">
        <v>19.175235948725</v>
      </c>
      <c r="AJ538">
        <v>13.612500000000001</v>
      </c>
      <c r="AK538" t="s">
        <v>54</v>
      </c>
      <c r="AL538">
        <v>131.55000000000001</v>
      </c>
      <c r="AM538" s="4">
        <f t="shared" si="65"/>
        <v>19.175235948725465</v>
      </c>
      <c r="AN538" s="4">
        <f t="shared" si="66"/>
        <v>33.826595295112504</v>
      </c>
      <c r="AO538" s="4">
        <f t="shared" si="67"/>
        <v>37.581347372869992</v>
      </c>
      <c r="AP538" s="4">
        <f t="shared" si="68"/>
        <v>54.795701718552742</v>
      </c>
      <c r="AQ538" s="10">
        <f t="shared" si="69"/>
        <v>33.347652838428459</v>
      </c>
      <c r="AR538" s="10">
        <f t="shared" si="70"/>
        <v>37.052577068777858</v>
      </c>
      <c r="AS538" s="10">
        <f t="shared" si="71"/>
        <v>51.915625938865425</v>
      </c>
    </row>
    <row r="539" spans="1:45" x14ac:dyDescent="0.3">
      <c r="A539">
        <v>2025</v>
      </c>
      <c r="B539">
        <v>11</v>
      </c>
      <c r="C539" t="s">
        <v>35</v>
      </c>
      <c r="D539">
        <v>10</v>
      </c>
      <c r="E539" t="s">
        <v>36</v>
      </c>
      <c r="F539" t="s">
        <v>37</v>
      </c>
      <c r="G539" t="s">
        <v>38</v>
      </c>
      <c r="H539" t="s">
        <v>56</v>
      </c>
      <c r="I539" t="s">
        <v>1034</v>
      </c>
      <c r="K539" t="s">
        <v>1616</v>
      </c>
      <c r="L539" t="s">
        <v>1617</v>
      </c>
      <c r="M539" t="s">
        <v>1618</v>
      </c>
      <c r="N539" t="s">
        <v>42</v>
      </c>
      <c r="O539" t="s">
        <v>1197</v>
      </c>
      <c r="Q539" t="s">
        <v>44</v>
      </c>
      <c r="R539" t="s">
        <v>1619</v>
      </c>
      <c r="S539" t="s">
        <v>1620</v>
      </c>
      <c r="T539" t="s">
        <v>47</v>
      </c>
      <c r="U539" t="s">
        <v>72</v>
      </c>
      <c r="V539" t="s">
        <v>49</v>
      </c>
      <c r="W539" t="s">
        <v>73</v>
      </c>
      <c r="X539" t="s">
        <v>388</v>
      </c>
      <c r="Y539" t="s">
        <v>967</v>
      </c>
      <c r="Z539" t="s">
        <v>967</v>
      </c>
      <c r="AA539" t="s">
        <v>75</v>
      </c>
      <c r="AB539" s="3">
        <f t="shared" si="64"/>
        <v>567.919999999997</v>
      </c>
      <c r="AC539">
        <v>10245.75</v>
      </c>
      <c r="AD539" s="2">
        <v>18.040833215946002</v>
      </c>
      <c r="AE539" s="2">
        <v>576.32000000000005</v>
      </c>
      <c r="AF539" s="2">
        <v>67.91</v>
      </c>
      <c r="AG539" s="2">
        <v>10889.98</v>
      </c>
      <c r="AH539">
        <v>0</v>
      </c>
      <c r="AI539">
        <v>19.175200732497999</v>
      </c>
      <c r="AJ539">
        <v>54.4499</v>
      </c>
      <c r="AK539" t="s">
        <v>54</v>
      </c>
      <c r="AL539">
        <v>526.20000000000005</v>
      </c>
      <c r="AM539" s="4">
        <f t="shared" si="65"/>
        <v>19.175200732497636</v>
      </c>
      <c r="AN539" s="4">
        <f t="shared" si="66"/>
        <v>33.826562279898752</v>
      </c>
      <c r="AO539" s="4">
        <f t="shared" si="67"/>
        <v>37.581310692967513</v>
      </c>
      <c r="AP539" s="4">
        <f t="shared" si="68"/>
        <v>54.795648237207985</v>
      </c>
      <c r="AQ539" s="10">
        <f t="shared" si="69"/>
        <v>33.347591593886641</v>
      </c>
      <c r="AR539" s="10">
        <f t="shared" si="70"/>
        <v>37.052509019967445</v>
      </c>
      <c r="AS539" s="10">
        <f t="shared" si="71"/>
        <v>51.915530593362718</v>
      </c>
    </row>
    <row r="540" spans="1:45" x14ac:dyDescent="0.3">
      <c r="A540">
        <v>2025</v>
      </c>
      <c r="B540">
        <v>3</v>
      </c>
      <c r="C540" t="s">
        <v>55</v>
      </c>
      <c r="D540">
        <v>10</v>
      </c>
      <c r="E540" t="s">
        <v>36</v>
      </c>
      <c r="F540" t="s">
        <v>37</v>
      </c>
      <c r="G540" t="s">
        <v>38</v>
      </c>
      <c r="H540" t="s">
        <v>236</v>
      </c>
      <c r="I540" t="s">
        <v>190</v>
      </c>
      <c r="J540" t="s">
        <v>58</v>
      </c>
      <c r="K540" t="s">
        <v>59</v>
      </c>
      <c r="M540" t="s">
        <v>213</v>
      </c>
      <c r="N540" t="s">
        <v>61</v>
      </c>
      <c r="O540" t="s">
        <v>43</v>
      </c>
      <c r="Q540" t="s">
        <v>62</v>
      </c>
      <c r="R540" t="s">
        <v>214</v>
      </c>
      <c r="S540" t="s">
        <v>215</v>
      </c>
      <c r="T540" t="s">
        <v>47</v>
      </c>
      <c r="U540" t="s">
        <v>237</v>
      </c>
      <c r="V540" t="s">
        <v>49</v>
      </c>
      <c r="W540" t="s">
        <v>238</v>
      </c>
      <c r="X540" t="s">
        <v>51</v>
      </c>
      <c r="Y540" t="s">
        <v>1627</v>
      </c>
      <c r="Z540" t="s">
        <v>1627</v>
      </c>
      <c r="AA540" t="s">
        <v>75</v>
      </c>
      <c r="AB540" s="3">
        <f t="shared" si="64"/>
        <v>20</v>
      </c>
      <c r="AC540">
        <v>8689.85</v>
      </c>
      <c r="AD540" s="2">
        <v>434.49250000000001</v>
      </c>
      <c r="AE540" s="2">
        <v>995.69</v>
      </c>
      <c r="AF540" s="2">
        <v>59.68</v>
      </c>
      <c r="AG540" s="2">
        <v>9745.2199999999993</v>
      </c>
      <c r="AH540">
        <v>0</v>
      </c>
      <c r="AI540">
        <v>487.26100000000002</v>
      </c>
      <c r="AJ540">
        <v>48.726100000000002</v>
      </c>
      <c r="AK540" t="s">
        <v>54</v>
      </c>
      <c r="AL540">
        <v>502.67</v>
      </c>
      <c r="AM540" s="4">
        <f t="shared" si="65"/>
        <v>487.26099999999997</v>
      </c>
      <c r="AN540" s="4">
        <f t="shared" si="66"/>
        <v>814.67343749999998</v>
      </c>
      <c r="AO540" s="4">
        <f t="shared" si="67"/>
        <v>905.10218906249997</v>
      </c>
      <c r="AP540" s="4">
        <f t="shared" si="68"/>
        <v>1319.68950140625</v>
      </c>
      <c r="AQ540" s="10">
        <f t="shared" si="69"/>
        <v>847.39560510000001</v>
      </c>
      <c r="AR540" s="10">
        <f t="shared" si="70"/>
        <v>941.54125682661004</v>
      </c>
      <c r="AS540" s="10">
        <f t="shared" si="71"/>
        <v>1319.2254780196799</v>
      </c>
    </row>
    <row r="541" spans="1:45" x14ac:dyDescent="0.3">
      <c r="A541">
        <v>2025</v>
      </c>
      <c r="B541">
        <v>1</v>
      </c>
      <c r="C541" t="s">
        <v>35</v>
      </c>
      <c r="D541">
        <v>10</v>
      </c>
      <c r="E541" t="s">
        <v>36</v>
      </c>
      <c r="F541" t="s">
        <v>37</v>
      </c>
      <c r="G541" t="s">
        <v>38</v>
      </c>
      <c r="H541" t="s">
        <v>56</v>
      </c>
      <c r="J541" t="s">
        <v>40</v>
      </c>
      <c r="K541" t="s">
        <v>41</v>
      </c>
      <c r="M541">
        <v>431845</v>
      </c>
      <c r="N541" t="s">
        <v>42</v>
      </c>
      <c r="O541" t="s">
        <v>43</v>
      </c>
      <c r="Q541" t="s">
        <v>44</v>
      </c>
      <c r="R541" t="s">
        <v>45</v>
      </c>
      <c r="S541" t="s">
        <v>46</v>
      </c>
      <c r="T541" t="s">
        <v>47</v>
      </c>
      <c r="U541" t="s">
        <v>72</v>
      </c>
      <c r="V541" t="s">
        <v>49</v>
      </c>
      <c r="W541" t="s">
        <v>73</v>
      </c>
      <c r="X541" t="s">
        <v>51</v>
      </c>
      <c r="Y541" t="s">
        <v>130</v>
      </c>
      <c r="Z541" t="s">
        <v>64</v>
      </c>
      <c r="AA541" t="s">
        <v>239</v>
      </c>
      <c r="AB541" s="3">
        <f t="shared" si="64"/>
        <v>4</v>
      </c>
      <c r="AC541">
        <v>47.16</v>
      </c>
      <c r="AD541" s="2">
        <v>11.79</v>
      </c>
      <c r="AE541" s="2">
        <v>9.9</v>
      </c>
      <c r="AF541" s="2">
        <v>0.35</v>
      </c>
      <c r="AG541" s="2">
        <v>57.41</v>
      </c>
      <c r="AH541">
        <v>0</v>
      </c>
      <c r="AI541">
        <v>14.352499999999999</v>
      </c>
      <c r="AJ541">
        <v>0.28705000000000003</v>
      </c>
      <c r="AK541" t="s">
        <v>54</v>
      </c>
      <c r="AL541">
        <v>7.78</v>
      </c>
      <c r="AM541" s="4">
        <f t="shared" si="65"/>
        <v>14.352499999999999</v>
      </c>
      <c r="AN541" s="4">
        <f t="shared" si="66"/>
        <v>22.106249999999999</v>
      </c>
      <c r="AO541" s="4">
        <f t="shared" si="67"/>
        <v>24.560043749999998</v>
      </c>
      <c r="AP541" s="4">
        <f t="shared" si="68"/>
        <v>35.809914374999998</v>
      </c>
      <c r="AQ541" s="10">
        <f t="shared" si="69"/>
        <v>24.960432749999999</v>
      </c>
      <c r="AR541" s="10">
        <f t="shared" si="70"/>
        <v>27.733536828524997</v>
      </c>
      <c r="AS541" s="10">
        <f t="shared" si="71"/>
        <v>38.858401705199995</v>
      </c>
    </row>
    <row r="542" spans="1:45" x14ac:dyDescent="0.3">
      <c r="A542">
        <v>2025</v>
      </c>
      <c r="B542">
        <v>5</v>
      </c>
      <c r="C542" t="s">
        <v>35</v>
      </c>
      <c r="D542">
        <v>10</v>
      </c>
      <c r="E542" t="s">
        <v>36</v>
      </c>
      <c r="F542" t="s">
        <v>37</v>
      </c>
      <c r="G542" t="s">
        <v>38</v>
      </c>
      <c r="H542" t="s">
        <v>56</v>
      </c>
      <c r="I542" t="s">
        <v>190</v>
      </c>
      <c r="J542" t="s">
        <v>40</v>
      </c>
      <c r="K542" t="s">
        <v>59</v>
      </c>
      <c r="M542">
        <v>442936</v>
      </c>
      <c r="N542" t="s">
        <v>42</v>
      </c>
      <c r="O542" t="s">
        <v>36</v>
      </c>
      <c r="P542" t="s">
        <v>191</v>
      </c>
      <c r="Q542" t="s">
        <v>44</v>
      </c>
      <c r="R542" t="s">
        <v>672</v>
      </c>
      <c r="S542" t="s">
        <v>673</v>
      </c>
      <c r="T542" t="s">
        <v>47</v>
      </c>
      <c r="U542" t="s">
        <v>72</v>
      </c>
      <c r="V542" t="s">
        <v>49</v>
      </c>
      <c r="W542" t="s">
        <v>73</v>
      </c>
      <c r="X542" t="s">
        <v>51</v>
      </c>
      <c r="Y542" t="s">
        <v>74</v>
      </c>
      <c r="Z542" t="s">
        <v>74</v>
      </c>
      <c r="AA542" t="s">
        <v>77</v>
      </c>
      <c r="AB542" s="3">
        <f t="shared" si="64"/>
        <v>3</v>
      </c>
      <c r="AC542">
        <v>399.3</v>
      </c>
      <c r="AD542" s="2">
        <v>133.1</v>
      </c>
      <c r="AE542" s="2">
        <v>18.989999999999998</v>
      </c>
      <c r="AF542" s="2">
        <v>2.61</v>
      </c>
      <c r="AG542" s="2">
        <v>420.91</v>
      </c>
      <c r="AH542">
        <v>0</v>
      </c>
      <c r="AI542">
        <v>140.30333333332999</v>
      </c>
      <c r="AJ542">
        <v>2.1045500000000001</v>
      </c>
      <c r="AK542" t="s">
        <v>54</v>
      </c>
      <c r="AL542">
        <v>37.840000000000003</v>
      </c>
      <c r="AM542" s="4">
        <f t="shared" si="65"/>
        <v>140.30333333333334</v>
      </c>
      <c r="AN542" s="4">
        <f t="shared" si="66"/>
        <v>249.5625</v>
      </c>
      <c r="AO542" s="4">
        <f t="shared" si="67"/>
        <v>277.2639375</v>
      </c>
      <c r="AP542" s="4">
        <f t="shared" si="68"/>
        <v>404.26629374999999</v>
      </c>
      <c r="AQ542" s="10">
        <f t="shared" si="69"/>
        <v>244.00152700000004</v>
      </c>
      <c r="AR542" s="10">
        <f t="shared" si="70"/>
        <v>271.11009664970004</v>
      </c>
      <c r="AS542" s="10">
        <f t="shared" si="71"/>
        <v>379.86157723360003</v>
      </c>
    </row>
    <row r="543" spans="1:45" x14ac:dyDescent="0.3">
      <c r="A543">
        <v>2025</v>
      </c>
      <c r="B543">
        <v>5</v>
      </c>
      <c r="C543" t="s">
        <v>35</v>
      </c>
      <c r="D543">
        <v>10</v>
      </c>
      <c r="E543" t="s">
        <v>36</v>
      </c>
      <c r="F543" t="s">
        <v>37</v>
      </c>
      <c r="G543" t="s">
        <v>38</v>
      </c>
      <c r="H543" t="s">
        <v>56</v>
      </c>
      <c r="I543" t="s">
        <v>190</v>
      </c>
      <c r="J543" t="s">
        <v>40</v>
      </c>
      <c r="K543" t="s">
        <v>59</v>
      </c>
      <c r="M543">
        <v>442936</v>
      </c>
      <c r="N543" t="s">
        <v>42</v>
      </c>
      <c r="O543" t="s">
        <v>36</v>
      </c>
      <c r="P543" t="s">
        <v>191</v>
      </c>
      <c r="Q543" t="s">
        <v>44</v>
      </c>
      <c r="R543" t="s">
        <v>672</v>
      </c>
      <c r="S543" t="s">
        <v>673</v>
      </c>
      <c r="T543" t="s">
        <v>47</v>
      </c>
      <c r="U543" t="s">
        <v>72</v>
      </c>
      <c r="V543" t="s">
        <v>49</v>
      </c>
      <c r="W543" t="s">
        <v>73</v>
      </c>
      <c r="X543" t="s">
        <v>51</v>
      </c>
      <c r="Y543" t="s">
        <v>74</v>
      </c>
      <c r="Z543" t="s">
        <v>74</v>
      </c>
      <c r="AA543" t="s">
        <v>77</v>
      </c>
      <c r="AB543" s="3">
        <f t="shared" si="64"/>
        <v>44.660000000000053</v>
      </c>
      <c r="AC543">
        <v>401.43</v>
      </c>
      <c r="AD543" s="2">
        <v>8.9885803851320993</v>
      </c>
      <c r="AE543" s="2">
        <v>51.83</v>
      </c>
      <c r="AF543" s="2">
        <v>2.63</v>
      </c>
      <c r="AG543" s="2">
        <v>455.89</v>
      </c>
      <c r="AH543">
        <v>0</v>
      </c>
      <c r="AI543">
        <v>10.208016121809001</v>
      </c>
      <c r="AJ543">
        <v>2.2794500000000002</v>
      </c>
      <c r="AK543" t="s">
        <v>54</v>
      </c>
      <c r="AL543">
        <v>38.729999999999997</v>
      </c>
      <c r="AM543" s="4">
        <f t="shared" si="65"/>
        <v>10.208016121809212</v>
      </c>
      <c r="AN543" s="4">
        <f t="shared" si="66"/>
        <v>16.853588222122685</v>
      </c>
      <c r="AO543" s="4">
        <f t="shared" si="67"/>
        <v>18.724336514778301</v>
      </c>
      <c r="AP543" s="4">
        <f t="shared" si="68"/>
        <v>27.301127561016536</v>
      </c>
      <c r="AQ543" s="10">
        <f t="shared" si="69"/>
        <v>17.752760837438402</v>
      </c>
      <c r="AR543" s="10">
        <f t="shared" si="70"/>
        <v>19.725092566477809</v>
      </c>
      <c r="AS543" s="10">
        <f t="shared" si="71"/>
        <v>27.637498071724103</v>
      </c>
    </row>
    <row r="544" spans="1:45" x14ac:dyDescent="0.3">
      <c r="A544">
        <v>2025</v>
      </c>
      <c r="B544">
        <v>7</v>
      </c>
      <c r="C544" t="s">
        <v>35</v>
      </c>
      <c r="D544">
        <v>10</v>
      </c>
      <c r="E544" t="s">
        <v>36</v>
      </c>
      <c r="F544" t="s">
        <v>37</v>
      </c>
      <c r="G544" t="s">
        <v>38</v>
      </c>
      <c r="H544" t="s">
        <v>56</v>
      </c>
      <c r="I544" t="s">
        <v>190</v>
      </c>
      <c r="J544" t="s">
        <v>40</v>
      </c>
      <c r="K544" t="s">
        <v>59</v>
      </c>
      <c r="L544" t="s">
        <v>961</v>
      </c>
      <c r="M544">
        <v>448168</v>
      </c>
      <c r="N544" t="s">
        <v>42</v>
      </c>
      <c r="O544" t="s">
        <v>36</v>
      </c>
      <c r="P544" t="s">
        <v>191</v>
      </c>
      <c r="Q544" t="s">
        <v>44</v>
      </c>
      <c r="R544" t="s">
        <v>962</v>
      </c>
      <c r="S544" t="s">
        <v>963</v>
      </c>
      <c r="T544" t="s">
        <v>47</v>
      </c>
      <c r="U544" t="s">
        <v>72</v>
      </c>
      <c r="V544" t="s">
        <v>49</v>
      </c>
      <c r="W544" t="s">
        <v>73</v>
      </c>
      <c r="X544" t="s">
        <v>51</v>
      </c>
      <c r="Y544" t="s">
        <v>74</v>
      </c>
      <c r="Z544" t="s">
        <v>74</v>
      </c>
      <c r="AA544" t="s">
        <v>77</v>
      </c>
      <c r="AB544" s="3">
        <f t="shared" si="64"/>
        <v>104.21000000000019</v>
      </c>
      <c r="AC544">
        <v>936.68</v>
      </c>
      <c r="AD544" s="2">
        <v>8.9883888302466008</v>
      </c>
      <c r="AE544" s="2">
        <v>120.93</v>
      </c>
      <c r="AF544" s="2">
        <v>6.13</v>
      </c>
      <c r="AG544" s="2">
        <v>1063.74</v>
      </c>
      <c r="AH544">
        <v>0</v>
      </c>
      <c r="AI544">
        <v>10.207657614432</v>
      </c>
      <c r="AJ544">
        <v>5.3186999999999998</v>
      </c>
      <c r="AK544" t="s">
        <v>54</v>
      </c>
      <c r="AL544">
        <v>90.37</v>
      </c>
      <c r="AM544" s="4">
        <f t="shared" si="65"/>
        <v>10.207657614432378</v>
      </c>
      <c r="AN544" s="4">
        <f t="shared" si="66"/>
        <v>16.853229056712376</v>
      </c>
      <c r="AO544" s="4">
        <f t="shared" si="67"/>
        <v>18.72393748200745</v>
      </c>
      <c r="AP544" s="4">
        <f t="shared" si="68"/>
        <v>27.300545748968375</v>
      </c>
      <c r="AQ544" s="10">
        <f t="shared" si="69"/>
        <v>17.75213735725935</v>
      </c>
      <c r="AR544" s="10">
        <f t="shared" si="70"/>
        <v>19.724399817650863</v>
      </c>
      <c r="AS544" s="10">
        <f t="shared" si="71"/>
        <v>27.636527437781357</v>
      </c>
    </row>
    <row r="545" spans="1:45" x14ac:dyDescent="0.3">
      <c r="A545">
        <v>2025</v>
      </c>
      <c r="B545">
        <v>7</v>
      </c>
      <c r="C545" t="s">
        <v>35</v>
      </c>
      <c r="D545">
        <v>10</v>
      </c>
      <c r="E545" t="s">
        <v>36</v>
      </c>
      <c r="F545" t="s">
        <v>37</v>
      </c>
      <c r="G545" t="s">
        <v>38</v>
      </c>
      <c r="H545" t="s">
        <v>56</v>
      </c>
      <c r="I545" t="s">
        <v>190</v>
      </c>
      <c r="J545" t="s">
        <v>40</v>
      </c>
      <c r="K545" t="s">
        <v>59</v>
      </c>
      <c r="L545" t="s">
        <v>961</v>
      </c>
      <c r="M545">
        <v>448168</v>
      </c>
      <c r="N545" t="s">
        <v>42</v>
      </c>
      <c r="O545" t="s">
        <v>36</v>
      </c>
      <c r="P545" t="s">
        <v>191</v>
      </c>
      <c r="Q545" t="s">
        <v>44</v>
      </c>
      <c r="R545" t="s">
        <v>962</v>
      </c>
      <c r="S545" t="s">
        <v>963</v>
      </c>
      <c r="T545" t="s">
        <v>47</v>
      </c>
      <c r="U545" t="s">
        <v>72</v>
      </c>
      <c r="V545" t="s">
        <v>49</v>
      </c>
      <c r="W545" t="s">
        <v>73</v>
      </c>
      <c r="X545" t="s">
        <v>51</v>
      </c>
      <c r="Y545" t="s">
        <v>967</v>
      </c>
      <c r="Z545" t="s">
        <v>967</v>
      </c>
      <c r="AA545" t="s">
        <v>77</v>
      </c>
      <c r="AB545" s="3">
        <f t="shared" si="64"/>
        <v>70.989999999999995</v>
      </c>
      <c r="AC545">
        <v>346.62</v>
      </c>
      <c r="AD545" s="2">
        <v>4.8826595295111996</v>
      </c>
      <c r="AE545" s="2">
        <v>19.5</v>
      </c>
      <c r="AF545" s="2">
        <v>2.2999999999999998</v>
      </c>
      <c r="AG545" s="2">
        <v>368.42</v>
      </c>
      <c r="AH545">
        <v>0</v>
      </c>
      <c r="AI545">
        <v>5.1897450345119003</v>
      </c>
      <c r="AJ545">
        <v>1.8421000000000001</v>
      </c>
      <c r="AK545" t="s">
        <v>54</v>
      </c>
      <c r="AL545">
        <v>65.78</v>
      </c>
      <c r="AM545" s="4">
        <f t="shared" si="65"/>
        <v>5.1897450345119038</v>
      </c>
      <c r="AN545" s="4">
        <f t="shared" si="66"/>
        <v>9.1549866178334991</v>
      </c>
      <c r="AO545" s="4">
        <f t="shared" si="67"/>
        <v>10.171190132413017</v>
      </c>
      <c r="AP545" s="4">
        <f t="shared" si="68"/>
        <v>14.830162822228484</v>
      </c>
      <c r="AQ545" s="10">
        <f t="shared" si="69"/>
        <v>9.0254855895196524</v>
      </c>
      <c r="AR545" s="10">
        <f t="shared" si="70"/>
        <v>10.028217038515285</v>
      </c>
      <c r="AS545" s="10">
        <f t="shared" si="71"/>
        <v>14.050875965764195</v>
      </c>
    </row>
    <row r="546" spans="1:45" x14ac:dyDescent="0.3">
      <c r="A546">
        <v>2025</v>
      </c>
      <c r="B546">
        <v>11</v>
      </c>
      <c r="C546" t="s">
        <v>35</v>
      </c>
      <c r="D546">
        <v>10</v>
      </c>
      <c r="E546" t="s">
        <v>36</v>
      </c>
      <c r="F546" t="s">
        <v>37</v>
      </c>
      <c r="G546" t="s">
        <v>38</v>
      </c>
      <c r="H546" t="s">
        <v>39</v>
      </c>
      <c r="I546" t="s">
        <v>1615</v>
      </c>
      <c r="K546" t="s">
        <v>1616</v>
      </c>
      <c r="L546" t="s">
        <v>1617</v>
      </c>
      <c r="M546" t="s">
        <v>1618</v>
      </c>
      <c r="N546" t="s">
        <v>42</v>
      </c>
      <c r="O546" t="s">
        <v>1197</v>
      </c>
      <c r="Q546" t="s">
        <v>44</v>
      </c>
      <c r="R546" t="s">
        <v>1619</v>
      </c>
      <c r="S546" t="s">
        <v>1620</v>
      </c>
      <c r="T546" t="s">
        <v>47</v>
      </c>
      <c r="U546" t="s">
        <v>72</v>
      </c>
      <c r="V546" t="s">
        <v>49</v>
      </c>
      <c r="W546" t="s">
        <v>73</v>
      </c>
      <c r="X546" t="s">
        <v>388</v>
      </c>
      <c r="Y546" t="s">
        <v>967</v>
      </c>
      <c r="Z546" t="s">
        <v>967</v>
      </c>
      <c r="AA546" t="s">
        <v>77</v>
      </c>
      <c r="AB546" s="3">
        <f t="shared" si="64"/>
        <v>165.64000000000064</v>
      </c>
      <c r="AC546">
        <v>808.78</v>
      </c>
      <c r="AD546" s="2">
        <v>4.8827577879739001</v>
      </c>
      <c r="AE546" s="2">
        <v>45.49</v>
      </c>
      <c r="AF546" s="2">
        <v>5.36</v>
      </c>
      <c r="AG546" s="2">
        <v>859.64</v>
      </c>
      <c r="AH546">
        <v>0</v>
      </c>
      <c r="AI546">
        <v>5.1898092248249004</v>
      </c>
      <c r="AJ546">
        <v>4.2981999999999996</v>
      </c>
      <c r="AK546" t="s">
        <v>54</v>
      </c>
      <c r="AL546">
        <v>153.47999999999999</v>
      </c>
      <c r="AM546" s="4">
        <f t="shared" si="65"/>
        <v>5.1898092248249013</v>
      </c>
      <c r="AN546" s="4">
        <f t="shared" si="66"/>
        <v>9.1551708524510627</v>
      </c>
      <c r="AO546" s="4">
        <f t="shared" si="67"/>
        <v>10.17139481707313</v>
      </c>
      <c r="AP546" s="4">
        <f t="shared" si="68"/>
        <v>14.830461263885475</v>
      </c>
      <c r="AQ546" s="10">
        <f t="shared" si="69"/>
        <v>9.025597222892987</v>
      </c>
      <c r="AR546" s="10">
        <f t="shared" si="70"/>
        <v>10.028341074356398</v>
      </c>
      <c r="AS546" s="10">
        <f t="shared" si="71"/>
        <v>14.051049756599802</v>
      </c>
    </row>
    <row r="547" spans="1:45" x14ac:dyDescent="0.3">
      <c r="A547">
        <v>2025</v>
      </c>
      <c r="B547">
        <v>11</v>
      </c>
      <c r="C547" t="s">
        <v>35</v>
      </c>
      <c r="D547">
        <v>10</v>
      </c>
      <c r="E547" t="s">
        <v>36</v>
      </c>
      <c r="F547" t="s">
        <v>37</v>
      </c>
      <c r="G547" t="s">
        <v>38</v>
      </c>
      <c r="H547" t="s">
        <v>39</v>
      </c>
      <c r="I547" t="s">
        <v>1615</v>
      </c>
      <c r="K547" t="s">
        <v>1616</v>
      </c>
      <c r="L547" t="s">
        <v>1617</v>
      </c>
      <c r="M547" t="s">
        <v>1618</v>
      </c>
      <c r="N547" t="s">
        <v>42</v>
      </c>
      <c r="O547" t="s">
        <v>1197</v>
      </c>
      <c r="Q547" t="s">
        <v>44</v>
      </c>
      <c r="R547" t="s">
        <v>1619</v>
      </c>
      <c r="S547" t="s">
        <v>1620</v>
      </c>
      <c r="T547" t="s">
        <v>47</v>
      </c>
      <c r="U547" t="s">
        <v>72</v>
      </c>
      <c r="V547" t="s">
        <v>49</v>
      </c>
      <c r="W547" t="s">
        <v>73</v>
      </c>
      <c r="X547" t="s">
        <v>388</v>
      </c>
      <c r="Y547" t="s">
        <v>1627</v>
      </c>
      <c r="Z547" t="s">
        <v>1627</v>
      </c>
      <c r="AA547" t="s">
        <v>77</v>
      </c>
      <c r="AB547" s="3">
        <f t="shared" si="64"/>
        <v>15</v>
      </c>
      <c r="AC547">
        <v>1763.94</v>
      </c>
      <c r="AD547" s="2">
        <v>117.596</v>
      </c>
      <c r="AE547" s="2">
        <v>202.11</v>
      </c>
      <c r="AF547" s="2">
        <v>12.11</v>
      </c>
      <c r="AG547" s="2">
        <v>1978.17</v>
      </c>
      <c r="AH547">
        <v>0</v>
      </c>
      <c r="AI547">
        <v>131.87799999999999</v>
      </c>
      <c r="AJ547">
        <v>9.8908500000000004</v>
      </c>
      <c r="AK547" t="s">
        <v>54</v>
      </c>
      <c r="AL547">
        <v>102.4</v>
      </c>
      <c r="AM547" s="4">
        <f t="shared" si="65"/>
        <v>131.87800000000001</v>
      </c>
      <c r="AN547" s="4">
        <f t="shared" si="66"/>
        <v>220.49250000000001</v>
      </c>
      <c r="AO547" s="4">
        <f t="shared" si="67"/>
        <v>244.96716750000002</v>
      </c>
      <c r="AP547" s="4">
        <f t="shared" si="68"/>
        <v>357.17580075000001</v>
      </c>
      <c r="AQ547" s="10">
        <f t="shared" si="69"/>
        <v>229.34902980000004</v>
      </c>
      <c r="AR547" s="10">
        <f t="shared" si="70"/>
        <v>254.82970701078003</v>
      </c>
      <c r="AS547" s="10">
        <f t="shared" si="71"/>
        <v>357.05056959264004</v>
      </c>
    </row>
    <row r="548" spans="1:45" x14ac:dyDescent="0.3">
      <c r="A548">
        <v>2025</v>
      </c>
      <c r="B548">
        <v>5</v>
      </c>
      <c r="C548" t="s">
        <v>35</v>
      </c>
      <c r="D548">
        <v>10</v>
      </c>
      <c r="E548" t="s">
        <v>36</v>
      </c>
      <c r="F548" t="s">
        <v>37</v>
      </c>
      <c r="G548" t="s">
        <v>38</v>
      </c>
      <c r="H548" t="s">
        <v>39</v>
      </c>
      <c r="I548" t="s">
        <v>190</v>
      </c>
      <c r="J548" t="s">
        <v>40</v>
      </c>
      <c r="K548" t="s">
        <v>59</v>
      </c>
      <c r="M548">
        <v>442936</v>
      </c>
      <c r="N548" t="s">
        <v>42</v>
      </c>
      <c r="O548" t="s">
        <v>36</v>
      </c>
      <c r="P548" t="s">
        <v>191</v>
      </c>
      <c r="Q548" t="s">
        <v>44</v>
      </c>
      <c r="R548" t="s">
        <v>672</v>
      </c>
      <c r="S548" t="s">
        <v>673</v>
      </c>
      <c r="T548" t="s">
        <v>47</v>
      </c>
      <c r="U548" t="s">
        <v>48</v>
      </c>
      <c r="V548" t="s">
        <v>49</v>
      </c>
      <c r="W548" t="s">
        <v>674</v>
      </c>
      <c r="X548" t="s">
        <v>51</v>
      </c>
      <c r="Y548" t="s">
        <v>1627</v>
      </c>
      <c r="Z548" t="s">
        <v>1627</v>
      </c>
      <c r="AA548" t="s">
        <v>77</v>
      </c>
      <c r="AB548" s="3">
        <f t="shared" si="64"/>
        <v>5</v>
      </c>
      <c r="AC548">
        <v>587.98</v>
      </c>
      <c r="AD548" s="2">
        <v>117.596</v>
      </c>
      <c r="AE548" s="2">
        <v>67.37</v>
      </c>
      <c r="AF548" s="2">
        <v>4.4000000000000004</v>
      </c>
      <c r="AG548" s="2">
        <v>659.39</v>
      </c>
      <c r="AH548">
        <v>0</v>
      </c>
      <c r="AI548">
        <v>131.87799999999999</v>
      </c>
      <c r="AJ548">
        <v>3.2969499999999998</v>
      </c>
      <c r="AK548" t="s">
        <v>54</v>
      </c>
      <c r="AL548">
        <v>34.1</v>
      </c>
      <c r="AM548" s="4">
        <f t="shared" si="65"/>
        <v>131.87799999999999</v>
      </c>
      <c r="AN548" s="4">
        <f t="shared" si="66"/>
        <v>220.49250000000001</v>
      </c>
      <c r="AO548" s="4">
        <f t="shared" si="67"/>
        <v>244.96716750000002</v>
      </c>
      <c r="AP548" s="4">
        <f t="shared" si="68"/>
        <v>357.17580075000001</v>
      </c>
      <c r="AQ548" s="10">
        <f t="shared" si="69"/>
        <v>229.34902979999998</v>
      </c>
      <c r="AR548" s="10">
        <f t="shared" si="70"/>
        <v>254.82970701077997</v>
      </c>
      <c r="AS548" s="10">
        <f t="shared" si="71"/>
        <v>357.05056959263999</v>
      </c>
    </row>
    <row r="549" spans="1:45" x14ac:dyDescent="0.3">
      <c r="A549">
        <v>2025</v>
      </c>
      <c r="B549">
        <v>5</v>
      </c>
      <c r="C549" t="s">
        <v>35</v>
      </c>
      <c r="D549">
        <v>10</v>
      </c>
      <c r="E549" t="s">
        <v>36</v>
      </c>
      <c r="F549" t="s">
        <v>37</v>
      </c>
      <c r="G549" t="s">
        <v>38</v>
      </c>
      <c r="H549" t="s">
        <v>39</v>
      </c>
      <c r="I549" t="s">
        <v>190</v>
      </c>
      <c r="J549" t="s">
        <v>40</v>
      </c>
      <c r="K549" t="s">
        <v>59</v>
      </c>
      <c r="M549">
        <v>442936</v>
      </c>
      <c r="N549" t="s">
        <v>42</v>
      </c>
      <c r="O549" t="s">
        <v>36</v>
      </c>
      <c r="P549" t="s">
        <v>191</v>
      </c>
      <c r="Q549" t="s">
        <v>44</v>
      </c>
      <c r="R549" t="s">
        <v>672</v>
      </c>
      <c r="S549" t="s">
        <v>673</v>
      </c>
      <c r="T549" t="s">
        <v>47</v>
      </c>
      <c r="U549" t="s">
        <v>48</v>
      </c>
      <c r="V549" t="s">
        <v>49</v>
      </c>
      <c r="W549" t="s">
        <v>674</v>
      </c>
      <c r="X549" t="s">
        <v>51</v>
      </c>
      <c r="Y549" t="s">
        <v>675</v>
      </c>
      <c r="Z549" t="s">
        <v>675</v>
      </c>
      <c r="AA549" t="s">
        <v>676</v>
      </c>
      <c r="AB549" s="3">
        <f t="shared" si="64"/>
        <v>5.9999999999998979</v>
      </c>
      <c r="AC549">
        <v>1168.51</v>
      </c>
      <c r="AD549" s="2">
        <v>194.75166666666999</v>
      </c>
      <c r="AE549" s="2">
        <v>103.66</v>
      </c>
      <c r="AF549" s="2">
        <v>7.73</v>
      </c>
      <c r="AG549" s="2">
        <v>1279.9000000000001</v>
      </c>
      <c r="AH549">
        <v>0</v>
      </c>
      <c r="AI549">
        <v>213.31666666666999</v>
      </c>
      <c r="AJ549">
        <v>6.3994999999999997</v>
      </c>
      <c r="AK549" t="s">
        <v>54</v>
      </c>
      <c r="AL549">
        <v>77.459999999999994</v>
      </c>
      <c r="AM549" s="4">
        <f t="shared" si="65"/>
        <v>213.3166666666703</v>
      </c>
      <c r="AN549" s="4">
        <f t="shared" si="66"/>
        <v>365.15937500000621</v>
      </c>
      <c r="AO549" s="4">
        <f t="shared" si="67"/>
        <v>405.69206562500688</v>
      </c>
      <c r="AP549" s="4">
        <f t="shared" si="68"/>
        <v>591.52167156251005</v>
      </c>
      <c r="AQ549" s="10">
        <f t="shared" si="69"/>
        <v>370.97901500000631</v>
      </c>
      <c r="AR549" s="10">
        <f t="shared" si="70"/>
        <v>412.194783566507</v>
      </c>
      <c r="AS549" s="10">
        <f t="shared" si="71"/>
        <v>577.54013055200983</v>
      </c>
    </row>
    <row r="550" spans="1:45" x14ac:dyDescent="0.3">
      <c r="A550">
        <v>2025</v>
      </c>
      <c r="B550">
        <v>5</v>
      </c>
      <c r="C550" t="s">
        <v>35</v>
      </c>
      <c r="D550">
        <v>10</v>
      </c>
      <c r="E550" t="s">
        <v>36</v>
      </c>
      <c r="F550" t="s">
        <v>37</v>
      </c>
      <c r="G550" t="s">
        <v>38</v>
      </c>
      <c r="H550" t="s">
        <v>39</v>
      </c>
      <c r="I550" t="s">
        <v>190</v>
      </c>
      <c r="J550" t="s">
        <v>40</v>
      </c>
      <c r="K550" t="s">
        <v>59</v>
      </c>
      <c r="M550">
        <v>442936</v>
      </c>
      <c r="N550" t="s">
        <v>42</v>
      </c>
      <c r="O550" t="s">
        <v>36</v>
      </c>
      <c r="P550" t="s">
        <v>191</v>
      </c>
      <c r="Q550" t="s">
        <v>44</v>
      </c>
      <c r="R550" t="s">
        <v>672</v>
      </c>
      <c r="S550" t="s">
        <v>673</v>
      </c>
      <c r="T550" t="s">
        <v>47</v>
      </c>
      <c r="U550" t="s">
        <v>48</v>
      </c>
      <c r="V550" t="s">
        <v>49</v>
      </c>
      <c r="W550" t="s">
        <v>674</v>
      </c>
      <c r="X550" t="s">
        <v>51</v>
      </c>
      <c r="Y550" t="s">
        <v>675</v>
      </c>
      <c r="Z550" t="s">
        <v>675</v>
      </c>
      <c r="AA550" t="s">
        <v>676</v>
      </c>
      <c r="AB550" s="3">
        <f t="shared" si="64"/>
        <v>23.999999999999588</v>
      </c>
      <c r="AC550">
        <v>4674.3999999999996</v>
      </c>
      <c r="AD550" s="2">
        <v>194.76666666667001</v>
      </c>
      <c r="AE550" s="2">
        <v>414.63</v>
      </c>
      <c r="AF550" s="2">
        <v>30.93</v>
      </c>
      <c r="AG550" s="2">
        <v>5119.59</v>
      </c>
      <c r="AH550">
        <v>0</v>
      </c>
      <c r="AI550">
        <v>213.31625</v>
      </c>
      <c r="AJ550">
        <v>25.597950000000001</v>
      </c>
      <c r="AK550" t="s">
        <v>54</v>
      </c>
      <c r="AL550">
        <v>309.83999999999997</v>
      </c>
      <c r="AM550" s="4">
        <f t="shared" si="65"/>
        <v>213.31625000000366</v>
      </c>
      <c r="AN550" s="4">
        <f t="shared" si="66"/>
        <v>365.18750000000625</v>
      </c>
      <c r="AO550" s="4">
        <f t="shared" si="67"/>
        <v>405.72331250000695</v>
      </c>
      <c r="AP550" s="4">
        <f t="shared" si="68"/>
        <v>591.56723125001008</v>
      </c>
      <c r="AQ550" s="10">
        <f t="shared" si="69"/>
        <v>370.9782903750064</v>
      </c>
      <c r="AR550" s="10">
        <f t="shared" si="70"/>
        <v>412.19397843566958</v>
      </c>
      <c r="AS550" s="10">
        <f t="shared" si="71"/>
        <v>577.53900245580996</v>
      </c>
    </row>
    <row r="551" spans="1:45" x14ac:dyDescent="0.3">
      <c r="A551">
        <v>2025</v>
      </c>
      <c r="B551">
        <v>5</v>
      </c>
      <c r="C551" t="s">
        <v>35</v>
      </c>
      <c r="D551">
        <v>10</v>
      </c>
      <c r="E551" t="s">
        <v>36</v>
      </c>
      <c r="F551" t="s">
        <v>37</v>
      </c>
      <c r="G551" t="s">
        <v>38</v>
      </c>
      <c r="H551" t="s">
        <v>39</v>
      </c>
      <c r="I551" t="s">
        <v>190</v>
      </c>
      <c r="J551" t="s">
        <v>40</v>
      </c>
      <c r="K551" t="s">
        <v>59</v>
      </c>
      <c r="M551">
        <v>442936</v>
      </c>
      <c r="N551" t="s">
        <v>42</v>
      </c>
      <c r="O551" t="s">
        <v>36</v>
      </c>
      <c r="P551" t="s">
        <v>191</v>
      </c>
      <c r="Q551" t="s">
        <v>44</v>
      </c>
      <c r="R551" t="s">
        <v>672</v>
      </c>
      <c r="S551" t="s">
        <v>673</v>
      </c>
      <c r="T551" t="s">
        <v>47</v>
      </c>
      <c r="U551" t="s">
        <v>48</v>
      </c>
      <c r="V551" t="s">
        <v>49</v>
      </c>
      <c r="W551" t="s">
        <v>674</v>
      </c>
      <c r="X551" t="s">
        <v>51</v>
      </c>
      <c r="Y551" t="s">
        <v>675</v>
      </c>
      <c r="Z551" t="s">
        <v>675</v>
      </c>
      <c r="AA551" t="s">
        <v>676</v>
      </c>
      <c r="AB551" s="3">
        <f t="shared" si="64"/>
        <v>23.999999999999588</v>
      </c>
      <c r="AC551">
        <v>4674.3999999999996</v>
      </c>
      <c r="AD551" s="2">
        <v>194.76666666667001</v>
      </c>
      <c r="AE551" s="2">
        <v>414.63</v>
      </c>
      <c r="AF551" s="2">
        <v>30.93</v>
      </c>
      <c r="AG551" s="2">
        <v>5119.59</v>
      </c>
      <c r="AH551">
        <v>0</v>
      </c>
      <c r="AI551">
        <v>213.31625</v>
      </c>
      <c r="AJ551">
        <v>25.597950000000001</v>
      </c>
      <c r="AK551" t="s">
        <v>54</v>
      </c>
      <c r="AL551">
        <v>309.83999999999997</v>
      </c>
      <c r="AM551" s="4">
        <f t="shared" si="65"/>
        <v>213.31625000000366</v>
      </c>
      <c r="AN551" s="4">
        <f t="shared" si="66"/>
        <v>365.18750000000625</v>
      </c>
      <c r="AO551" s="4">
        <f t="shared" si="67"/>
        <v>405.72331250000695</v>
      </c>
      <c r="AP551" s="4">
        <f t="shared" si="68"/>
        <v>591.56723125001008</v>
      </c>
      <c r="AQ551" s="10">
        <f t="shared" si="69"/>
        <v>370.9782903750064</v>
      </c>
      <c r="AR551" s="10">
        <f t="shared" si="70"/>
        <v>412.19397843566958</v>
      </c>
      <c r="AS551" s="10">
        <f t="shared" si="71"/>
        <v>577.53900245580996</v>
      </c>
    </row>
    <row r="552" spans="1:45" x14ac:dyDescent="0.3">
      <c r="A552">
        <v>2025</v>
      </c>
      <c r="B552">
        <v>5</v>
      </c>
      <c r="C552" t="s">
        <v>35</v>
      </c>
      <c r="D552">
        <v>10</v>
      </c>
      <c r="E552" t="s">
        <v>36</v>
      </c>
      <c r="F552" t="s">
        <v>37</v>
      </c>
      <c r="G552" t="s">
        <v>38</v>
      </c>
      <c r="H552" t="s">
        <v>39</v>
      </c>
      <c r="I552" t="s">
        <v>190</v>
      </c>
      <c r="J552" t="s">
        <v>40</v>
      </c>
      <c r="K552" t="s">
        <v>59</v>
      </c>
      <c r="M552">
        <v>442936</v>
      </c>
      <c r="N552" t="s">
        <v>42</v>
      </c>
      <c r="O552" t="s">
        <v>36</v>
      </c>
      <c r="P552" t="s">
        <v>191</v>
      </c>
      <c r="Q552" t="s">
        <v>44</v>
      </c>
      <c r="R552" t="s">
        <v>672</v>
      </c>
      <c r="S552" t="s">
        <v>673</v>
      </c>
      <c r="T552" t="s">
        <v>47</v>
      </c>
      <c r="U552" t="s">
        <v>48</v>
      </c>
      <c r="V552" t="s">
        <v>49</v>
      </c>
      <c r="W552" t="s">
        <v>674</v>
      </c>
      <c r="X552" t="s">
        <v>51</v>
      </c>
      <c r="Y552" t="s">
        <v>675</v>
      </c>
      <c r="Z552" t="s">
        <v>675</v>
      </c>
      <c r="AA552" t="s">
        <v>676</v>
      </c>
      <c r="AB552" s="3">
        <f t="shared" si="64"/>
        <v>23.999999999999588</v>
      </c>
      <c r="AC552">
        <v>4674.3999999999996</v>
      </c>
      <c r="AD552" s="2">
        <v>194.76666666667001</v>
      </c>
      <c r="AE552" s="2">
        <v>414.63</v>
      </c>
      <c r="AF552" s="2">
        <v>30.93</v>
      </c>
      <c r="AG552" s="2">
        <v>5119.59</v>
      </c>
      <c r="AH552">
        <v>0</v>
      </c>
      <c r="AI552">
        <v>213.31625</v>
      </c>
      <c r="AJ552">
        <v>25.597950000000001</v>
      </c>
      <c r="AK552" t="s">
        <v>54</v>
      </c>
      <c r="AL552">
        <v>309.83999999999997</v>
      </c>
      <c r="AM552" s="4">
        <f t="shared" si="65"/>
        <v>213.31625000000366</v>
      </c>
      <c r="AN552" s="4">
        <f t="shared" si="66"/>
        <v>365.18750000000625</v>
      </c>
      <c r="AO552" s="4">
        <f t="shared" si="67"/>
        <v>405.72331250000695</v>
      </c>
      <c r="AP552" s="4">
        <f t="shared" si="68"/>
        <v>591.56723125001008</v>
      </c>
      <c r="AQ552" s="10">
        <f t="shared" si="69"/>
        <v>370.9782903750064</v>
      </c>
      <c r="AR552" s="10">
        <f t="shared" si="70"/>
        <v>412.19397843566958</v>
      </c>
      <c r="AS552" s="10">
        <f t="shared" si="71"/>
        <v>577.53900245580996</v>
      </c>
    </row>
    <row r="553" spans="1:45" x14ac:dyDescent="0.3">
      <c r="A553">
        <v>2025</v>
      </c>
      <c r="B553">
        <v>5</v>
      </c>
      <c r="C553" t="s">
        <v>35</v>
      </c>
      <c r="D553">
        <v>10</v>
      </c>
      <c r="E553" t="s">
        <v>36</v>
      </c>
      <c r="F553" t="s">
        <v>37</v>
      </c>
      <c r="G553" t="s">
        <v>38</v>
      </c>
      <c r="H553" t="s">
        <v>39</v>
      </c>
      <c r="I553" t="s">
        <v>190</v>
      </c>
      <c r="J553" t="s">
        <v>40</v>
      </c>
      <c r="K553" t="s">
        <v>59</v>
      </c>
      <c r="M553">
        <v>442936</v>
      </c>
      <c r="N553" t="s">
        <v>42</v>
      </c>
      <c r="O553" t="s">
        <v>36</v>
      </c>
      <c r="P553" t="s">
        <v>191</v>
      </c>
      <c r="Q553" t="s">
        <v>44</v>
      </c>
      <c r="R553" t="s">
        <v>672</v>
      </c>
      <c r="S553" t="s">
        <v>673</v>
      </c>
      <c r="T553" t="s">
        <v>47</v>
      </c>
      <c r="U553" t="s">
        <v>48</v>
      </c>
      <c r="V553" t="s">
        <v>49</v>
      </c>
      <c r="W553" t="s">
        <v>674</v>
      </c>
      <c r="X553" t="s">
        <v>51</v>
      </c>
      <c r="Y553" t="s">
        <v>675</v>
      </c>
      <c r="Z553" t="s">
        <v>675</v>
      </c>
      <c r="AA553" t="s">
        <v>676</v>
      </c>
      <c r="AB553" s="3">
        <f t="shared" si="64"/>
        <v>23.999999999999588</v>
      </c>
      <c r="AC553">
        <v>4674.3999999999996</v>
      </c>
      <c r="AD553" s="2">
        <v>194.76666666667001</v>
      </c>
      <c r="AE553" s="2">
        <v>414.63</v>
      </c>
      <c r="AF553" s="2">
        <v>30.93</v>
      </c>
      <c r="AG553" s="2">
        <v>5119.59</v>
      </c>
      <c r="AH553">
        <v>0</v>
      </c>
      <c r="AI553">
        <v>213.31625</v>
      </c>
      <c r="AJ553">
        <v>25.597950000000001</v>
      </c>
      <c r="AK553" t="s">
        <v>54</v>
      </c>
      <c r="AL553">
        <v>309.83999999999997</v>
      </c>
      <c r="AM553" s="4">
        <f t="shared" si="65"/>
        <v>213.31625000000366</v>
      </c>
      <c r="AN553" s="4">
        <f t="shared" si="66"/>
        <v>365.18750000000625</v>
      </c>
      <c r="AO553" s="4">
        <f t="shared" si="67"/>
        <v>405.72331250000695</v>
      </c>
      <c r="AP553" s="4">
        <f t="shared" si="68"/>
        <v>591.56723125001008</v>
      </c>
      <c r="AQ553" s="10">
        <f t="shared" si="69"/>
        <v>370.9782903750064</v>
      </c>
      <c r="AR553" s="10">
        <f t="shared" si="70"/>
        <v>412.19397843566958</v>
      </c>
      <c r="AS553" s="10">
        <f t="shared" si="71"/>
        <v>577.53900245580996</v>
      </c>
    </row>
    <row r="554" spans="1:45" x14ac:dyDescent="0.3">
      <c r="A554">
        <v>2025</v>
      </c>
      <c r="B554">
        <v>5</v>
      </c>
      <c r="C554" t="s">
        <v>35</v>
      </c>
      <c r="D554">
        <v>10</v>
      </c>
      <c r="E554" t="s">
        <v>36</v>
      </c>
      <c r="F554" t="s">
        <v>37</v>
      </c>
      <c r="G554" t="s">
        <v>38</v>
      </c>
      <c r="H554" t="s">
        <v>39</v>
      </c>
      <c r="I554" t="s">
        <v>190</v>
      </c>
      <c r="J554" t="s">
        <v>40</v>
      </c>
      <c r="K554" t="s">
        <v>59</v>
      </c>
      <c r="M554">
        <v>442936</v>
      </c>
      <c r="N554" t="s">
        <v>42</v>
      </c>
      <c r="O554" t="s">
        <v>36</v>
      </c>
      <c r="P554" t="s">
        <v>191</v>
      </c>
      <c r="Q554" t="s">
        <v>44</v>
      </c>
      <c r="R554" t="s">
        <v>672</v>
      </c>
      <c r="S554" t="s">
        <v>673</v>
      </c>
      <c r="T554" t="s">
        <v>47</v>
      </c>
      <c r="U554" t="s">
        <v>48</v>
      </c>
      <c r="V554" t="s">
        <v>49</v>
      </c>
      <c r="W554" t="s">
        <v>674</v>
      </c>
      <c r="X554" t="s">
        <v>51</v>
      </c>
      <c r="Y554" t="s">
        <v>675</v>
      </c>
      <c r="Z554" t="s">
        <v>675</v>
      </c>
      <c r="AA554" t="s">
        <v>676</v>
      </c>
      <c r="AB554" s="3">
        <f t="shared" si="64"/>
        <v>23.999999999999588</v>
      </c>
      <c r="AC554">
        <v>4674.3999999999996</v>
      </c>
      <c r="AD554" s="2">
        <v>194.76666666667001</v>
      </c>
      <c r="AE554" s="2">
        <v>414.63</v>
      </c>
      <c r="AF554" s="2">
        <v>30.93</v>
      </c>
      <c r="AG554" s="2">
        <v>5119.59</v>
      </c>
      <c r="AH554">
        <v>0</v>
      </c>
      <c r="AI554">
        <v>213.31625</v>
      </c>
      <c r="AJ554">
        <v>25.597950000000001</v>
      </c>
      <c r="AK554" t="s">
        <v>54</v>
      </c>
      <c r="AL554">
        <v>309.83999999999997</v>
      </c>
      <c r="AM554" s="4">
        <f t="shared" si="65"/>
        <v>213.31625000000366</v>
      </c>
      <c r="AN554" s="4">
        <f t="shared" si="66"/>
        <v>365.18750000000625</v>
      </c>
      <c r="AO554" s="4">
        <f t="shared" si="67"/>
        <v>405.72331250000695</v>
      </c>
      <c r="AP554" s="4">
        <f t="shared" si="68"/>
        <v>591.56723125001008</v>
      </c>
      <c r="AQ554" s="10">
        <f t="shared" si="69"/>
        <v>370.9782903750064</v>
      </c>
      <c r="AR554" s="10">
        <f t="shared" si="70"/>
        <v>412.19397843566958</v>
      </c>
      <c r="AS554" s="10">
        <f t="shared" si="71"/>
        <v>577.53900245580996</v>
      </c>
    </row>
    <row r="555" spans="1:45" x14ac:dyDescent="0.3">
      <c r="A555">
        <v>2025</v>
      </c>
      <c r="B555">
        <v>11</v>
      </c>
      <c r="C555" t="s">
        <v>35</v>
      </c>
      <c r="D555">
        <v>10</v>
      </c>
      <c r="E555" t="s">
        <v>36</v>
      </c>
      <c r="F555" t="s">
        <v>37</v>
      </c>
      <c r="G555" t="s">
        <v>38</v>
      </c>
      <c r="H555" t="s">
        <v>39</v>
      </c>
      <c r="I555" t="s">
        <v>1615</v>
      </c>
      <c r="K555" t="s">
        <v>1616</v>
      </c>
      <c r="L555" t="s">
        <v>1617</v>
      </c>
      <c r="M555" t="s">
        <v>1618</v>
      </c>
      <c r="N555" t="s">
        <v>42</v>
      </c>
      <c r="O555" t="s">
        <v>1197</v>
      </c>
      <c r="Q555" t="s">
        <v>44</v>
      </c>
      <c r="R555" t="s">
        <v>1619</v>
      </c>
      <c r="S555" t="s">
        <v>1620</v>
      </c>
      <c r="T555" t="s">
        <v>47</v>
      </c>
      <c r="U555" t="s">
        <v>48</v>
      </c>
      <c r="V555" t="s">
        <v>49</v>
      </c>
      <c r="W555" t="s">
        <v>674</v>
      </c>
      <c r="X555" t="s">
        <v>388</v>
      </c>
      <c r="Y555" t="s">
        <v>675</v>
      </c>
      <c r="Z555" t="s">
        <v>675</v>
      </c>
      <c r="AA555" t="s">
        <v>676</v>
      </c>
      <c r="AB555" s="3">
        <f t="shared" si="64"/>
        <v>23.999999999999588</v>
      </c>
      <c r="AC555">
        <v>4674.3999999999996</v>
      </c>
      <c r="AD555" s="2">
        <v>194.76666666667001</v>
      </c>
      <c r="AE555" s="2">
        <v>414.63</v>
      </c>
      <c r="AF555" s="2">
        <v>30.93</v>
      </c>
      <c r="AG555" s="2">
        <v>5119.59</v>
      </c>
      <c r="AH555">
        <v>0</v>
      </c>
      <c r="AI555">
        <v>213.31625</v>
      </c>
      <c r="AJ555">
        <v>25.597950000000001</v>
      </c>
      <c r="AK555" t="s">
        <v>54</v>
      </c>
      <c r="AL555">
        <v>309.83999999999997</v>
      </c>
      <c r="AM555" s="4">
        <f t="shared" si="65"/>
        <v>213.31625000000366</v>
      </c>
      <c r="AN555" s="4">
        <f t="shared" si="66"/>
        <v>365.18750000000625</v>
      </c>
      <c r="AO555" s="4">
        <f t="shared" si="67"/>
        <v>405.72331250000695</v>
      </c>
      <c r="AP555" s="4">
        <f t="shared" si="68"/>
        <v>591.56723125001008</v>
      </c>
      <c r="AQ555" s="10">
        <f t="shared" si="69"/>
        <v>370.9782903750064</v>
      </c>
      <c r="AR555" s="10">
        <f t="shared" si="70"/>
        <v>412.19397843566958</v>
      </c>
      <c r="AS555" s="10">
        <f t="shared" si="71"/>
        <v>577.53900245580996</v>
      </c>
    </row>
    <row r="556" spans="1:45" x14ac:dyDescent="0.3">
      <c r="A556">
        <v>2025</v>
      </c>
      <c r="B556">
        <v>11</v>
      </c>
      <c r="C556" t="s">
        <v>35</v>
      </c>
      <c r="D556">
        <v>10</v>
      </c>
      <c r="E556" t="s">
        <v>36</v>
      </c>
      <c r="F556" t="s">
        <v>37</v>
      </c>
      <c r="G556" t="s">
        <v>38</v>
      </c>
      <c r="H556" t="s">
        <v>39</v>
      </c>
      <c r="I556" t="s">
        <v>1615</v>
      </c>
      <c r="K556" t="s">
        <v>1616</v>
      </c>
      <c r="L556" t="s">
        <v>1617</v>
      </c>
      <c r="M556" t="s">
        <v>1618</v>
      </c>
      <c r="N556" t="s">
        <v>42</v>
      </c>
      <c r="O556" t="s">
        <v>1197</v>
      </c>
      <c r="Q556" t="s">
        <v>44</v>
      </c>
      <c r="R556" t="s">
        <v>1619</v>
      </c>
      <c r="S556" t="s">
        <v>1620</v>
      </c>
      <c r="T556" t="s">
        <v>47</v>
      </c>
      <c r="U556" t="s">
        <v>48</v>
      </c>
      <c r="V556" t="s">
        <v>49</v>
      </c>
      <c r="W556" t="s">
        <v>674</v>
      </c>
      <c r="X556" t="s">
        <v>388</v>
      </c>
      <c r="Y556" t="s">
        <v>1621</v>
      </c>
      <c r="Z556" t="s">
        <v>1621</v>
      </c>
      <c r="AA556" t="s">
        <v>676</v>
      </c>
      <c r="AB556" s="3">
        <f t="shared" si="64"/>
        <v>1</v>
      </c>
      <c r="AC556">
        <v>173.19</v>
      </c>
      <c r="AD556" s="2">
        <v>173.19</v>
      </c>
      <c r="AE556" s="2">
        <v>19.84</v>
      </c>
      <c r="AF556" s="2">
        <v>1.19</v>
      </c>
      <c r="AG556" s="2">
        <v>194.22</v>
      </c>
      <c r="AH556">
        <v>0</v>
      </c>
      <c r="AI556">
        <v>194.22</v>
      </c>
      <c r="AJ556">
        <v>0.97109999999999996</v>
      </c>
      <c r="AK556" t="s">
        <v>54</v>
      </c>
      <c r="AL556">
        <v>10.199999999999999</v>
      </c>
      <c r="AM556" s="4">
        <f t="shared" si="65"/>
        <v>194.22</v>
      </c>
      <c r="AN556" s="4">
        <f t="shared" si="66"/>
        <v>324.73124999999999</v>
      </c>
      <c r="AO556" s="4">
        <f t="shared" si="67"/>
        <v>360.77641875</v>
      </c>
      <c r="AP556" s="4">
        <f t="shared" si="68"/>
        <v>526.03215187499995</v>
      </c>
      <c r="AQ556" s="10">
        <f t="shared" si="69"/>
        <v>337.76800200000002</v>
      </c>
      <c r="AR556" s="10">
        <f t="shared" si="70"/>
        <v>375.2940270222</v>
      </c>
      <c r="AS556" s="10">
        <f t="shared" si="71"/>
        <v>525.83722551360006</v>
      </c>
    </row>
    <row r="557" spans="1:45" x14ac:dyDescent="0.3">
      <c r="A557">
        <v>2025</v>
      </c>
      <c r="B557">
        <v>11</v>
      </c>
      <c r="C557" t="s">
        <v>35</v>
      </c>
      <c r="D557">
        <v>10</v>
      </c>
      <c r="E557" t="s">
        <v>36</v>
      </c>
      <c r="F557" t="s">
        <v>37</v>
      </c>
      <c r="G557" t="s">
        <v>38</v>
      </c>
      <c r="H557" t="s">
        <v>39</v>
      </c>
      <c r="I557" t="s">
        <v>1615</v>
      </c>
      <c r="K557" t="s">
        <v>1616</v>
      </c>
      <c r="L557" t="s">
        <v>1617</v>
      </c>
      <c r="M557" t="s">
        <v>1618</v>
      </c>
      <c r="N557" t="s">
        <v>42</v>
      </c>
      <c r="O557" t="s">
        <v>1197</v>
      </c>
      <c r="Q557" t="s">
        <v>44</v>
      </c>
      <c r="R557" t="s">
        <v>1619</v>
      </c>
      <c r="S557" t="s">
        <v>1620</v>
      </c>
      <c r="T557" t="s">
        <v>47</v>
      </c>
      <c r="U557" t="s">
        <v>48</v>
      </c>
      <c r="V557" t="s">
        <v>49</v>
      </c>
      <c r="W557" t="s">
        <v>674</v>
      </c>
      <c r="X557" t="s">
        <v>388</v>
      </c>
      <c r="Y557" t="s">
        <v>1621</v>
      </c>
      <c r="Z557" t="s">
        <v>1621</v>
      </c>
      <c r="AA557" t="s">
        <v>676</v>
      </c>
      <c r="AB557" s="3">
        <f t="shared" si="64"/>
        <v>1</v>
      </c>
      <c r="AC557">
        <v>173.19</v>
      </c>
      <c r="AD557" s="2">
        <v>173.19</v>
      </c>
      <c r="AE557" s="2">
        <v>19.84</v>
      </c>
      <c r="AF557" s="2">
        <v>1.19</v>
      </c>
      <c r="AG557" s="2">
        <v>194.22</v>
      </c>
      <c r="AH557">
        <v>0</v>
      </c>
      <c r="AI557">
        <v>194.22</v>
      </c>
      <c r="AJ557">
        <v>0.97109999999999996</v>
      </c>
      <c r="AK557" t="s">
        <v>54</v>
      </c>
      <c r="AL557">
        <v>10.199999999999999</v>
      </c>
      <c r="AM557" s="4">
        <f t="shared" si="65"/>
        <v>194.22</v>
      </c>
      <c r="AN557" s="4">
        <f t="shared" si="66"/>
        <v>324.73124999999999</v>
      </c>
      <c r="AO557" s="4">
        <f t="shared" si="67"/>
        <v>360.77641875</v>
      </c>
      <c r="AP557" s="4">
        <f t="shared" si="68"/>
        <v>526.03215187499995</v>
      </c>
      <c r="AQ557" s="10">
        <f t="shared" si="69"/>
        <v>337.76800200000002</v>
      </c>
      <c r="AR557" s="10">
        <f t="shared" si="70"/>
        <v>375.2940270222</v>
      </c>
      <c r="AS557" s="10">
        <f t="shared" si="71"/>
        <v>525.83722551360006</v>
      </c>
    </row>
    <row r="558" spans="1:45" x14ac:dyDescent="0.3">
      <c r="A558">
        <v>2025</v>
      </c>
      <c r="B558">
        <v>11</v>
      </c>
      <c r="C558" t="s">
        <v>35</v>
      </c>
      <c r="D558">
        <v>10</v>
      </c>
      <c r="E558" t="s">
        <v>36</v>
      </c>
      <c r="F558" t="s">
        <v>37</v>
      </c>
      <c r="G558" t="s">
        <v>38</v>
      </c>
      <c r="H558" t="s">
        <v>39</v>
      </c>
      <c r="I558" t="s">
        <v>1615</v>
      </c>
      <c r="K558" t="s">
        <v>1616</v>
      </c>
      <c r="L558" t="s">
        <v>1617</v>
      </c>
      <c r="M558" t="s">
        <v>1618</v>
      </c>
      <c r="N558" t="s">
        <v>42</v>
      </c>
      <c r="O558" t="s">
        <v>1197</v>
      </c>
      <c r="Q558" t="s">
        <v>44</v>
      </c>
      <c r="R558" t="s">
        <v>1619</v>
      </c>
      <c r="S558" t="s">
        <v>1620</v>
      </c>
      <c r="T558" t="s">
        <v>47</v>
      </c>
      <c r="U558" t="s">
        <v>48</v>
      </c>
      <c r="V558" t="s">
        <v>49</v>
      </c>
      <c r="W558" t="s">
        <v>674</v>
      </c>
      <c r="X558" t="s">
        <v>388</v>
      </c>
      <c r="Y558" t="s">
        <v>1621</v>
      </c>
      <c r="Z558" t="s">
        <v>1621</v>
      </c>
      <c r="AA558" t="s">
        <v>676</v>
      </c>
      <c r="AB558" s="3">
        <f t="shared" si="64"/>
        <v>23.999999999999996</v>
      </c>
      <c r="AC558">
        <v>4156.4399999999996</v>
      </c>
      <c r="AD558" s="2">
        <v>173.185</v>
      </c>
      <c r="AE558" s="2">
        <v>476.25</v>
      </c>
      <c r="AF558" s="2">
        <v>28.54</v>
      </c>
      <c r="AG558" s="2">
        <v>4661.2299999999996</v>
      </c>
      <c r="AH558">
        <v>0</v>
      </c>
      <c r="AI558">
        <v>194.21791666666999</v>
      </c>
      <c r="AJ558">
        <v>23.306149999999999</v>
      </c>
      <c r="AK558" t="s">
        <v>54</v>
      </c>
      <c r="AL558">
        <v>240.43</v>
      </c>
      <c r="AM558" s="4">
        <f t="shared" si="65"/>
        <v>194.21791666666667</v>
      </c>
      <c r="AN558" s="4">
        <f t="shared" si="66"/>
        <v>324.72187500000001</v>
      </c>
      <c r="AO558" s="4">
        <f t="shared" si="67"/>
        <v>360.766003125</v>
      </c>
      <c r="AP558" s="4">
        <f t="shared" si="68"/>
        <v>526.01696531250002</v>
      </c>
      <c r="AQ558" s="10">
        <f t="shared" si="69"/>
        <v>337.76437887500003</v>
      </c>
      <c r="AR558" s="10">
        <f t="shared" si="70"/>
        <v>375.29000136801255</v>
      </c>
      <c r="AS558" s="10">
        <f t="shared" si="71"/>
        <v>525.83158503260006</v>
      </c>
    </row>
    <row r="559" spans="1:45" x14ac:dyDescent="0.3">
      <c r="A559">
        <v>2025</v>
      </c>
      <c r="B559">
        <v>8</v>
      </c>
      <c r="C559" t="s">
        <v>55</v>
      </c>
      <c r="D559">
        <v>10</v>
      </c>
      <c r="E559" t="s">
        <v>36</v>
      </c>
      <c r="F559" t="s">
        <v>37</v>
      </c>
      <c r="G559" t="s">
        <v>38</v>
      </c>
      <c r="H559" t="s">
        <v>56</v>
      </c>
      <c r="I559" t="s">
        <v>190</v>
      </c>
      <c r="J559" t="s">
        <v>58</v>
      </c>
      <c r="K559" t="s">
        <v>59</v>
      </c>
      <c r="L559" t="s">
        <v>1194</v>
      </c>
      <c r="M559" t="s">
        <v>1195</v>
      </c>
      <c r="N559" t="s">
        <v>1196</v>
      </c>
      <c r="O559" t="s">
        <v>1197</v>
      </c>
      <c r="Q559" t="s">
        <v>62</v>
      </c>
      <c r="R559" t="s">
        <v>1198</v>
      </c>
      <c r="S559" t="s">
        <v>1198</v>
      </c>
      <c r="T559" t="s">
        <v>47</v>
      </c>
      <c r="U559" t="s">
        <v>72</v>
      </c>
      <c r="V559" t="s">
        <v>49</v>
      </c>
      <c r="W559" t="s">
        <v>73</v>
      </c>
      <c r="X559" t="s">
        <v>388</v>
      </c>
      <c r="Y559" t="s">
        <v>1621</v>
      </c>
      <c r="Z559" t="s">
        <v>1621</v>
      </c>
      <c r="AA559" t="s">
        <v>676</v>
      </c>
      <c r="AB559" s="3">
        <f t="shared" si="64"/>
        <v>23.999999999999996</v>
      </c>
      <c r="AC559">
        <v>4156.4399999999996</v>
      </c>
      <c r="AD559" s="2">
        <v>173.185</v>
      </c>
      <c r="AE559" s="2">
        <v>476.25</v>
      </c>
      <c r="AF559" s="2">
        <v>28.54</v>
      </c>
      <c r="AG559" s="2">
        <v>4661.2299999999996</v>
      </c>
      <c r="AH559">
        <v>0</v>
      </c>
      <c r="AI559">
        <v>194.21791666666999</v>
      </c>
      <c r="AJ559">
        <v>23.306149999999999</v>
      </c>
      <c r="AK559" t="s">
        <v>54</v>
      </c>
      <c r="AL559">
        <v>240.43</v>
      </c>
      <c r="AM559" s="4">
        <f t="shared" si="65"/>
        <v>194.21791666666667</v>
      </c>
      <c r="AN559" s="4">
        <f t="shared" si="66"/>
        <v>324.72187500000001</v>
      </c>
      <c r="AO559" s="4">
        <f t="shared" si="67"/>
        <v>360.766003125</v>
      </c>
      <c r="AP559" s="4">
        <f t="shared" si="68"/>
        <v>526.01696531250002</v>
      </c>
      <c r="AQ559" s="10">
        <f t="shared" si="69"/>
        <v>337.76437887500003</v>
      </c>
      <c r="AR559" s="10">
        <f t="shared" si="70"/>
        <v>375.29000136801255</v>
      </c>
      <c r="AS559" s="10">
        <f t="shared" si="71"/>
        <v>525.83158503260006</v>
      </c>
    </row>
    <row r="560" spans="1:45" x14ac:dyDescent="0.3">
      <c r="A560">
        <v>2025</v>
      </c>
      <c r="B560">
        <v>8</v>
      </c>
      <c r="C560" t="s">
        <v>55</v>
      </c>
      <c r="D560">
        <v>10</v>
      </c>
      <c r="E560" t="s">
        <v>36</v>
      </c>
      <c r="F560" t="s">
        <v>37</v>
      </c>
      <c r="G560" t="s">
        <v>38</v>
      </c>
      <c r="H560" t="s">
        <v>56</v>
      </c>
      <c r="I560" t="s">
        <v>190</v>
      </c>
      <c r="J560" t="s">
        <v>58</v>
      </c>
      <c r="K560" t="s">
        <v>59</v>
      </c>
      <c r="L560" t="s">
        <v>1194</v>
      </c>
      <c r="M560" t="s">
        <v>1195</v>
      </c>
      <c r="N560" t="s">
        <v>1196</v>
      </c>
      <c r="O560" t="s">
        <v>1197</v>
      </c>
      <c r="Q560" t="s">
        <v>62</v>
      </c>
      <c r="R560" t="s">
        <v>1198</v>
      </c>
      <c r="S560" t="s">
        <v>1198</v>
      </c>
      <c r="T560" t="s">
        <v>47</v>
      </c>
      <c r="U560" t="s">
        <v>72</v>
      </c>
      <c r="V560" t="s">
        <v>49</v>
      </c>
      <c r="W560" t="s">
        <v>73</v>
      </c>
      <c r="X560" t="s">
        <v>388</v>
      </c>
      <c r="Y560" t="s">
        <v>1202</v>
      </c>
      <c r="Z560" t="s">
        <v>1202</v>
      </c>
      <c r="AA560" t="s">
        <v>1203</v>
      </c>
      <c r="AB560" s="3">
        <f t="shared" si="64"/>
        <v>1</v>
      </c>
      <c r="AC560">
        <v>247.5</v>
      </c>
      <c r="AD560" s="2">
        <v>247.5</v>
      </c>
      <c r="AE560" s="2">
        <v>17.71</v>
      </c>
      <c r="AF560" s="2">
        <v>1.6</v>
      </c>
      <c r="AG560" s="2">
        <v>266.36</v>
      </c>
      <c r="AH560">
        <v>0</v>
      </c>
      <c r="AI560">
        <v>266.36</v>
      </c>
      <c r="AJ560">
        <v>1.3318000000000001</v>
      </c>
      <c r="AK560" t="s">
        <v>54</v>
      </c>
      <c r="AL560">
        <v>2.8</v>
      </c>
      <c r="AM560" s="4">
        <f t="shared" si="65"/>
        <v>266.36</v>
      </c>
      <c r="AN560" s="4">
        <f t="shared" si="66"/>
        <v>464.0625</v>
      </c>
      <c r="AO560" s="4">
        <f t="shared" si="67"/>
        <v>515.57343749999995</v>
      </c>
      <c r="AP560" s="4">
        <f t="shared" si="68"/>
        <v>751.73484374999998</v>
      </c>
      <c r="AQ560" s="10">
        <f t="shared" si="69"/>
        <v>463.22667600000005</v>
      </c>
      <c r="AR560" s="10">
        <f t="shared" si="70"/>
        <v>514.69115970360008</v>
      </c>
      <c r="AS560" s="10">
        <f t="shared" si="71"/>
        <v>721.15128919680012</v>
      </c>
    </row>
    <row r="561" spans="1:45" x14ac:dyDescent="0.3">
      <c r="A561">
        <v>2025</v>
      </c>
      <c r="B561">
        <v>5</v>
      </c>
      <c r="C561" t="s">
        <v>35</v>
      </c>
      <c r="D561">
        <v>10</v>
      </c>
      <c r="E561" t="s">
        <v>36</v>
      </c>
      <c r="F561" t="s">
        <v>37</v>
      </c>
      <c r="G561" t="s">
        <v>38</v>
      </c>
      <c r="H561" t="s">
        <v>39</v>
      </c>
      <c r="I561" t="s">
        <v>190</v>
      </c>
      <c r="J561" t="s">
        <v>40</v>
      </c>
      <c r="K561" t="s">
        <v>59</v>
      </c>
      <c r="M561">
        <v>442936</v>
      </c>
      <c r="N561" t="s">
        <v>42</v>
      </c>
      <c r="O561" t="s">
        <v>36</v>
      </c>
      <c r="P561" t="s">
        <v>191</v>
      </c>
      <c r="Q561" t="s">
        <v>44</v>
      </c>
      <c r="R561" t="s">
        <v>672</v>
      </c>
      <c r="S561" t="s">
        <v>673</v>
      </c>
      <c r="T561" t="s">
        <v>47</v>
      </c>
      <c r="U561" t="s">
        <v>48</v>
      </c>
      <c r="V561" t="s">
        <v>49</v>
      </c>
      <c r="W561" t="s">
        <v>674</v>
      </c>
      <c r="X561" t="s">
        <v>51</v>
      </c>
      <c r="Y561" t="s">
        <v>1202</v>
      </c>
      <c r="Z561" t="s">
        <v>1202</v>
      </c>
      <c r="AA561" t="s">
        <v>1203</v>
      </c>
      <c r="AB561" s="3">
        <f t="shared" si="64"/>
        <v>1</v>
      </c>
      <c r="AC561">
        <v>247.5</v>
      </c>
      <c r="AD561" s="2">
        <v>247.5</v>
      </c>
      <c r="AE561" s="2">
        <v>17.71</v>
      </c>
      <c r="AF561" s="2">
        <v>1.6</v>
      </c>
      <c r="AG561" s="2">
        <v>266.36</v>
      </c>
      <c r="AH561">
        <v>0</v>
      </c>
      <c r="AI561">
        <v>266.36</v>
      </c>
      <c r="AJ561">
        <v>1.3318000000000001</v>
      </c>
      <c r="AK561" t="s">
        <v>54</v>
      </c>
      <c r="AL561">
        <v>2.8</v>
      </c>
      <c r="AM561" s="4">
        <f t="shared" si="65"/>
        <v>266.36</v>
      </c>
      <c r="AN561" s="4">
        <f t="shared" si="66"/>
        <v>464.0625</v>
      </c>
      <c r="AO561" s="4">
        <f t="shared" si="67"/>
        <v>515.57343749999995</v>
      </c>
      <c r="AP561" s="4">
        <f t="shared" si="68"/>
        <v>751.73484374999998</v>
      </c>
      <c r="AQ561" s="10">
        <f t="shared" si="69"/>
        <v>463.22667600000005</v>
      </c>
      <c r="AR561" s="10">
        <f t="shared" si="70"/>
        <v>514.69115970360008</v>
      </c>
      <c r="AS561" s="10">
        <f t="shared" si="71"/>
        <v>721.15128919680012</v>
      </c>
    </row>
    <row r="562" spans="1:45" x14ac:dyDescent="0.3">
      <c r="A562">
        <v>2025</v>
      </c>
      <c r="B562">
        <v>5</v>
      </c>
      <c r="C562" t="s">
        <v>35</v>
      </c>
      <c r="D562">
        <v>10</v>
      </c>
      <c r="E562" t="s">
        <v>36</v>
      </c>
      <c r="F562" t="s">
        <v>37</v>
      </c>
      <c r="G562" t="s">
        <v>38</v>
      </c>
      <c r="H562" t="s">
        <v>39</v>
      </c>
      <c r="I562" t="s">
        <v>190</v>
      </c>
      <c r="J562" t="s">
        <v>40</v>
      </c>
      <c r="K562" t="s">
        <v>59</v>
      </c>
      <c r="M562">
        <v>442936</v>
      </c>
      <c r="N562" t="s">
        <v>42</v>
      </c>
      <c r="O562" t="s">
        <v>36</v>
      </c>
      <c r="P562" t="s">
        <v>191</v>
      </c>
      <c r="Q562" t="s">
        <v>44</v>
      </c>
      <c r="R562" t="s">
        <v>672</v>
      </c>
      <c r="S562" t="s">
        <v>673</v>
      </c>
      <c r="T562" t="s">
        <v>47</v>
      </c>
      <c r="U562" t="s">
        <v>48</v>
      </c>
      <c r="V562" t="s">
        <v>49</v>
      </c>
      <c r="W562" t="s">
        <v>674</v>
      </c>
      <c r="X562" t="s">
        <v>51</v>
      </c>
      <c r="Y562" t="s">
        <v>675</v>
      </c>
      <c r="Z562" t="s">
        <v>675</v>
      </c>
      <c r="AA562" t="s">
        <v>677</v>
      </c>
      <c r="AB562" s="3">
        <f t="shared" si="64"/>
        <v>1</v>
      </c>
      <c r="AC562">
        <v>55.57</v>
      </c>
      <c r="AD562" s="2">
        <v>55.57</v>
      </c>
      <c r="AE562" s="2">
        <v>17.28</v>
      </c>
      <c r="AF562" s="2">
        <v>0.34</v>
      </c>
      <c r="AG562" s="2">
        <v>73.19</v>
      </c>
      <c r="AH562">
        <v>0</v>
      </c>
      <c r="AI562">
        <v>73.19</v>
      </c>
      <c r="AJ562">
        <v>0.36595</v>
      </c>
      <c r="AK562" t="s">
        <v>54</v>
      </c>
      <c r="AL562">
        <v>12.91</v>
      </c>
      <c r="AM562" s="4">
        <f t="shared" si="65"/>
        <v>73.19</v>
      </c>
      <c r="AN562" s="4">
        <f t="shared" si="66"/>
        <v>104.19374999999999</v>
      </c>
      <c r="AO562" s="4">
        <f t="shared" si="67"/>
        <v>115.75925624999999</v>
      </c>
      <c r="AP562" s="4">
        <f t="shared" si="68"/>
        <v>168.78345562499999</v>
      </c>
      <c r="AQ562" s="10">
        <f t="shared" si="69"/>
        <v>127.284729</v>
      </c>
      <c r="AR562" s="10">
        <f t="shared" si="70"/>
        <v>141.42606239189999</v>
      </c>
      <c r="AS562" s="10">
        <f t="shared" si="71"/>
        <v>198.15686610719999</v>
      </c>
    </row>
    <row r="563" spans="1:45" x14ac:dyDescent="0.3">
      <c r="A563">
        <v>2025</v>
      </c>
      <c r="B563">
        <v>5</v>
      </c>
      <c r="C563" t="s">
        <v>35</v>
      </c>
      <c r="D563">
        <v>10</v>
      </c>
      <c r="E563" t="s">
        <v>36</v>
      </c>
      <c r="F563" t="s">
        <v>37</v>
      </c>
      <c r="G563" t="s">
        <v>38</v>
      </c>
      <c r="H563" t="s">
        <v>39</v>
      </c>
      <c r="I563" t="s">
        <v>190</v>
      </c>
      <c r="J563" t="s">
        <v>40</v>
      </c>
      <c r="K563" t="s">
        <v>59</v>
      </c>
      <c r="M563">
        <v>442936</v>
      </c>
      <c r="N563" t="s">
        <v>42</v>
      </c>
      <c r="O563" t="s">
        <v>36</v>
      </c>
      <c r="P563" t="s">
        <v>191</v>
      </c>
      <c r="Q563" t="s">
        <v>44</v>
      </c>
      <c r="R563" t="s">
        <v>672</v>
      </c>
      <c r="S563" t="s">
        <v>673</v>
      </c>
      <c r="T563" t="s">
        <v>47</v>
      </c>
      <c r="U563" t="s">
        <v>48</v>
      </c>
      <c r="V563" t="s">
        <v>49</v>
      </c>
      <c r="W563" t="s">
        <v>674</v>
      </c>
      <c r="X563" t="s">
        <v>51</v>
      </c>
      <c r="Y563" t="s">
        <v>675</v>
      </c>
      <c r="Z563" t="s">
        <v>675</v>
      </c>
      <c r="AA563" t="s">
        <v>677</v>
      </c>
      <c r="AB563" s="3">
        <f t="shared" si="64"/>
        <v>15.000000000000091</v>
      </c>
      <c r="AC563">
        <v>833.57</v>
      </c>
      <c r="AD563" s="2">
        <v>55.571333333333001</v>
      </c>
      <c r="AE563" s="2">
        <v>259.14</v>
      </c>
      <c r="AF563" s="2">
        <v>5.16</v>
      </c>
      <c r="AG563" s="2">
        <v>1097.8699999999999</v>
      </c>
      <c r="AH563">
        <v>0</v>
      </c>
      <c r="AI563">
        <v>73.191333333333006</v>
      </c>
      <c r="AJ563">
        <v>5.48935</v>
      </c>
      <c r="AK563" t="s">
        <v>54</v>
      </c>
      <c r="AL563">
        <v>193.65</v>
      </c>
      <c r="AM563" s="4">
        <f t="shared" si="65"/>
        <v>73.191333333332878</v>
      </c>
      <c r="AN563" s="4">
        <f t="shared" si="66"/>
        <v>104.19624999999938</v>
      </c>
      <c r="AO563" s="4">
        <f t="shared" si="67"/>
        <v>115.7620337499993</v>
      </c>
      <c r="AP563" s="4">
        <f t="shared" si="68"/>
        <v>168.787505374999</v>
      </c>
      <c r="AQ563" s="10">
        <f t="shared" si="69"/>
        <v>127.28704779999921</v>
      </c>
      <c r="AR563" s="10">
        <f t="shared" si="70"/>
        <v>141.42863881057912</v>
      </c>
      <c r="AS563" s="10">
        <f t="shared" si="71"/>
        <v>198.16047601503877</v>
      </c>
    </row>
    <row r="564" spans="1:45" x14ac:dyDescent="0.3">
      <c r="A564">
        <v>2025</v>
      </c>
      <c r="B564">
        <v>11</v>
      </c>
      <c r="C564" t="s">
        <v>35</v>
      </c>
      <c r="D564">
        <v>10</v>
      </c>
      <c r="E564" t="s">
        <v>36</v>
      </c>
      <c r="F564" t="s">
        <v>37</v>
      </c>
      <c r="G564" t="s">
        <v>38</v>
      </c>
      <c r="H564" t="s">
        <v>39</v>
      </c>
      <c r="I564" t="s">
        <v>1615</v>
      </c>
      <c r="K564" t="s">
        <v>1616</v>
      </c>
      <c r="L564" t="s">
        <v>1617</v>
      </c>
      <c r="M564" t="s">
        <v>1618</v>
      </c>
      <c r="N564" t="s">
        <v>42</v>
      </c>
      <c r="O564" t="s">
        <v>1197</v>
      </c>
      <c r="Q564" t="s">
        <v>44</v>
      </c>
      <c r="R564" t="s">
        <v>1619</v>
      </c>
      <c r="S564" t="s">
        <v>1620</v>
      </c>
      <c r="T564" t="s">
        <v>47</v>
      </c>
      <c r="U564" t="s">
        <v>48</v>
      </c>
      <c r="V564" t="s">
        <v>49</v>
      </c>
      <c r="W564" t="s">
        <v>674</v>
      </c>
      <c r="X564" t="s">
        <v>388</v>
      </c>
      <c r="Y564" t="s">
        <v>675</v>
      </c>
      <c r="Z564" t="s">
        <v>675</v>
      </c>
      <c r="AA564" t="s">
        <v>677</v>
      </c>
      <c r="AB564" s="3">
        <f t="shared" si="64"/>
        <v>83.999999999999346</v>
      </c>
      <c r="AC564">
        <v>4668</v>
      </c>
      <c r="AD564" s="2">
        <v>55.571428571429003</v>
      </c>
      <c r="AE564" s="2">
        <v>1451.19</v>
      </c>
      <c r="AF564" s="2">
        <v>28.89</v>
      </c>
      <c r="AG564" s="2">
        <v>6148.9</v>
      </c>
      <c r="AH564">
        <v>0</v>
      </c>
      <c r="AI564">
        <v>73.201190476190007</v>
      </c>
      <c r="AJ564">
        <v>30.744499999999999</v>
      </c>
      <c r="AK564" t="s">
        <v>54</v>
      </c>
      <c r="AL564">
        <v>1084.43</v>
      </c>
      <c r="AM564" s="4">
        <f t="shared" si="65"/>
        <v>73.201190476191044</v>
      </c>
      <c r="AN564" s="4">
        <f t="shared" si="66"/>
        <v>104.19642857142938</v>
      </c>
      <c r="AO564" s="4">
        <f t="shared" si="67"/>
        <v>115.76223214285804</v>
      </c>
      <c r="AP564" s="4">
        <f t="shared" si="68"/>
        <v>168.78779464285844</v>
      </c>
      <c r="AQ564" s="10">
        <f t="shared" si="69"/>
        <v>127.30419035714385</v>
      </c>
      <c r="AR564" s="10">
        <f t="shared" si="70"/>
        <v>141.44768590582254</v>
      </c>
      <c r="AS564" s="10">
        <f t="shared" si="71"/>
        <v>198.18716354800154</v>
      </c>
    </row>
    <row r="565" spans="1:45" x14ac:dyDescent="0.3">
      <c r="A565">
        <v>2025</v>
      </c>
      <c r="B565">
        <v>1</v>
      </c>
      <c r="C565" t="s">
        <v>35</v>
      </c>
      <c r="D565">
        <v>10</v>
      </c>
      <c r="E565" t="s">
        <v>36</v>
      </c>
      <c r="F565" t="s">
        <v>37</v>
      </c>
      <c r="G565" t="s">
        <v>38</v>
      </c>
      <c r="H565" t="s">
        <v>39</v>
      </c>
      <c r="J565" t="s">
        <v>40</v>
      </c>
      <c r="K565" t="s">
        <v>41</v>
      </c>
      <c r="M565">
        <v>431845</v>
      </c>
      <c r="N565" t="s">
        <v>42</v>
      </c>
      <c r="O565" t="s">
        <v>43</v>
      </c>
      <c r="Q565" t="s">
        <v>44</v>
      </c>
      <c r="R565" t="s">
        <v>45</v>
      </c>
      <c r="S565" t="s">
        <v>46</v>
      </c>
      <c r="T565" t="s">
        <v>47</v>
      </c>
      <c r="U565" t="s">
        <v>48</v>
      </c>
      <c r="V565" t="s">
        <v>49</v>
      </c>
      <c r="W565" t="s">
        <v>50</v>
      </c>
      <c r="X565" t="s">
        <v>51</v>
      </c>
      <c r="Y565" t="s">
        <v>1621</v>
      </c>
      <c r="Z565" t="s">
        <v>1621</v>
      </c>
      <c r="AA565" t="s">
        <v>677</v>
      </c>
      <c r="AB565" s="3">
        <f t="shared" si="64"/>
        <v>60</v>
      </c>
      <c r="AC565">
        <v>2909.7</v>
      </c>
      <c r="AD565" s="2">
        <v>48.494999999999997</v>
      </c>
      <c r="AE565" s="2">
        <v>333.32</v>
      </c>
      <c r="AF565" s="2">
        <v>19.98</v>
      </c>
      <c r="AG565" s="2">
        <v>3262.38</v>
      </c>
      <c r="AH565">
        <v>0</v>
      </c>
      <c r="AI565">
        <v>54.372999999999998</v>
      </c>
      <c r="AJ565">
        <v>16.311900000000001</v>
      </c>
      <c r="AK565" t="s">
        <v>54</v>
      </c>
      <c r="AL565">
        <v>168.28</v>
      </c>
      <c r="AM565" s="4">
        <f t="shared" si="65"/>
        <v>54.373000000000005</v>
      </c>
      <c r="AN565" s="4">
        <f t="shared" si="66"/>
        <v>90.928124999999994</v>
      </c>
      <c r="AO565" s="4">
        <f t="shared" si="67"/>
        <v>101.021146875</v>
      </c>
      <c r="AP565" s="4">
        <f t="shared" si="68"/>
        <v>147.29446968749997</v>
      </c>
      <c r="AQ565" s="10">
        <f t="shared" si="69"/>
        <v>94.560084300000014</v>
      </c>
      <c r="AR565" s="10">
        <f t="shared" si="70"/>
        <v>105.06570966573001</v>
      </c>
      <c r="AS565" s="10">
        <f t="shared" si="71"/>
        <v>147.21113923824001</v>
      </c>
    </row>
    <row r="566" spans="1:45" x14ac:dyDescent="0.3">
      <c r="A566">
        <v>2025</v>
      </c>
      <c r="B566">
        <v>1</v>
      </c>
      <c r="C566" t="s">
        <v>35</v>
      </c>
      <c r="D566">
        <v>10</v>
      </c>
      <c r="E566" t="s">
        <v>36</v>
      </c>
      <c r="F566" t="s">
        <v>37</v>
      </c>
      <c r="G566" t="s">
        <v>38</v>
      </c>
      <c r="H566" t="s">
        <v>39</v>
      </c>
      <c r="J566" t="s">
        <v>40</v>
      </c>
      <c r="K566" t="s">
        <v>41</v>
      </c>
      <c r="M566">
        <v>431845</v>
      </c>
      <c r="N566" t="s">
        <v>42</v>
      </c>
      <c r="O566" t="s">
        <v>43</v>
      </c>
      <c r="Q566" t="s">
        <v>44</v>
      </c>
      <c r="R566" t="s">
        <v>45</v>
      </c>
      <c r="S566" t="s">
        <v>46</v>
      </c>
      <c r="T566" t="s">
        <v>47</v>
      </c>
      <c r="U566" t="s">
        <v>48</v>
      </c>
      <c r="V566" t="s">
        <v>49</v>
      </c>
      <c r="W566" t="s">
        <v>50</v>
      </c>
      <c r="X566" t="s">
        <v>51</v>
      </c>
      <c r="Y566" t="s">
        <v>52</v>
      </c>
      <c r="Z566" t="s">
        <v>52</v>
      </c>
      <c r="AA566" t="s">
        <v>66</v>
      </c>
      <c r="AB566" s="3">
        <f t="shared" si="64"/>
        <v>1</v>
      </c>
      <c r="AC566">
        <v>6985.99</v>
      </c>
      <c r="AD566" s="2">
        <v>6985.99</v>
      </c>
      <c r="AE566" s="2">
        <v>332.29</v>
      </c>
      <c r="AF566" s="2">
        <v>45.69</v>
      </c>
      <c r="AG566" s="2">
        <v>7363.97</v>
      </c>
      <c r="AH566">
        <v>0</v>
      </c>
      <c r="AI566">
        <v>7363.97</v>
      </c>
      <c r="AJ566">
        <v>36.819850000000002</v>
      </c>
      <c r="AK566" t="s">
        <v>54</v>
      </c>
      <c r="AL566">
        <v>662.1</v>
      </c>
      <c r="AM566" s="4">
        <f t="shared" si="65"/>
        <v>7363.97</v>
      </c>
      <c r="AN566" s="4">
        <f t="shared" si="66"/>
        <v>13098.731249999999</v>
      </c>
      <c r="AO566" s="4">
        <f t="shared" si="67"/>
        <v>14552.690418749999</v>
      </c>
      <c r="AP566" s="4">
        <f t="shared" si="68"/>
        <v>21218.634751874997</v>
      </c>
      <c r="AQ566" s="10">
        <f t="shared" si="69"/>
        <v>12806.680227000001</v>
      </c>
      <c r="AR566" s="10">
        <f t="shared" si="70"/>
        <v>14229.502400219701</v>
      </c>
      <c r="AS566" s="10">
        <f t="shared" si="71"/>
        <v>19937.4397773936</v>
      </c>
    </row>
    <row r="567" spans="1:45" x14ac:dyDescent="0.3">
      <c r="A567">
        <v>2025</v>
      </c>
      <c r="B567">
        <v>1</v>
      </c>
      <c r="C567" t="s">
        <v>35</v>
      </c>
      <c r="D567">
        <v>10</v>
      </c>
      <c r="E567" t="s">
        <v>36</v>
      </c>
      <c r="F567" t="s">
        <v>37</v>
      </c>
      <c r="G567" t="s">
        <v>38</v>
      </c>
      <c r="H567" t="s">
        <v>39</v>
      </c>
      <c r="J567" t="s">
        <v>40</v>
      </c>
      <c r="K567" t="s">
        <v>41</v>
      </c>
      <c r="M567">
        <v>431845</v>
      </c>
      <c r="N567" t="s">
        <v>42</v>
      </c>
      <c r="O567" t="s">
        <v>43</v>
      </c>
      <c r="Q567" t="s">
        <v>44</v>
      </c>
      <c r="R567" t="s">
        <v>45</v>
      </c>
      <c r="S567" t="s">
        <v>46</v>
      </c>
      <c r="T567" t="s">
        <v>47</v>
      </c>
      <c r="U567" t="s">
        <v>48</v>
      </c>
      <c r="V567" t="s">
        <v>49</v>
      </c>
      <c r="W567" t="s">
        <v>50</v>
      </c>
      <c r="X567" t="s">
        <v>51</v>
      </c>
      <c r="Y567" t="s">
        <v>52</v>
      </c>
      <c r="Z567" t="s">
        <v>52</v>
      </c>
      <c r="AA567" t="s">
        <v>66</v>
      </c>
      <c r="AB567" s="3">
        <f t="shared" si="64"/>
        <v>1</v>
      </c>
      <c r="AC567">
        <v>6985.99</v>
      </c>
      <c r="AD567" s="2">
        <v>6985.99</v>
      </c>
      <c r="AE567" s="2">
        <v>332.29</v>
      </c>
      <c r="AF567" s="2">
        <v>45.69</v>
      </c>
      <c r="AG567" s="2">
        <v>7363.97</v>
      </c>
      <c r="AH567">
        <v>0</v>
      </c>
      <c r="AI567">
        <v>7363.97</v>
      </c>
      <c r="AJ567">
        <v>36.819850000000002</v>
      </c>
      <c r="AK567" t="s">
        <v>54</v>
      </c>
      <c r="AL567">
        <v>662.1</v>
      </c>
      <c r="AM567" s="4">
        <f t="shared" si="65"/>
        <v>7363.97</v>
      </c>
      <c r="AN567" s="4">
        <f t="shared" si="66"/>
        <v>13098.731249999999</v>
      </c>
      <c r="AO567" s="4">
        <f t="shared" si="67"/>
        <v>14552.690418749999</v>
      </c>
      <c r="AP567" s="4">
        <f t="shared" si="68"/>
        <v>21218.634751874997</v>
      </c>
      <c r="AQ567" s="10">
        <f t="shared" si="69"/>
        <v>12806.680227000001</v>
      </c>
      <c r="AR567" s="10">
        <f t="shared" si="70"/>
        <v>14229.502400219701</v>
      </c>
      <c r="AS567" s="10">
        <f t="shared" si="71"/>
        <v>19937.4397773936</v>
      </c>
    </row>
    <row r="568" spans="1:45" x14ac:dyDescent="0.3">
      <c r="A568">
        <v>2025</v>
      </c>
      <c r="B568">
        <v>1</v>
      </c>
      <c r="C568" t="s">
        <v>35</v>
      </c>
      <c r="D568">
        <v>10</v>
      </c>
      <c r="E568" t="s">
        <v>36</v>
      </c>
      <c r="F568" t="s">
        <v>37</v>
      </c>
      <c r="G568" t="s">
        <v>38</v>
      </c>
      <c r="H568" t="s">
        <v>39</v>
      </c>
      <c r="J568" t="s">
        <v>40</v>
      </c>
      <c r="K568" t="s">
        <v>41</v>
      </c>
      <c r="M568">
        <v>431845</v>
      </c>
      <c r="N568" t="s">
        <v>42</v>
      </c>
      <c r="O568" t="s">
        <v>43</v>
      </c>
      <c r="Q568" t="s">
        <v>44</v>
      </c>
      <c r="R568" t="s">
        <v>45</v>
      </c>
      <c r="S568" t="s">
        <v>46</v>
      </c>
      <c r="T568" t="s">
        <v>47</v>
      </c>
      <c r="U568" t="s">
        <v>48</v>
      </c>
      <c r="V568" t="s">
        <v>49</v>
      </c>
      <c r="W568" t="s">
        <v>50</v>
      </c>
      <c r="X568" t="s">
        <v>51</v>
      </c>
      <c r="Y568" t="s">
        <v>52</v>
      </c>
      <c r="Z568" t="s">
        <v>52</v>
      </c>
      <c r="AA568" t="s">
        <v>66</v>
      </c>
      <c r="AB568" s="3">
        <f t="shared" si="64"/>
        <v>1</v>
      </c>
      <c r="AC568">
        <v>6985.99</v>
      </c>
      <c r="AD568" s="2">
        <v>6985.99</v>
      </c>
      <c r="AE568" s="2">
        <v>332.29</v>
      </c>
      <c r="AF568" s="2">
        <v>45.69</v>
      </c>
      <c r="AG568" s="2">
        <v>7363.97</v>
      </c>
      <c r="AH568">
        <v>0</v>
      </c>
      <c r="AI568">
        <v>7363.97</v>
      </c>
      <c r="AJ568">
        <v>36.819850000000002</v>
      </c>
      <c r="AK568" t="s">
        <v>54</v>
      </c>
      <c r="AL568">
        <v>662.1</v>
      </c>
      <c r="AM568" s="4">
        <f t="shared" si="65"/>
        <v>7363.97</v>
      </c>
      <c r="AN568" s="4">
        <f t="shared" si="66"/>
        <v>13098.731249999999</v>
      </c>
      <c r="AO568" s="4">
        <f t="shared" si="67"/>
        <v>14552.690418749999</v>
      </c>
      <c r="AP568" s="4">
        <f t="shared" si="68"/>
        <v>21218.634751874997</v>
      </c>
      <c r="AQ568" s="10">
        <f t="shared" si="69"/>
        <v>12806.680227000001</v>
      </c>
      <c r="AR568" s="10">
        <f t="shared" si="70"/>
        <v>14229.502400219701</v>
      </c>
      <c r="AS568" s="10">
        <f t="shared" si="71"/>
        <v>19937.4397773936</v>
      </c>
    </row>
    <row r="569" spans="1:45" x14ac:dyDescent="0.3">
      <c r="A569">
        <v>2025</v>
      </c>
      <c r="B569">
        <v>8</v>
      </c>
      <c r="C569" t="s">
        <v>55</v>
      </c>
      <c r="D569">
        <v>10</v>
      </c>
      <c r="E569" t="s">
        <v>36</v>
      </c>
      <c r="F569" t="s">
        <v>37</v>
      </c>
      <c r="G569" t="s">
        <v>38</v>
      </c>
      <c r="H569" t="s">
        <v>83</v>
      </c>
      <c r="I569" t="s">
        <v>190</v>
      </c>
      <c r="J569" t="s">
        <v>58</v>
      </c>
      <c r="K569" t="s">
        <v>59</v>
      </c>
      <c r="L569" t="s">
        <v>1194</v>
      </c>
      <c r="M569" t="s">
        <v>1195</v>
      </c>
      <c r="N569" t="s">
        <v>1196</v>
      </c>
      <c r="O569" t="s">
        <v>1197</v>
      </c>
      <c r="Q569" t="s">
        <v>62</v>
      </c>
      <c r="R569" t="s">
        <v>1198</v>
      </c>
      <c r="S569" t="s">
        <v>1198</v>
      </c>
      <c r="T569" t="s">
        <v>47</v>
      </c>
      <c r="U569" t="s">
        <v>947</v>
      </c>
      <c r="V569" t="s">
        <v>49</v>
      </c>
      <c r="W569" t="s">
        <v>948</v>
      </c>
      <c r="X569" t="s">
        <v>388</v>
      </c>
      <c r="Y569" t="s">
        <v>52</v>
      </c>
      <c r="Z569" t="s">
        <v>52</v>
      </c>
      <c r="AA569" t="s">
        <v>66</v>
      </c>
      <c r="AB569" s="3">
        <f t="shared" si="64"/>
        <v>1</v>
      </c>
      <c r="AC569">
        <v>6986</v>
      </c>
      <c r="AD569" s="2">
        <v>6986</v>
      </c>
      <c r="AE569" s="2">
        <v>332.28</v>
      </c>
      <c r="AF569" s="2">
        <v>45.69</v>
      </c>
      <c r="AG569" s="2">
        <v>7363.97</v>
      </c>
      <c r="AH569">
        <v>0</v>
      </c>
      <c r="AI569">
        <v>7363.97</v>
      </c>
      <c r="AJ569">
        <v>36.819850000000002</v>
      </c>
      <c r="AK569" t="s">
        <v>54</v>
      </c>
      <c r="AL569">
        <v>662.1</v>
      </c>
      <c r="AM569" s="4">
        <f t="shared" si="65"/>
        <v>7363.97</v>
      </c>
      <c r="AN569" s="4">
        <f t="shared" si="66"/>
        <v>13098.75</v>
      </c>
      <c r="AO569" s="4">
        <f t="shared" si="67"/>
        <v>14552.71125</v>
      </c>
      <c r="AP569" s="4">
        <f t="shared" si="68"/>
        <v>21218.665125</v>
      </c>
      <c r="AQ569" s="10">
        <f t="shared" si="69"/>
        <v>12806.680227000001</v>
      </c>
      <c r="AR569" s="10">
        <f t="shared" si="70"/>
        <v>14229.502400219701</v>
      </c>
      <c r="AS569" s="10">
        <f t="shared" si="71"/>
        <v>19937.4397773936</v>
      </c>
    </row>
    <row r="570" spans="1:45" x14ac:dyDescent="0.3">
      <c r="A570">
        <v>2025</v>
      </c>
      <c r="B570">
        <v>3</v>
      </c>
      <c r="C570" t="s">
        <v>55</v>
      </c>
      <c r="D570">
        <v>10</v>
      </c>
      <c r="E570" t="s">
        <v>36</v>
      </c>
      <c r="F570" t="s">
        <v>37</v>
      </c>
      <c r="G570" t="s">
        <v>38</v>
      </c>
      <c r="H570" t="s">
        <v>83</v>
      </c>
      <c r="I570" t="s">
        <v>190</v>
      </c>
      <c r="J570" t="s">
        <v>58</v>
      </c>
      <c r="K570" t="s">
        <v>59</v>
      </c>
      <c r="M570" t="s">
        <v>213</v>
      </c>
      <c r="N570" t="s">
        <v>61</v>
      </c>
      <c r="O570" t="s">
        <v>43</v>
      </c>
      <c r="Q570" t="s">
        <v>62</v>
      </c>
      <c r="R570" t="s">
        <v>214</v>
      </c>
      <c r="S570" t="s">
        <v>215</v>
      </c>
      <c r="T570" t="s">
        <v>47</v>
      </c>
      <c r="U570" t="s">
        <v>72</v>
      </c>
      <c r="V570" t="s">
        <v>49</v>
      </c>
      <c r="W570" t="s">
        <v>73</v>
      </c>
      <c r="X570" t="s">
        <v>51</v>
      </c>
      <c r="Y570" t="s">
        <v>1478</v>
      </c>
      <c r="Z570" t="s">
        <v>1479</v>
      </c>
      <c r="AA570" t="s">
        <v>1480</v>
      </c>
      <c r="AB570" s="3">
        <f t="shared" si="64"/>
        <v>6.00000000000004</v>
      </c>
      <c r="AC570">
        <v>3001.85</v>
      </c>
      <c r="AD570" s="2">
        <v>500.30833333332998</v>
      </c>
      <c r="AE570" s="2">
        <v>215.13</v>
      </c>
      <c r="AF570" s="2">
        <v>19.420000000000002</v>
      </c>
      <c r="AG570" s="2">
        <v>3236.4</v>
      </c>
      <c r="AH570">
        <v>0</v>
      </c>
      <c r="AI570">
        <v>539.4</v>
      </c>
      <c r="AJ570">
        <v>16.181999999999999</v>
      </c>
      <c r="AK570" t="s">
        <v>54</v>
      </c>
      <c r="AL570">
        <v>25.27</v>
      </c>
      <c r="AM570" s="4">
        <f t="shared" si="65"/>
        <v>539.39999999999645</v>
      </c>
      <c r="AN570" s="4">
        <f t="shared" si="66"/>
        <v>938.07812499999375</v>
      </c>
      <c r="AO570" s="4">
        <f t="shared" si="67"/>
        <v>1042.204796874993</v>
      </c>
      <c r="AP570" s="4">
        <f t="shared" si="68"/>
        <v>1519.5927546874898</v>
      </c>
      <c r="AQ570" s="10">
        <f t="shared" si="69"/>
        <v>938.07053999999391</v>
      </c>
      <c r="AR570" s="10">
        <f t="shared" si="70"/>
        <v>1042.2901769939931</v>
      </c>
      <c r="AS570" s="10">
        <f t="shared" si="71"/>
        <v>1460.3882166719904</v>
      </c>
    </row>
    <row r="571" spans="1:45" x14ac:dyDescent="0.3">
      <c r="A571">
        <v>2025</v>
      </c>
      <c r="B571">
        <v>4</v>
      </c>
      <c r="C571" t="s">
        <v>55</v>
      </c>
      <c r="D571">
        <v>10</v>
      </c>
      <c r="E571" t="s">
        <v>36</v>
      </c>
      <c r="F571" t="s">
        <v>37</v>
      </c>
      <c r="G571" t="s">
        <v>38</v>
      </c>
      <c r="H571" t="s">
        <v>83</v>
      </c>
      <c r="I571" t="s">
        <v>375</v>
      </c>
      <c r="J571" t="s">
        <v>376</v>
      </c>
      <c r="K571" t="s">
        <v>59</v>
      </c>
      <c r="M571">
        <v>2503061</v>
      </c>
      <c r="N571" t="s">
        <v>377</v>
      </c>
      <c r="O571" t="s">
        <v>36</v>
      </c>
      <c r="Q571" t="s">
        <v>62</v>
      </c>
      <c r="R571" t="s">
        <v>378</v>
      </c>
      <c r="S571" t="s">
        <v>378</v>
      </c>
      <c r="T571" t="s">
        <v>47</v>
      </c>
      <c r="U571" t="s">
        <v>72</v>
      </c>
      <c r="V571" t="s">
        <v>49</v>
      </c>
      <c r="W571" t="s">
        <v>73</v>
      </c>
      <c r="X571" t="s">
        <v>51</v>
      </c>
      <c r="Y571" t="s">
        <v>74</v>
      </c>
      <c r="Z571" t="s">
        <v>64</v>
      </c>
      <c r="AA571" t="s">
        <v>216</v>
      </c>
      <c r="AB571" s="3">
        <f t="shared" si="64"/>
        <v>1</v>
      </c>
      <c r="AC571">
        <v>101.75</v>
      </c>
      <c r="AD571" s="2">
        <v>101.75</v>
      </c>
      <c r="AE571" s="2">
        <v>21.35</v>
      </c>
      <c r="AF571" s="2">
        <v>0.75</v>
      </c>
      <c r="AG571" s="2">
        <v>123.85</v>
      </c>
      <c r="AH571">
        <v>0</v>
      </c>
      <c r="AI571">
        <v>123.85</v>
      </c>
      <c r="AJ571">
        <v>0.61924999999999997</v>
      </c>
      <c r="AK571" t="s">
        <v>54</v>
      </c>
      <c r="AL571">
        <v>1.94</v>
      </c>
      <c r="AM571" s="4">
        <f t="shared" si="65"/>
        <v>123.85</v>
      </c>
      <c r="AN571" s="4">
        <f t="shared" si="66"/>
        <v>190.78125</v>
      </c>
      <c r="AO571" s="4">
        <f t="shared" si="67"/>
        <v>211.95796874999999</v>
      </c>
      <c r="AP571" s="4">
        <f t="shared" si="68"/>
        <v>309.04654687499999</v>
      </c>
      <c r="AQ571" s="10">
        <f t="shared" si="69"/>
        <v>215.38753500000001</v>
      </c>
      <c r="AR571" s="10">
        <f t="shared" si="70"/>
        <v>239.31709013850002</v>
      </c>
      <c r="AS571" s="10">
        <f t="shared" si="71"/>
        <v>335.31531448800001</v>
      </c>
    </row>
    <row r="572" spans="1:45" x14ac:dyDescent="0.3">
      <c r="A572">
        <v>2025</v>
      </c>
      <c r="B572">
        <v>7</v>
      </c>
      <c r="C572" t="s">
        <v>55</v>
      </c>
      <c r="D572">
        <v>10</v>
      </c>
      <c r="E572" t="s">
        <v>36</v>
      </c>
      <c r="F572" t="s">
        <v>37</v>
      </c>
      <c r="G572" t="s">
        <v>38</v>
      </c>
      <c r="H572" t="s">
        <v>83</v>
      </c>
      <c r="I572" t="s">
        <v>190</v>
      </c>
      <c r="J572" t="s">
        <v>58</v>
      </c>
      <c r="K572" t="s">
        <v>41</v>
      </c>
      <c r="L572" t="s">
        <v>953</v>
      </c>
      <c r="M572" t="s">
        <v>954</v>
      </c>
      <c r="N572" t="s">
        <v>731</v>
      </c>
      <c r="O572" t="s">
        <v>36</v>
      </c>
      <c r="Q572" t="s">
        <v>62</v>
      </c>
      <c r="R572" t="s">
        <v>955</v>
      </c>
      <c r="S572" t="s">
        <v>956</v>
      </c>
      <c r="T572" t="s">
        <v>47</v>
      </c>
      <c r="U572" t="s">
        <v>72</v>
      </c>
      <c r="V572" t="s">
        <v>49</v>
      </c>
      <c r="W572" t="s">
        <v>73</v>
      </c>
      <c r="X572" t="s">
        <v>51</v>
      </c>
      <c r="Y572" t="s">
        <v>74</v>
      </c>
      <c r="Z572" t="s">
        <v>74</v>
      </c>
      <c r="AA572" t="s">
        <v>216</v>
      </c>
      <c r="AB572" s="3">
        <f t="shared" si="64"/>
        <v>11.039999999999949</v>
      </c>
      <c r="AC572">
        <v>995.75</v>
      </c>
      <c r="AD572" s="2">
        <v>90.194746376812006</v>
      </c>
      <c r="AE572" s="2">
        <v>150.87</v>
      </c>
      <c r="AF572" s="2">
        <v>7</v>
      </c>
      <c r="AG572" s="2">
        <v>1153.6099999999999</v>
      </c>
      <c r="AH572">
        <v>0</v>
      </c>
      <c r="AI572">
        <v>104.49365942029</v>
      </c>
      <c r="AJ572">
        <v>5.7680499999999997</v>
      </c>
      <c r="AK572" t="s">
        <v>54</v>
      </c>
      <c r="AL572">
        <v>7.2</v>
      </c>
      <c r="AM572" s="4">
        <f t="shared" si="65"/>
        <v>104.49365942029033</v>
      </c>
      <c r="AN572" s="4">
        <f t="shared" si="66"/>
        <v>169.11514945652252</v>
      </c>
      <c r="AO572" s="4">
        <f t="shared" si="67"/>
        <v>187.88693104619651</v>
      </c>
      <c r="AP572" s="4">
        <f t="shared" si="68"/>
        <v>273.94963060462078</v>
      </c>
      <c r="AQ572" s="10">
        <f t="shared" si="69"/>
        <v>181.72492309782692</v>
      </c>
      <c r="AR572" s="10">
        <f t="shared" si="70"/>
        <v>201.9145620539955</v>
      </c>
      <c r="AS572" s="10">
        <f t="shared" si="71"/>
        <v>282.90936027869697</v>
      </c>
    </row>
    <row r="573" spans="1:45" x14ac:dyDescent="0.3">
      <c r="A573">
        <v>2025</v>
      </c>
      <c r="B573">
        <v>7</v>
      </c>
      <c r="C573" t="s">
        <v>55</v>
      </c>
      <c r="D573">
        <v>10</v>
      </c>
      <c r="E573" t="s">
        <v>36</v>
      </c>
      <c r="F573" t="s">
        <v>37</v>
      </c>
      <c r="G573" t="s">
        <v>38</v>
      </c>
      <c r="H573" t="s">
        <v>83</v>
      </c>
      <c r="I573" t="s">
        <v>190</v>
      </c>
      <c r="J573" t="s">
        <v>58</v>
      </c>
      <c r="K573" t="s">
        <v>41</v>
      </c>
      <c r="L573" t="s">
        <v>953</v>
      </c>
      <c r="M573" t="s">
        <v>954</v>
      </c>
      <c r="N573" t="s">
        <v>731</v>
      </c>
      <c r="O573" t="s">
        <v>36</v>
      </c>
      <c r="Q573" t="s">
        <v>62</v>
      </c>
      <c r="R573" t="s">
        <v>955</v>
      </c>
      <c r="S573" t="s">
        <v>956</v>
      </c>
      <c r="T573" t="s">
        <v>47</v>
      </c>
      <c r="U573" t="s">
        <v>72</v>
      </c>
      <c r="V573" t="s">
        <v>49</v>
      </c>
      <c r="W573" t="s">
        <v>73</v>
      </c>
      <c r="X573" t="s">
        <v>51</v>
      </c>
      <c r="Y573" t="s">
        <v>966</v>
      </c>
      <c r="Z573" t="s">
        <v>966</v>
      </c>
      <c r="AA573" t="s">
        <v>216</v>
      </c>
      <c r="AB573" s="3">
        <f t="shared" si="64"/>
        <v>2.1500000000000012</v>
      </c>
      <c r="AC573">
        <v>84.18</v>
      </c>
      <c r="AD573" s="2">
        <v>39.153488372093001</v>
      </c>
      <c r="AE573" s="2">
        <v>29.4</v>
      </c>
      <c r="AF573" s="2">
        <v>0.56000000000000005</v>
      </c>
      <c r="AG573" s="2">
        <v>113.78</v>
      </c>
      <c r="AH573">
        <v>0</v>
      </c>
      <c r="AI573">
        <v>52.920930232558</v>
      </c>
      <c r="AJ573">
        <v>0.56889999999999996</v>
      </c>
      <c r="AK573" t="s">
        <v>54</v>
      </c>
      <c r="AL573">
        <v>2.17</v>
      </c>
      <c r="AM573" s="4">
        <f t="shared" si="65"/>
        <v>52.920930232558106</v>
      </c>
      <c r="AN573" s="4">
        <f t="shared" si="66"/>
        <v>73.412790697674382</v>
      </c>
      <c r="AO573" s="4">
        <f t="shared" si="67"/>
        <v>81.561610465116232</v>
      </c>
      <c r="AP573" s="4">
        <f t="shared" si="68"/>
        <v>118.92137965116272</v>
      </c>
      <c r="AQ573" s="10">
        <f t="shared" si="69"/>
        <v>92.034789767441808</v>
      </c>
      <c r="AR573" s="10">
        <f t="shared" si="70"/>
        <v>102.25985491060459</v>
      </c>
      <c r="AS573" s="10">
        <f t="shared" si="71"/>
        <v>143.27976070995339</v>
      </c>
    </row>
    <row r="574" spans="1:45" x14ac:dyDescent="0.3">
      <c r="A574">
        <v>2025</v>
      </c>
      <c r="B574">
        <v>7</v>
      </c>
      <c r="C574" t="s">
        <v>35</v>
      </c>
      <c r="D574">
        <v>10</v>
      </c>
      <c r="E574" t="s">
        <v>36</v>
      </c>
      <c r="F574" t="s">
        <v>37</v>
      </c>
      <c r="G574" t="s">
        <v>38</v>
      </c>
      <c r="H574" t="s">
        <v>83</v>
      </c>
      <c r="I574" t="s">
        <v>190</v>
      </c>
      <c r="J574" t="s">
        <v>40</v>
      </c>
      <c r="K574" t="s">
        <v>59</v>
      </c>
      <c r="L574" t="s">
        <v>961</v>
      </c>
      <c r="M574">
        <v>448168</v>
      </c>
      <c r="N574" t="s">
        <v>42</v>
      </c>
      <c r="O574" t="s">
        <v>36</v>
      </c>
      <c r="P574" t="s">
        <v>191</v>
      </c>
      <c r="Q574" t="s">
        <v>44</v>
      </c>
      <c r="R574" t="s">
        <v>962</v>
      </c>
      <c r="S574" t="s">
        <v>963</v>
      </c>
      <c r="T574" t="s">
        <v>47</v>
      </c>
      <c r="U574" t="s">
        <v>72</v>
      </c>
      <c r="V574" t="s">
        <v>49</v>
      </c>
      <c r="W574" t="s">
        <v>73</v>
      </c>
      <c r="X574" t="s">
        <v>51</v>
      </c>
      <c r="Y574" t="s">
        <v>966</v>
      </c>
      <c r="Z574" t="s">
        <v>966</v>
      </c>
      <c r="AA574" t="s">
        <v>216</v>
      </c>
      <c r="AB574" s="3">
        <f t="shared" si="64"/>
        <v>2.1500000000000012</v>
      </c>
      <c r="AC574">
        <v>84.18</v>
      </c>
      <c r="AD574" s="2">
        <v>39.153488372093001</v>
      </c>
      <c r="AE574" s="2">
        <v>29.4</v>
      </c>
      <c r="AF574" s="2">
        <v>0.56000000000000005</v>
      </c>
      <c r="AG574" s="2">
        <v>113.78</v>
      </c>
      <c r="AH574">
        <v>0</v>
      </c>
      <c r="AI574">
        <v>52.920930232558</v>
      </c>
      <c r="AJ574">
        <v>0.56889999999999996</v>
      </c>
      <c r="AK574" t="s">
        <v>54</v>
      </c>
      <c r="AL574">
        <v>2.17</v>
      </c>
      <c r="AM574" s="4">
        <f t="shared" si="65"/>
        <v>52.920930232558106</v>
      </c>
      <c r="AN574" s="4">
        <f t="shared" si="66"/>
        <v>73.412790697674382</v>
      </c>
      <c r="AO574" s="4">
        <f t="shared" si="67"/>
        <v>81.561610465116232</v>
      </c>
      <c r="AP574" s="4">
        <f t="shared" si="68"/>
        <v>118.92137965116272</v>
      </c>
      <c r="AQ574" s="10">
        <f t="shared" si="69"/>
        <v>92.034789767441808</v>
      </c>
      <c r="AR574" s="10">
        <f t="shared" si="70"/>
        <v>102.25985491060459</v>
      </c>
      <c r="AS574" s="10">
        <f t="shared" si="71"/>
        <v>143.27976070995339</v>
      </c>
    </row>
    <row r="575" spans="1:45" x14ac:dyDescent="0.3">
      <c r="A575">
        <v>2025</v>
      </c>
      <c r="B575">
        <v>7</v>
      </c>
      <c r="C575" t="s">
        <v>35</v>
      </c>
      <c r="D575">
        <v>10</v>
      </c>
      <c r="E575" t="s">
        <v>36</v>
      </c>
      <c r="F575" t="s">
        <v>37</v>
      </c>
      <c r="G575" t="s">
        <v>38</v>
      </c>
      <c r="H575" t="s">
        <v>83</v>
      </c>
      <c r="I575" t="s">
        <v>190</v>
      </c>
      <c r="J575" t="s">
        <v>40</v>
      </c>
      <c r="K575" t="s">
        <v>59</v>
      </c>
      <c r="L575" t="s">
        <v>961</v>
      </c>
      <c r="M575">
        <v>448168</v>
      </c>
      <c r="N575" t="s">
        <v>42</v>
      </c>
      <c r="O575" t="s">
        <v>36</v>
      </c>
      <c r="P575" t="s">
        <v>191</v>
      </c>
      <c r="Q575" t="s">
        <v>44</v>
      </c>
      <c r="R575" t="s">
        <v>962</v>
      </c>
      <c r="S575" t="s">
        <v>963</v>
      </c>
      <c r="T575" t="s">
        <v>47</v>
      </c>
      <c r="U575" t="s">
        <v>72</v>
      </c>
      <c r="V575" t="s">
        <v>49</v>
      </c>
      <c r="W575" t="s">
        <v>73</v>
      </c>
      <c r="X575" t="s">
        <v>51</v>
      </c>
      <c r="Y575" t="s">
        <v>967</v>
      </c>
      <c r="Z575" t="s">
        <v>967</v>
      </c>
      <c r="AA575" t="s">
        <v>216</v>
      </c>
      <c r="AB575" s="3">
        <f t="shared" si="64"/>
        <v>23.659999999999986</v>
      </c>
      <c r="AC575">
        <v>83.67</v>
      </c>
      <c r="AD575" s="2">
        <v>3.5363482671174999</v>
      </c>
      <c r="AE575" s="2">
        <v>4.71</v>
      </c>
      <c r="AF575" s="2">
        <v>0.56000000000000005</v>
      </c>
      <c r="AG575" s="2">
        <v>88.94</v>
      </c>
      <c r="AH575">
        <v>0</v>
      </c>
      <c r="AI575">
        <v>3.7590870667793999</v>
      </c>
      <c r="AJ575">
        <v>0.44469999999999998</v>
      </c>
      <c r="AK575" t="s">
        <v>54</v>
      </c>
      <c r="AL575">
        <v>21.93</v>
      </c>
      <c r="AM575" s="4">
        <f t="shared" si="65"/>
        <v>3.7590870667793768</v>
      </c>
      <c r="AN575" s="4">
        <f t="shared" si="66"/>
        <v>6.630653000845312</v>
      </c>
      <c r="AO575" s="4">
        <f t="shared" si="67"/>
        <v>7.3666554839391418</v>
      </c>
      <c r="AP575" s="4">
        <f t="shared" si="68"/>
        <v>10.74099479606932</v>
      </c>
      <c r="AQ575" s="10">
        <f t="shared" si="69"/>
        <v>6.5374283178360146</v>
      </c>
      <c r="AR575" s="10">
        <f t="shared" si="70"/>
        <v>7.2637366039475957</v>
      </c>
      <c r="AS575" s="10">
        <f t="shared" si="71"/>
        <v>10.177468405207108</v>
      </c>
    </row>
    <row r="576" spans="1:45" x14ac:dyDescent="0.3">
      <c r="A576">
        <v>2025</v>
      </c>
      <c r="B576">
        <v>7</v>
      </c>
      <c r="C576" t="s">
        <v>55</v>
      </c>
      <c r="D576">
        <v>10</v>
      </c>
      <c r="E576" t="s">
        <v>36</v>
      </c>
      <c r="F576" t="s">
        <v>37</v>
      </c>
      <c r="G576" t="s">
        <v>38</v>
      </c>
      <c r="H576" t="s">
        <v>78</v>
      </c>
      <c r="I576" t="s">
        <v>190</v>
      </c>
      <c r="J576" t="s">
        <v>58</v>
      </c>
      <c r="K576" t="s">
        <v>41</v>
      </c>
      <c r="L576" t="s">
        <v>953</v>
      </c>
      <c r="M576" t="s">
        <v>954</v>
      </c>
      <c r="N576" t="s">
        <v>731</v>
      </c>
      <c r="O576" t="s">
        <v>36</v>
      </c>
      <c r="Q576" t="s">
        <v>62</v>
      </c>
      <c r="R576" t="s">
        <v>955</v>
      </c>
      <c r="S576" t="s">
        <v>956</v>
      </c>
      <c r="T576" t="s">
        <v>47</v>
      </c>
      <c r="U576" t="s">
        <v>157</v>
      </c>
      <c r="V576" t="s">
        <v>49</v>
      </c>
      <c r="W576" t="s">
        <v>158</v>
      </c>
      <c r="X576" t="s">
        <v>51</v>
      </c>
      <c r="Y576" t="s">
        <v>967</v>
      </c>
      <c r="Z576" t="s">
        <v>967</v>
      </c>
      <c r="AA576" t="s">
        <v>216</v>
      </c>
      <c r="AB576" s="3">
        <f t="shared" si="64"/>
        <v>23.659999999999986</v>
      </c>
      <c r="AC576">
        <v>83.67</v>
      </c>
      <c r="AD576" s="2">
        <v>3.5363482671174999</v>
      </c>
      <c r="AE576" s="2">
        <v>4.71</v>
      </c>
      <c r="AF576" s="2">
        <v>0.56000000000000005</v>
      </c>
      <c r="AG576" s="2">
        <v>88.94</v>
      </c>
      <c r="AH576">
        <v>0</v>
      </c>
      <c r="AI576">
        <v>3.7590870667793999</v>
      </c>
      <c r="AJ576">
        <v>0.44469999999999998</v>
      </c>
      <c r="AK576" t="s">
        <v>54</v>
      </c>
      <c r="AL576">
        <v>21.93</v>
      </c>
      <c r="AM576" s="4">
        <f t="shared" si="65"/>
        <v>3.7590870667793768</v>
      </c>
      <c r="AN576" s="4">
        <f t="shared" si="66"/>
        <v>6.630653000845312</v>
      </c>
      <c r="AO576" s="4">
        <f t="shared" si="67"/>
        <v>7.3666554839391418</v>
      </c>
      <c r="AP576" s="4">
        <f t="shared" si="68"/>
        <v>10.74099479606932</v>
      </c>
      <c r="AQ576" s="10">
        <f t="shared" si="69"/>
        <v>6.5374283178360146</v>
      </c>
      <c r="AR576" s="10">
        <f t="shared" si="70"/>
        <v>7.2637366039475957</v>
      </c>
      <c r="AS576" s="10">
        <f t="shared" si="71"/>
        <v>10.177468405207108</v>
      </c>
    </row>
    <row r="577" spans="1:45" x14ac:dyDescent="0.3">
      <c r="A577">
        <v>2025</v>
      </c>
      <c r="B577">
        <v>7</v>
      </c>
      <c r="C577" t="s">
        <v>55</v>
      </c>
      <c r="D577">
        <v>10</v>
      </c>
      <c r="E577" t="s">
        <v>36</v>
      </c>
      <c r="F577" t="s">
        <v>37</v>
      </c>
      <c r="G577" t="s">
        <v>38</v>
      </c>
      <c r="H577" t="s">
        <v>83</v>
      </c>
      <c r="I577" t="s">
        <v>190</v>
      </c>
      <c r="J577" t="s">
        <v>58</v>
      </c>
      <c r="K577" t="s">
        <v>41</v>
      </c>
      <c r="L577" t="s">
        <v>953</v>
      </c>
      <c r="M577" t="s">
        <v>954</v>
      </c>
      <c r="N577" t="s">
        <v>731</v>
      </c>
      <c r="O577" t="s">
        <v>36</v>
      </c>
      <c r="Q577" t="s">
        <v>62</v>
      </c>
      <c r="R577" t="s">
        <v>955</v>
      </c>
      <c r="S577" t="s">
        <v>956</v>
      </c>
      <c r="T577" t="s">
        <v>47</v>
      </c>
      <c r="U577" t="s">
        <v>48</v>
      </c>
      <c r="V577" t="s">
        <v>49</v>
      </c>
      <c r="W577" t="s">
        <v>674</v>
      </c>
      <c r="X577" t="s">
        <v>51</v>
      </c>
      <c r="Y577" t="s">
        <v>1111</v>
      </c>
      <c r="Z577" t="s">
        <v>1111</v>
      </c>
      <c r="AA577" t="s">
        <v>216</v>
      </c>
      <c r="AB577" s="3">
        <f t="shared" si="64"/>
        <v>2</v>
      </c>
      <c r="AC577">
        <v>117.91</v>
      </c>
      <c r="AD577" s="2">
        <v>58.954999999999998</v>
      </c>
      <c r="AE577" s="2">
        <v>58.8</v>
      </c>
      <c r="AF577" s="2">
        <v>0.78</v>
      </c>
      <c r="AG577" s="2">
        <v>176.76</v>
      </c>
      <c r="AH577">
        <v>0</v>
      </c>
      <c r="AI577">
        <v>88.38</v>
      </c>
      <c r="AJ577">
        <v>0.88380000000000003</v>
      </c>
      <c r="AK577" t="s">
        <v>54</v>
      </c>
      <c r="AL577">
        <v>4.3499999999999996</v>
      </c>
      <c r="AM577" s="4">
        <f t="shared" si="65"/>
        <v>88.38</v>
      </c>
      <c r="AN577" s="4">
        <f t="shared" si="66"/>
        <v>110.54062499999999</v>
      </c>
      <c r="AO577" s="4">
        <f t="shared" si="67"/>
        <v>122.81063437499999</v>
      </c>
      <c r="AP577" s="4">
        <f t="shared" si="68"/>
        <v>179.06475843749996</v>
      </c>
      <c r="AQ577" s="10">
        <f t="shared" si="69"/>
        <v>153.70165800000001</v>
      </c>
      <c r="AR577" s="10">
        <f t="shared" si="70"/>
        <v>170.77791220380001</v>
      </c>
      <c r="AS577" s="10">
        <f t="shared" si="71"/>
        <v>239.2827411744</v>
      </c>
    </row>
    <row r="578" spans="1:45" x14ac:dyDescent="0.3">
      <c r="A578">
        <v>2025</v>
      </c>
      <c r="B578">
        <v>7</v>
      </c>
      <c r="C578" t="s">
        <v>55</v>
      </c>
      <c r="D578">
        <v>10</v>
      </c>
      <c r="E578" t="s">
        <v>36</v>
      </c>
      <c r="F578" t="s">
        <v>37</v>
      </c>
      <c r="G578" t="s">
        <v>38</v>
      </c>
      <c r="H578" t="s">
        <v>83</v>
      </c>
      <c r="I578" t="s">
        <v>190</v>
      </c>
      <c r="J578" t="s">
        <v>58</v>
      </c>
      <c r="K578" t="s">
        <v>41</v>
      </c>
      <c r="L578" t="s">
        <v>953</v>
      </c>
      <c r="M578" t="s">
        <v>954</v>
      </c>
      <c r="N578" t="s">
        <v>731</v>
      </c>
      <c r="O578" t="s">
        <v>36</v>
      </c>
      <c r="Q578" t="s">
        <v>62</v>
      </c>
      <c r="R578" t="s">
        <v>955</v>
      </c>
      <c r="S578" t="s">
        <v>956</v>
      </c>
      <c r="T578" t="s">
        <v>47</v>
      </c>
      <c r="U578" t="s">
        <v>48</v>
      </c>
      <c r="V578" t="s">
        <v>49</v>
      </c>
      <c r="W578" t="s">
        <v>674</v>
      </c>
      <c r="X578" t="s">
        <v>51</v>
      </c>
      <c r="Y578" t="s">
        <v>958</v>
      </c>
      <c r="Z578" t="s">
        <v>958</v>
      </c>
      <c r="AA578" t="s">
        <v>959</v>
      </c>
      <c r="AB578" s="3">
        <f t="shared" si="64"/>
        <v>1</v>
      </c>
      <c r="AC578">
        <v>384.65</v>
      </c>
      <c r="AD578" s="2">
        <v>384.65</v>
      </c>
      <c r="AE578" s="2">
        <v>29.4</v>
      </c>
      <c r="AF578" s="2">
        <v>2.67</v>
      </c>
      <c r="AG578" s="2">
        <v>416.36</v>
      </c>
      <c r="AH578">
        <v>0</v>
      </c>
      <c r="AI578">
        <v>416.36</v>
      </c>
      <c r="AJ578">
        <v>2.0817999999999999</v>
      </c>
      <c r="AK578" t="s">
        <v>54</v>
      </c>
      <c r="AL578">
        <v>2.17</v>
      </c>
      <c r="AM578" s="4">
        <f t="shared" si="65"/>
        <v>416.36</v>
      </c>
      <c r="AN578" s="4">
        <f t="shared" si="66"/>
        <v>721.21875</v>
      </c>
      <c r="AO578" s="4">
        <f t="shared" si="67"/>
        <v>801.27403125000001</v>
      </c>
      <c r="AP578" s="4">
        <f t="shared" si="68"/>
        <v>1168.3022531249999</v>
      </c>
      <c r="AQ578" s="10">
        <f t="shared" si="69"/>
        <v>724.09167600000001</v>
      </c>
      <c r="AR578" s="10">
        <f t="shared" si="70"/>
        <v>804.53826120359997</v>
      </c>
      <c r="AS578" s="10">
        <f t="shared" si="71"/>
        <v>1127.2659211968</v>
      </c>
    </row>
    <row r="579" spans="1:45" x14ac:dyDescent="0.3">
      <c r="A579">
        <v>2025</v>
      </c>
      <c r="B579">
        <v>7</v>
      </c>
      <c r="C579" t="s">
        <v>55</v>
      </c>
      <c r="D579">
        <v>10</v>
      </c>
      <c r="E579" t="s">
        <v>36</v>
      </c>
      <c r="F579" t="s">
        <v>37</v>
      </c>
      <c r="G579" t="s">
        <v>38</v>
      </c>
      <c r="H579" t="s">
        <v>83</v>
      </c>
      <c r="I579" t="s">
        <v>190</v>
      </c>
      <c r="J579" t="s">
        <v>58</v>
      </c>
      <c r="K579" t="s">
        <v>41</v>
      </c>
      <c r="L579" t="s">
        <v>953</v>
      </c>
      <c r="M579" t="s">
        <v>954</v>
      </c>
      <c r="N579" t="s">
        <v>731</v>
      </c>
      <c r="O579" t="s">
        <v>36</v>
      </c>
      <c r="Q579" t="s">
        <v>62</v>
      </c>
      <c r="R579" t="s">
        <v>955</v>
      </c>
      <c r="S579" t="s">
        <v>956</v>
      </c>
      <c r="T579" t="s">
        <v>47</v>
      </c>
      <c r="U579" t="s">
        <v>48</v>
      </c>
      <c r="V579" t="s">
        <v>49</v>
      </c>
      <c r="W579" t="s">
        <v>674</v>
      </c>
      <c r="X579" t="s">
        <v>51</v>
      </c>
      <c r="Y579" t="s">
        <v>958</v>
      </c>
      <c r="Z579" t="s">
        <v>958</v>
      </c>
      <c r="AA579" t="s">
        <v>959</v>
      </c>
      <c r="AB579" s="3">
        <f t="shared" ref="AB579:AB642" si="72">SUM(AC579/AD579)</f>
        <v>1</v>
      </c>
      <c r="AC579">
        <v>384.65</v>
      </c>
      <c r="AD579" s="2">
        <v>384.65</v>
      </c>
      <c r="AE579" s="2">
        <v>29.4</v>
      </c>
      <c r="AF579" s="2">
        <v>2.67</v>
      </c>
      <c r="AG579" s="2">
        <v>416.36</v>
      </c>
      <c r="AH579">
        <v>0</v>
      </c>
      <c r="AI579">
        <v>416.36</v>
      </c>
      <c r="AJ579">
        <v>2.0817999999999999</v>
      </c>
      <c r="AK579" t="s">
        <v>54</v>
      </c>
      <c r="AL579">
        <v>2.17</v>
      </c>
      <c r="AM579" s="4">
        <f t="shared" ref="AM579:AM642" si="73">SUM(AG579/AB579)</f>
        <v>416.36</v>
      </c>
      <c r="AN579" s="4">
        <f t="shared" ref="AN579:AN642" si="74">SUM(AD579*1.875)</f>
        <v>721.21875</v>
      </c>
      <c r="AO579" s="4">
        <f t="shared" si="67"/>
        <v>801.27403125000001</v>
      </c>
      <c r="AP579" s="4">
        <f t="shared" si="68"/>
        <v>1168.3022531249999</v>
      </c>
      <c r="AQ579" s="10">
        <f t="shared" si="69"/>
        <v>724.09167600000001</v>
      </c>
      <c r="AR579" s="10">
        <f t="shared" si="70"/>
        <v>804.53826120359997</v>
      </c>
      <c r="AS579" s="10">
        <f t="shared" si="71"/>
        <v>1127.2659211968</v>
      </c>
    </row>
    <row r="580" spans="1:45" x14ac:dyDescent="0.3">
      <c r="A580">
        <v>2025</v>
      </c>
      <c r="B580">
        <v>7</v>
      </c>
      <c r="C580" t="s">
        <v>55</v>
      </c>
      <c r="D580">
        <v>10</v>
      </c>
      <c r="E580" t="s">
        <v>36</v>
      </c>
      <c r="F580" t="s">
        <v>37</v>
      </c>
      <c r="G580" t="s">
        <v>38</v>
      </c>
      <c r="H580" t="s">
        <v>78</v>
      </c>
      <c r="I580" t="s">
        <v>190</v>
      </c>
      <c r="J580" t="s">
        <v>58</v>
      </c>
      <c r="K580" t="s">
        <v>41</v>
      </c>
      <c r="L580" t="s">
        <v>953</v>
      </c>
      <c r="M580" t="s">
        <v>954</v>
      </c>
      <c r="N580" t="s">
        <v>731</v>
      </c>
      <c r="O580" t="s">
        <v>36</v>
      </c>
      <c r="Q580" t="s">
        <v>62</v>
      </c>
      <c r="R580" t="s">
        <v>955</v>
      </c>
      <c r="S580" t="s">
        <v>956</v>
      </c>
      <c r="T580" t="s">
        <v>47</v>
      </c>
      <c r="U580" t="s">
        <v>476</v>
      </c>
      <c r="V580" t="s">
        <v>49</v>
      </c>
      <c r="W580" t="s">
        <v>708</v>
      </c>
      <c r="X580" t="s">
        <v>51</v>
      </c>
      <c r="Y580" t="s">
        <v>958</v>
      </c>
      <c r="Z580" t="s">
        <v>958</v>
      </c>
      <c r="AA580" t="s">
        <v>959</v>
      </c>
      <c r="AB580" s="3">
        <f t="shared" si="72"/>
        <v>1</v>
      </c>
      <c r="AC580">
        <v>384.65</v>
      </c>
      <c r="AD580" s="2">
        <v>384.65</v>
      </c>
      <c r="AE580" s="2">
        <v>29.4</v>
      </c>
      <c r="AF580" s="2">
        <v>2.67</v>
      </c>
      <c r="AG580" s="2">
        <v>416.36</v>
      </c>
      <c r="AH580">
        <v>0</v>
      </c>
      <c r="AI580">
        <v>416.36</v>
      </c>
      <c r="AJ580">
        <v>2.0817999999999999</v>
      </c>
      <c r="AK580" t="s">
        <v>54</v>
      </c>
      <c r="AL580">
        <v>2.17</v>
      </c>
      <c r="AM580" s="4">
        <f t="shared" si="73"/>
        <v>416.36</v>
      </c>
      <c r="AN580" s="4">
        <f t="shared" si="74"/>
        <v>721.21875</v>
      </c>
      <c r="AO580" s="4">
        <f t="shared" ref="AO580:AO643" si="75">SUM(AN580)*1.111</f>
        <v>801.27403125000001</v>
      </c>
      <c r="AP580" s="4">
        <f t="shared" ref="AP580:AP643" si="76">SUM(AN580)*1.6199</f>
        <v>1168.3022531249999</v>
      </c>
      <c r="AQ580" s="10">
        <f t="shared" ref="AQ580:AQ643" si="77">SUM(AM580)*1.7391</f>
        <v>724.09167600000001</v>
      </c>
      <c r="AR580" s="10">
        <f t="shared" ref="AR580:AR643" si="78">SUM(AQ580)*1.1111</f>
        <v>804.53826120359997</v>
      </c>
      <c r="AS580" s="10">
        <f t="shared" ref="AS580:AS643" si="79">SUM(AQ580)*1.5568</f>
        <v>1127.2659211968</v>
      </c>
    </row>
    <row r="581" spans="1:45" x14ac:dyDescent="0.3">
      <c r="A581">
        <v>2025</v>
      </c>
      <c r="B581">
        <v>8</v>
      </c>
      <c r="C581" t="s">
        <v>55</v>
      </c>
      <c r="D581">
        <v>10</v>
      </c>
      <c r="E581" t="s">
        <v>36</v>
      </c>
      <c r="F581" t="s">
        <v>37</v>
      </c>
      <c r="G581" t="s">
        <v>38</v>
      </c>
      <c r="H581" t="s">
        <v>78</v>
      </c>
      <c r="I581" t="s">
        <v>190</v>
      </c>
      <c r="J581" t="s">
        <v>58</v>
      </c>
      <c r="K581" t="s">
        <v>59</v>
      </c>
      <c r="L581" t="s">
        <v>1194</v>
      </c>
      <c r="M581" t="s">
        <v>1195</v>
      </c>
      <c r="N581" t="s">
        <v>1196</v>
      </c>
      <c r="O581" t="s">
        <v>1197</v>
      </c>
      <c r="Q581" t="s">
        <v>62</v>
      </c>
      <c r="R581" t="s">
        <v>1198</v>
      </c>
      <c r="S581" t="s">
        <v>1198</v>
      </c>
      <c r="T581" t="s">
        <v>47</v>
      </c>
      <c r="U581" t="s">
        <v>118</v>
      </c>
      <c r="V581" t="s">
        <v>49</v>
      </c>
      <c r="W581" t="s">
        <v>714</v>
      </c>
      <c r="X581" t="s">
        <v>388</v>
      </c>
      <c r="Y581" t="s">
        <v>1074</v>
      </c>
      <c r="Z581" t="s">
        <v>1075</v>
      </c>
      <c r="AA581" t="s">
        <v>1076</v>
      </c>
      <c r="AB581" s="3">
        <f t="shared" si="72"/>
        <v>10</v>
      </c>
      <c r="AC581">
        <v>384.19</v>
      </c>
      <c r="AD581" s="2">
        <v>38.418999999999997</v>
      </c>
      <c r="AE581" s="2">
        <v>290.42</v>
      </c>
      <c r="AF581" s="2">
        <v>2.48</v>
      </c>
      <c r="AG581" s="2">
        <v>677.8</v>
      </c>
      <c r="AH581">
        <v>0</v>
      </c>
      <c r="AI581">
        <v>67.78</v>
      </c>
      <c r="AJ581">
        <v>3.3889999999999998</v>
      </c>
      <c r="AK581" t="s">
        <v>54</v>
      </c>
      <c r="AL581">
        <v>21.74</v>
      </c>
      <c r="AM581" s="4">
        <f t="shared" si="73"/>
        <v>67.78</v>
      </c>
      <c r="AN581" s="4">
        <f t="shared" si="74"/>
        <v>72.035624999999996</v>
      </c>
      <c r="AO581" s="4">
        <f t="shared" si="75"/>
        <v>80.031579374999993</v>
      </c>
      <c r="AP581" s="4">
        <f t="shared" si="76"/>
        <v>116.69050893749998</v>
      </c>
      <c r="AQ581" s="10">
        <f t="shared" si="77"/>
        <v>117.876198</v>
      </c>
      <c r="AR581" s="10">
        <f t="shared" si="78"/>
        <v>130.9722435978</v>
      </c>
      <c r="AS581" s="10">
        <f t="shared" si="79"/>
        <v>183.50966504639999</v>
      </c>
    </row>
    <row r="582" spans="1:45" x14ac:dyDescent="0.3">
      <c r="A582">
        <v>2025</v>
      </c>
      <c r="B582">
        <v>7</v>
      </c>
      <c r="C582" t="s">
        <v>55</v>
      </c>
      <c r="D582">
        <v>10</v>
      </c>
      <c r="E582" t="s">
        <v>36</v>
      </c>
      <c r="F582" t="s">
        <v>37</v>
      </c>
      <c r="G582" t="s">
        <v>38</v>
      </c>
      <c r="H582" t="s">
        <v>78</v>
      </c>
      <c r="I582" t="s">
        <v>190</v>
      </c>
      <c r="J582" t="s">
        <v>58</v>
      </c>
      <c r="K582" t="s">
        <v>41</v>
      </c>
      <c r="L582" t="s">
        <v>953</v>
      </c>
      <c r="M582" t="s">
        <v>954</v>
      </c>
      <c r="N582" t="s">
        <v>731</v>
      </c>
      <c r="O582" t="s">
        <v>36</v>
      </c>
      <c r="Q582" t="s">
        <v>62</v>
      </c>
      <c r="R582" t="s">
        <v>955</v>
      </c>
      <c r="S582" t="s">
        <v>956</v>
      </c>
      <c r="T582" t="s">
        <v>47</v>
      </c>
      <c r="U582" t="s">
        <v>476</v>
      </c>
      <c r="V582" t="s">
        <v>49</v>
      </c>
      <c r="W582" t="s">
        <v>708</v>
      </c>
      <c r="X582" t="s">
        <v>51</v>
      </c>
      <c r="Y582" t="s">
        <v>1074</v>
      </c>
      <c r="Z582" t="s">
        <v>1075</v>
      </c>
      <c r="AA582" t="s">
        <v>1076</v>
      </c>
      <c r="AB582" s="3">
        <f t="shared" si="72"/>
        <v>3.0000000000000262</v>
      </c>
      <c r="AC582">
        <v>113.95</v>
      </c>
      <c r="AD582" s="2">
        <v>37.983333333333</v>
      </c>
      <c r="AE582" s="2">
        <v>8.17</v>
      </c>
      <c r="AF582" s="2">
        <v>0.74</v>
      </c>
      <c r="AG582" s="2">
        <v>122.85</v>
      </c>
      <c r="AH582">
        <v>0</v>
      </c>
      <c r="AI582">
        <v>40.950000000000003</v>
      </c>
      <c r="AJ582">
        <v>0.61424999999999996</v>
      </c>
      <c r="AK582" t="s">
        <v>54</v>
      </c>
      <c r="AL582">
        <v>0.96</v>
      </c>
      <c r="AM582" s="4">
        <f t="shared" si="73"/>
        <v>40.94999999999964</v>
      </c>
      <c r="AN582" s="4">
        <f t="shared" si="74"/>
        <v>71.218749999999375</v>
      </c>
      <c r="AO582" s="4">
        <f t="shared" si="75"/>
        <v>79.124031249999305</v>
      </c>
      <c r="AP582" s="4">
        <f t="shared" si="76"/>
        <v>115.36725312499898</v>
      </c>
      <c r="AQ582" s="10">
        <f t="shared" si="77"/>
        <v>71.216144999999372</v>
      </c>
      <c r="AR582" s="10">
        <f t="shared" si="78"/>
        <v>79.128258709499306</v>
      </c>
      <c r="AS582" s="10">
        <f t="shared" si="79"/>
        <v>110.86929453599902</v>
      </c>
    </row>
    <row r="583" spans="1:45" x14ac:dyDescent="0.3">
      <c r="A583">
        <v>2025</v>
      </c>
      <c r="B583">
        <v>8</v>
      </c>
      <c r="C583" t="s">
        <v>55</v>
      </c>
      <c r="D583">
        <v>10</v>
      </c>
      <c r="E583" t="s">
        <v>36</v>
      </c>
      <c r="F583" t="s">
        <v>37</v>
      </c>
      <c r="G583" t="s">
        <v>38</v>
      </c>
      <c r="H583" t="s">
        <v>924</v>
      </c>
      <c r="I583" t="s">
        <v>190</v>
      </c>
      <c r="J583" t="s">
        <v>58</v>
      </c>
      <c r="K583" t="s">
        <v>59</v>
      </c>
      <c r="L583" t="s">
        <v>1194</v>
      </c>
      <c r="M583" t="s">
        <v>1195</v>
      </c>
      <c r="N583" t="s">
        <v>1196</v>
      </c>
      <c r="O583" t="s">
        <v>1197</v>
      </c>
      <c r="Q583" t="s">
        <v>62</v>
      </c>
      <c r="R583" t="s">
        <v>1198</v>
      </c>
      <c r="S583" t="s">
        <v>1198</v>
      </c>
      <c r="T583" t="s">
        <v>47</v>
      </c>
      <c r="U583" t="s">
        <v>105</v>
      </c>
      <c r="V583" t="s">
        <v>49</v>
      </c>
      <c r="W583" t="s">
        <v>708</v>
      </c>
      <c r="X583" t="s">
        <v>388</v>
      </c>
      <c r="Y583" t="s">
        <v>1079</v>
      </c>
      <c r="Z583" t="s">
        <v>1079</v>
      </c>
      <c r="AA583" t="s">
        <v>1080</v>
      </c>
      <c r="AB583" s="3">
        <f t="shared" si="72"/>
        <v>1</v>
      </c>
      <c r="AC583">
        <v>73.510000000000005</v>
      </c>
      <c r="AD583" s="2">
        <v>73.510000000000005</v>
      </c>
      <c r="AE583" s="2">
        <v>29.4</v>
      </c>
      <c r="AF583" s="2">
        <v>0.5</v>
      </c>
      <c r="AG583" s="2">
        <v>103.5</v>
      </c>
      <c r="AH583">
        <v>0</v>
      </c>
      <c r="AI583">
        <v>103.5</v>
      </c>
      <c r="AJ583">
        <v>0.51749999999999996</v>
      </c>
      <c r="AK583" t="s">
        <v>54</v>
      </c>
      <c r="AL583">
        <v>2.17</v>
      </c>
      <c r="AM583" s="4">
        <f t="shared" si="73"/>
        <v>103.5</v>
      </c>
      <c r="AN583" s="4">
        <f t="shared" si="74"/>
        <v>137.83125000000001</v>
      </c>
      <c r="AO583" s="4">
        <f t="shared" si="75"/>
        <v>153.13051875000002</v>
      </c>
      <c r="AP583" s="4">
        <f t="shared" si="76"/>
        <v>223.27284187500001</v>
      </c>
      <c r="AQ583" s="10">
        <f t="shared" si="77"/>
        <v>179.99685000000002</v>
      </c>
      <c r="AR583" s="10">
        <f t="shared" si="78"/>
        <v>199.99450003500002</v>
      </c>
      <c r="AS583" s="10">
        <f t="shared" si="79"/>
        <v>280.21909608000004</v>
      </c>
    </row>
    <row r="584" spans="1:45" x14ac:dyDescent="0.3">
      <c r="A584">
        <v>2025</v>
      </c>
      <c r="B584">
        <v>8</v>
      </c>
      <c r="C584" t="s">
        <v>55</v>
      </c>
      <c r="D584">
        <v>10</v>
      </c>
      <c r="E584" t="s">
        <v>36</v>
      </c>
      <c r="F584" t="s">
        <v>37</v>
      </c>
      <c r="G584" t="s">
        <v>38</v>
      </c>
      <c r="H584" t="s">
        <v>236</v>
      </c>
      <c r="I584" t="s">
        <v>190</v>
      </c>
      <c r="J584" t="s">
        <v>58</v>
      </c>
      <c r="K584" t="s">
        <v>59</v>
      </c>
      <c r="L584" t="s">
        <v>1194</v>
      </c>
      <c r="M584" t="s">
        <v>1195</v>
      </c>
      <c r="N584" t="s">
        <v>1196</v>
      </c>
      <c r="O584" t="s">
        <v>1197</v>
      </c>
      <c r="Q584" t="s">
        <v>62</v>
      </c>
      <c r="R584" t="s">
        <v>1198</v>
      </c>
      <c r="S584" t="s">
        <v>1198</v>
      </c>
      <c r="T584" t="s">
        <v>47</v>
      </c>
      <c r="U584" t="s">
        <v>118</v>
      </c>
      <c r="V584" t="s">
        <v>49</v>
      </c>
      <c r="W584" t="s">
        <v>714</v>
      </c>
      <c r="X584" t="s">
        <v>388</v>
      </c>
      <c r="Y584" t="s">
        <v>1069</v>
      </c>
      <c r="Z584" t="s">
        <v>1069</v>
      </c>
      <c r="AA584" t="s">
        <v>1315</v>
      </c>
      <c r="AB584" s="3">
        <f t="shared" si="72"/>
        <v>2</v>
      </c>
      <c r="AC584">
        <v>83.86</v>
      </c>
      <c r="AD584" s="2">
        <v>41.93</v>
      </c>
      <c r="AE584" s="2">
        <v>6.1</v>
      </c>
      <c r="AF584" s="2">
        <v>0.54</v>
      </c>
      <c r="AG584" s="2">
        <v>90.41</v>
      </c>
      <c r="AH584">
        <v>0</v>
      </c>
      <c r="AI584">
        <v>45.204999999999998</v>
      </c>
      <c r="AJ584">
        <v>0.45205000000000001</v>
      </c>
      <c r="AK584" t="s">
        <v>54</v>
      </c>
      <c r="AL584">
        <v>0.71</v>
      </c>
      <c r="AM584" s="4">
        <f t="shared" si="73"/>
        <v>45.204999999999998</v>
      </c>
      <c r="AN584" s="4">
        <f t="shared" si="74"/>
        <v>78.618750000000006</v>
      </c>
      <c r="AO584" s="4">
        <f t="shared" si="75"/>
        <v>87.345431250000004</v>
      </c>
      <c r="AP584" s="4">
        <f t="shared" si="76"/>
        <v>127.354513125</v>
      </c>
      <c r="AQ584" s="10">
        <f t="shared" si="77"/>
        <v>78.616015500000003</v>
      </c>
      <c r="AR584" s="10">
        <f t="shared" si="78"/>
        <v>87.350254822050005</v>
      </c>
      <c r="AS584" s="10">
        <f t="shared" si="79"/>
        <v>122.3894129304</v>
      </c>
    </row>
    <row r="585" spans="1:45" x14ac:dyDescent="0.3">
      <c r="A585">
        <v>2025</v>
      </c>
      <c r="B585">
        <v>3</v>
      </c>
      <c r="C585" t="s">
        <v>55</v>
      </c>
      <c r="D585">
        <v>10</v>
      </c>
      <c r="E585" t="s">
        <v>36</v>
      </c>
      <c r="F585" t="s">
        <v>37</v>
      </c>
      <c r="G585" t="s">
        <v>38</v>
      </c>
      <c r="H585" t="s">
        <v>78</v>
      </c>
      <c r="I585" t="s">
        <v>190</v>
      </c>
      <c r="J585" t="s">
        <v>58</v>
      </c>
      <c r="K585" t="s">
        <v>59</v>
      </c>
      <c r="M585" t="s">
        <v>209</v>
      </c>
      <c r="N585" t="s">
        <v>61</v>
      </c>
      <c r="O585" t="s">
        <v>43</v>
      </c>
      <c r="Q585" t="s">
        <v>62</v>
      </c>
      <c r="R585" t="s">
        <v>210</v>
      </c>
      <c r="S585" t="s">
        <v>211</v>
      </c>
      <c r="T585" t="s">
        <v>47</v>
      </c>
      <c r="U585" t="s">
        <v>118</v>
      </c>
      <c r="V585" t="s">
        <v>49</v>
      </c>
      <c r="W585" t="s">
        <v>119</v>
      </c>
      <c r="X585" t="s">
        <v>51</v>
      </c>
      <c r="Y585" t="s">
        <v>1347</v>
      </c>
      <c r="Z585" t="s">
        <v>1347</v>
      </c>
      <c r="AA585" t="s">
        <v>1348</v>
      </c>
      <c r="AB585" s="3">
        <f t="shared" si="72"/>
        <v>2</v>
      </c>
      <c r="AC585">
        <v>142.1</v>
      </c>
      <c r="AD585" s="2">
        <v>71.05</v>
      </c>
      <c r="AE585" s="2">
        <v>10.18</v>
      </c>
      <c r="AF585" s="2">
        <v>0.92</v>
      </c>
      <c r="AG585" s="2">
        <v>153.11000000000001</v>
      </c>
      <c r="AH585">
        <v>0</v>
      </c>
      <c r="AI585">
        <v>76.555000000000007</v>
      </c>
      <c r="AJ585">
        <v>0.76554999999999995</v>
      </c>
      <c r="AK585" t="s">
        <v>54</v>
      </c>
      <c r="AL585">
        <v>1.2</v>
      </c>
      <c r="AM585" s="4">
        <f t="shared" si="73"/>
        <v>76.555000000000007</v>
      </c>
      <c r="AN585" s="4">
        <f t="shared" si="74"/>
        <v>133.21875</v>
      </c>
      <c r="AO585" s="4">
        <f t="shared" si="75"/>
        <v>148.00603125000001</v>
      </c>
      <c r="AP585" s="4">
        <f t="shared" si="76"/>
        <v>215.80105312499998</v>
      </c>
      <c r="AQ585" s="10">
        <f t="shared" si="77"/>
        <v>133.13680050000002</v>
      </c>
      <c r="AR585" s="10">
        <f t="shared" si="78"/>
        <v>147.92829903555003</v>
      </c>
      <c r="AS585" s="10">
        <f t="shared" si="79"/>
        <v>207.26737101840004</v>
      </c>
    </row>
    <row r="586" spans="1:45" x14ac:dyDescent="0.3">
      <c r="A586">
        <v>2025</v>
      </c>
      <c r="B586">
        <v>8</v>
      </c>
      <c r="C586" t="s">
        <v>55</v>
      </c>
      <c r="D586">
        <v>10</v>
      </c>
      <c r="E586" t="s">
        <v>36</v>
      </c>
      <c r="F586" t="s">
        <v>37</v>
      </c>
      <c r="G586" t="s">
        <v>38</v>
      </c>
      <c r="H586" t="s">
        <v>78</v>
      </c>
      <c r="I586" t="s">
        <v>190</v>
      </c>
      <c r="J586" t="s">
        <v>58</v>
      </c>
      <c r="K586" t="s">
        <v>59</v>
      </c>
      <c r="L586" t="s">
        <v>1194</v>
      </c>
      <c r="M586" t="s">
        <v>1195</v>
      </c>
      <c r="N586" t="s">
        <v>1196</v>
      </c>
      <c r="O586" t="s">
        <v>1197</v>
      </c>
      <c r="Q586" t="s">
        <v>62</v>
      </c>
      <c r="R586" t="s">
        <v>1198</v>
      </c>
      <c r="S586" t="s">
        <v>1198</v>
      </c>
      <c r="T586" t="s">
        <v>47</v>
      </c>
      <c r="U586" t="s">
        <v>118</v>
      </c>
      <c r="V586" t="s">
        <v>49</v>
      </c>
      <c r="W586" t="s">
        <v>714</v>
      </c>
      <c r="X586" t="s">
        <v>388</v>
      </c>
      <c r="Y586" t="s">
        <v>133</v>
      </c>
      <c r="Z586" t="s">
        <v>64</v>
      </c>
      <c r="AA586" t="s">
        <v>330</v>
      </c>
      <c r="AB586" s="3">
        <f t="shared" si="72"/>
        <v>5</v>
      </c>
      <c r="AC586">
        <v>1408.22</v>
      </c>
      <c r="AD586" s="2">
        <v>281.64400000000001</v>
      </c>
      <c r="AE586" s="2">
        <v>314.55</v>
      </c>
      <c r="AF586" s="2">
        <v>10.32</v>
      </c>
      <c r="AG586" s="2">
        <v>1733.09</v>
      </c>
      <c r="AH586">
        <v>0</v>
      </c>
      <c r="AI586">
        <v>346.61799999999999</v>
      </c>
      <c r="AJ586">
        <v>8.6654499999999999</v>
      </c>
      <c r="AK586" t="s">
        <v>54</v>
      </c>
      <c r="AL586">
        <v>11.01</v>
      </c>
      <c r="AM586" s="4">
        <f t="shared" si="73"/>
        <v>346.61799999999999</v>
      </c>
      <c r="AN586" s="4">
        <f t="shared" si="74"/>
        <v>528.08249999999998</v>
      </c>
      <c r="AO586" s="4">
        <f t="shared" si="75"/>
        <v>586.69965749999994</v>
      </c>
      <c r="AP586" s="4">
        <f t="shared" si="76"/>
        <v>855.44084174999989</v>
      </c>
      <c r="AQ586" s="10">
        <f t="shared" si="77"/>
        <v>602.80336380000006</v>
      </c>
      <c r="AR586" s="10">
        <f t="shared" si="78"/>
        <v>669.77481751818004</v>
      </c>
      <c r="AS586" s="10">
        <f t="shared" si="79"/>
        <v>938.44427676384009</v>
      </c>
    </row>
    <row r="587" spans="1:45" x14ac:dyDescent="0.3">
      <c r="A587">
        <v>2025</v>
      </c>
      <c r="B587">
        <v>7</v>
      </c>
      <c r="C587" t="s">
        <v>55</v>
      </c>
      <c r="D587">
        <v>10</v>
      </c>
      <c r="E587" t="s">
        <v>36</v>
      </c>
      <c r="F587" t="s">
        <v>37</v>
      </c>
      <c r="G587" t="s">
        <v>38</v>
      </c>
      <c r="H587" t="s">
        <v>78</v>
      </c>
      <c r="I587" t="s">
        <v>190</v>
      </c>
      <c r="J587" t="s">
        <v>58</v>
      </c>
      <c r="K587" t="s">
        <v>41</v>
      </c>
      <c r="L587" t="s">
        <v>953</v>
      </c>
      <c r="M587" t="s">
        <v>954</v>
      </c>
      <c r="N587" t="s">
        <v>731</v>
      </c>
      <c r="O587" t="s">
        <v>36</v>
      </c>
      <c r="Q587" t="s">
        <v>62</v>
      </c>
      <c r="R587" t="s">
        <v>955</v>
      </c>
      <c r="S587" t="s">
        <v>956</v>
      </c>
      <c r="T587" t="s">
        <v>47</v>
      </c>
      <c r="U587" t="s">
        <v>105</v>
      </c>
      <c r="V587" t="s">
        <v>49</v>
      </c>
      <c r="W587" t="s">
        <v>708</v>
      </c>
      <c r="X587" t="s">
        <v>51</v>
      </c>
      <c r="Y587" t="s">
        <v>1086</v>
      </c>
      <c r="Z587" t="s">
        <v>1086</v>
      </c>
      <c r="AA587" t="s">
        <v>330</v>
      </c>
      <c r="AB587" s="3">
        <f t="shared" si="72"/>
        <v>5.0000000000000009</v>
      </c>
      <c r="AC587">
        <v>1234.45</v>
      </c>
      <c r="AD587" s="2">
        <v>246.89</v>
      </c>
      <c r="AE587" s="2">
        <v>88.47</v>
      </c>
      <c r="AF587" s="2">
        <v>7.99</v>
      </c>
      <c r="AG587" s="2">
        <v>1330.9</v>
      </c>
      <c r="AH587">
        <v>0</v>
      </c>
      <c r="AI587">
        <v>266.18</v>
      </c>
      <c r="AJ587">
        <v>6.6544999999999996</v>
      </c>
      <c r="AK587" t="s">
        <v>54</v>
      </c>
      <c r="AL587">
        <v>10.39</v>
      </c>
      <c r="AM587" s="4">
        <f t="shared" si="73"/>
        <v>266.17999999999995</v>
      </c>
      <c r="AN587" s="4">
        <f t="shared" si="74"/>
        <v>462.91874999999999</v>
      </c>
      <c r="AO587" s="4">
        <f t="shared" si="75"/>
        <v>514.30273124999997</v>
      </c>
      <c r="AP587" s="4">
        <f t="shared" si="76"/>
        <v>749.88208312499989</v>
      </c>
      <c r="AQ587" s="10">
        <f t="shared" si="77"/>
        <v>462.91363799999993</v>
      </c>
      <c r="AR587" s="10">
        <f t="shared" si="78"/>
        <v>514.34334318179992</v>
      </c>
      <c r="AS587" s="10">
        <f t="shared" si="79"/>
        <v>720.66395163839991</v>
      </c>
    </row>
    <row r="588" spans="1:45" x14ac:dyDescent="0.3">
      <c r="A588">
        <v>2025</v>
      </c>
      <c r="B588">
        <v>6</v>
      </c>
      <c r="C588" t="s">
        <v>55</v>
      </c>
      <c r="D588">
        <v>10</v>
      </c>
      <c r="E588" t="s">
        <v>36</v>
      </c>
      <c r="F588" t="s">
        <v>37</v>
      </c>
      <c r="G588" t="s">
        <v>38</v>
      </c>
      <c r="H588" t="s">
        <v>410</v>
      </c>
      <c r="I588" t="s">
        <v>190</v>
      </c>
      <c r="J588" t="s">
        <v>58</v>
      </c>
      <c r="K588" t="s">
        <v>59</v>
      </c>
      <c r="M588" t="s">
        <v>730</v>
      </c>
      <c r="N588" t="s">
        <v>731</v>
      </c>
      <c r="O588" t="s">
        <v>36</v>
      </c>
      <c r="Q588" t="s">
        <v>62</v>
      </c>
      <c r="R588" t="s">
        <v>732</v>
      </c>
      <c r="S588" t="s">
        <v>732</v>
      </c>
      <c r="T588" t="s">
        <v>47</v>
      </c>
      <c r="U588" t="s">
        <v>167</v>
      </c>
      <c r="V588" t="s">
        <v>49</v>
      </c>
      <c r="W588" t="s">
        <v>168</v>
      </c>
      <c r="X588" t="s">
        <v>686</v>
      </c>
      <c r="Y588" t="s">
        <v>1069</v>
      </c>
      <c r="Z588" t="s">
        <v>1069</v>
      </c>
      <c r="AA588" t="s">
        <v>1070</v>
      </c>
      <c r="AB588" s="3">
        <f t="shared" si="72"/>
        <v>1</v>
      </c>
      <c r="AC588">
        <v>61.19</v>
      </c>
      <c r="AD588" s="2">
        <v>61.19</v>
      </c>
      <c r="AE588" s="2">
        <v>29.4</v>
      </c>
      <c r="AF588" s="2">
        <v>0.41</v>
      </c>
      <c r="AG588" s="2">
        <v>90.64</v>
      </c>
      <c r="AH588">
        <v>0</v>
      </c>
      <c r="AI588">
        <v>90.64</v>
      </c>
      <c r="AJ588">
        <v>0.45319999999999999</v>
      </c>
      <c r="AK588" t="s">
        <v>54</v>
      </c>
      <c r="AL588">
        <v>2.17</v>
      </c>
      <c r="AM588" s="4">
        <f t="shared" si="73"/>
        <v>90.64</v>
      </c>
      <c r="AN588" s="4">
        <f t="shared" si="74"/>
        <v>114.73124999999999</v>
      </c>
      <c r="AO588" s="4">
        <f t="shared" si="75"/>
        <v>127.46641874999999</v>
      </c>
      <c r="AP588" s="4">
        <f t="shared" si="76"/>
        <v>185.85315187499998</v>
      </c>
      <c r="AQ588" s="10">
        <f t="shared" si="77"/>
        <v>157.632024</v>
      </c>
      <c r="AR588" s="10">
        <f t="shared" si="78"/>
        <v>175.14494186639999</v>
      </c>
      <c r="AS588" s="10">
        <f t="shared" si="79"/>
        <v>245.40153496319999</v>
      </c>
    </row>
    <row r="589" spans="1:45" x14ac:dyDescent="0.3">
      <c r="A589">
        <v>2025</v>
      </c>
      <c r="B589">
        <v>6</v>
      </c>
      <c r="C589" t="s">
        <v>55</v>
      </c>
      <c r="D589">
        <v>10</v>
      </c>
      <c r="E589" t="s">
        <v>36</v>
      </c>
      <c r="F589" t="s">
        <v>37</v>
      </c>
      <c r="G589" t="s">
        <v>38</v>
      </c>
      <c r="H589" t="s">
        <v>101</v>
      </c>
      <c r="I589" t="s">
        <v>190</v>
      </c>
      <c r="J589" t="s">
        <v>58</v>
      </c>
      <c r="K589" t="s">
        <v>59</v>
      </c>
      <c r="M589" t="s">
        <v>730</v>
      </c>
      <c r="N589" t="s">
        <v>731</v>
      </c>
      <c r="O589" t="s">
        <v>36</v>
      </c>
      <c r="Q589" t="s">
        <v>62</v>
      </c>
      <c r="R589" t="s">
        <v>732</v>
      </c>
      <c r="S589" t="s">
        <v>732</v>
      </c>
      <c r="T589" t="s">
        <v>47</v>
      </c>
      <c r="U589" t="s">
        <v>157</v>
      </c>
      <c r="V589" t="s">
        <v>49</v>
      </c>
      <c r="W589" t="s">
        <v>158</v>
      </c>
      <c r="X589" t="s">
        <v>686</v>
      </c>
      <c r="Y589" t="s">
        <v>886</v>
      </c>
      <c r="Z589" t="s">
        <v>886</v>
      </c>
      <c r="AA589" t="s">
        <v>887</v>
      </c>
      <c r="AB589" s="3">
        <f t="shared" si="72"/>
        <v>1</v>
      </c>
      <c r="AC589">
        <v>59.6</v>
      </c>
      <c r="AD589" s="2">
        <v>59.6</v>
      </c>
      <c r="AE589" s="2">
        <v>12.49</v>
      </c>
      <c r="AF589" s="2">
        <v>0.44</v>
      </c>
      <c r="AG589" s="2">
        <v>71.989999999999995</v>
      </c>
      <c r="AH589">
        <v>0</v>
      </c>
      <c r="AI589">
        <v>71.989999999999995</v>
      </c>
      <c r="AJ589">
        <v>0.35994999999999999</v>
      </c>
      <c r="AK589" t="s">
        <v>54</v>
      </c>
      <c r="AL589">
        <v>0.43</v>
      </c>
      <c r="AM589" s="4">
        <f t="shared" si="73"/>
        <v>71.989999999999995</v>
      </c>
      <c r="AN589" s="4">
        <f t="shared" si="74"/>
        <v>111.75</v>
      </c>
      <c r="AO589" s="4">
        <f t="shared" si="75"/>
        <v>124.15425</v>
      </c>
      <c r="AP589" s="4">
        <f t="shared" si="76"/>
        <v>181.02382499999999</v>
      </c>
      <c r="AQ589" s="10">
        <f t="shared" si="77"/>
        <v>125.19780899999999</v>
      </c>
      <c r="AR589" s="10">
        <f t="shared" si="78"/>
        <v>139.10728557989998</v>
      </c>
      <c r="AS589" s="10">
        <f t="shared" si="79"/>
        <v>194.90794905119998</v>
      </c>
    </row>
    <row r="590" spans="1:45" x14ac:dyDescent="0.3">
      <c r="A590">
        <v>2025</v>
      </c>
      <c r="B590">
        <v>6</v>
      </c>
      <c r="C590" t="s">
        <v>55</v>
      </c>
      <c r="D590">
        <v>10</v>
      </c>
      <c r="E590" t="s">
        <v>36</v>
      </c>
      <c r="F590" t="s">
        <v>37</v>
      </c>
      <c r="G590" t="s">
        <v>38</v>
      </c>
      <c r="H590" t="s">
        <v>410</v>
      </c>
      <c r="I590" t="s">
        <v>190</v>
      </c>
      <c r="J590" t="s">
        <v>58</v>
      </c>
      <c r="K590" t="s">
        <v>59</v>
      </c>
      <c r="M590" t="s">
        <v>730</v>
      </c>
      <c r="N590" t="s">
        <v>731</v>
      </c>
      <c r="O590" t="s">
        <v>36</v>
      </c>
      <c r="Q590" t="s">
        <v>62</v>
      </c>
      <c r="R590" t="s">
        <v>732</v>
      </c>
      <c r="S590" t="s">
        <v>732</v>
      </c>
      <c r="T590" t="s">
        <v>47</v>
      </c>
      <c r="U590" t="s">
        <v>230</v>
      </c>
      <c r="V590" t="s">
        <v>49</v>
      </c>
      <c r="W590" t="s">
        <v>231</v>
      </c>
      <c r="X590" t="s">
        <v>686</v>
      </c>
      <c r="Y590" t="s">
        <v>548</v>
      </c>
      <c r="Z590" t="s">
        <v>548</v>
      </c>
      <c r="AA590" t="s">
        <v>855</v>
      </c>
      <c r="AB590" s="3">
        <f t="shared" si="72"/>
        <v>5</v>
      </c>
      <c r="AC590">
        <v>278.45</v>
      </c>
      <c r="AD590" s="2">
        <v>55.69</v>
      </c>
      <c r="AE590" s="2">
        <v>58.87</v>
      </c>
      <c r="AF590" s="2">
        <v>2.6</v>
      </c>
      <c r="AG590" s="2">
        <v>339.38</v>
      </c>
      <c r="AH590">
        <v>0</v>
      </c>
      <c r="AI590">
        <v>67.876000000000005</v>
      </c>
      <c r="AJ590">
        <v>1.6969000000000001</v>
      </c>
      <c r="AK590" t="s">
        <v>54</v>
      </c>
      <c r="AL590">
        <v>2.1</v>
      </c>
      <c r="AM590" s="4">
        <f t="shared" si="73"/>
        <v>67.876000000000005</v>
      </c>
      <c r="AN590" s="4">
        <f t="shared" si="74"/>
        <v>104.41874999999999</v>
      </c>
      <c r="AO590" s="4">
        <f t="shared" si="75"/>
        <v>116.00923124999998</v>
      </c>
      <c r="AP590" s="4">
        <f t="shared" si="76"/>
        <v>169.14793312499998</v>
      </c>
      <c r="AQ590" s="10">
        <f t="shared" si="77"/>
        <v>118.04315160000002</v>
      </c>
      <c r="AR590" s="10">
        <f t="shared" si="78"/>
        <v>131.15774574276003</v>
      </c>
      <c r="AS590" s="10">
        <f t="shared" si="79"/>
        <v>183.76957841088003</v>
      </c>
    </row>
    <row r="591" spans="1:45" x14ac:dyDescent="0.3">
      <c r="A591">
        <v>2025</v>
      </c>
      <c r="B591">
        <v>8</v>
      </c>
      <c r="C591" t="s">
        <v>55</v>
      </c>
      <c r="D591">
        <v>10</v>
      </c>
      <c r="E591" t="s">
        <v>36</v>
      </c>
      <c r="F591" t="s">
        <v>37</v>
      </c>
      <c r="G591" t="s">
        <v>38</v>
      </c>
      <c r="H591" t="s">
        <v>1462</v>
      </c>
      <c r="I591" t="s">
        <v>190</v>
      </c>
      <c r="J591" t="s">
        <v>58</v>
      </c>
      <c r="K591" t="s">
        <v>59</v>
      </c>
      <c r="L591" t="s">
        <v>1194</v>
      </c>
      <c r="M591" t="s">
        <v>1195</v>
      </c>
      <c r="N591" t="s">
        <v>1196</v>
      </c>
      <c r="O591" t="s">
        <v>1197</v>
      </c>
      <c r="Q591" t="s">
        <v>62</v>
      </c>
      <c r="R591" t="s">
        <v>1198</v>
      </c>
      <c r="S591" t="s">
        <v>1198</v>
      </c>
      <c r="T591" t="s">
        <v>47</v>
      </c>
      <c r="U591" t="s">
        <v>1463</v>
      </c>
      <c r="V591" t="s">
        <v>49</v>
      </c>
      <c r="W591" t="s">
        <v>1464</v>
      </c>
      <c r="X591" t="s">
        <v>388</v>
      </c>
      <c r="Y591" t="s">
        <v>755</v>
      </c>
      <c r="Z591" t="s">
        <v>755</v>
      </c>
      <c r="AA591" t="s">
        <v>756</v>
      </c>
      <c r="AB591" s="3">
        <f t="shared" si="72"/>
        <v>4</v>
      </c>
      <c r="AC591">
        <v>44.92</v>
      </c>
      <c r="AD591" s="2">
        <v>11.23</v>
      </c>
      <c r="AE591" s="2">
        <v>9.5</v>
      </c>
      <c r="AF591" s="2">
        <v>0.33</v>
      </c>
      <c r="AG591" s="2">
        <v>54.75</v>
      </c>
      <c r="AH591">
        <v>0</v>
      </c>
      <c r="AI591">
        <v>13.6875</v>
      </c>
      <c r="AJ591">
        <v>0.27374999999999999</v>
      </c>
      <c r="AK591" t="s">
        <v>54</v>
      </c>
      <c r="AL591">
        <v>0.33</v>
      </c>
      <c r="AM591" s="4">
        <f t="shared" si="73"/>
        <v>13.6875</v>
      </c>
      <c r="AN591" s="4">
        <f t="shared" si="74"/>
        <v>21.056250000000002</v>
      </c>
      <c r="AO591" s="4">
        <f t="shared" si="75"/>
        <v>23.393493750000001</v>
      </c>
      <c r="AP591" s="4">
        <f t="shared" si="76"/>
        <v>34.109019375000003</v>
      </c>
      <c r="AQ591" s="10">
        <f t="shared" si="77"/>
        <v>23.803931250000002</v>
      </c>
      <c r="AR591" s="10">
        <f t="shared" si="78"/>
        <v>26.448548011875001</v>
      </c>
      <c r="AS591" s="10">
        <f t="shared" si="79"/>
        <v>37.057960170000001</v>
      </c>
    </row>
    <row r="592" spans="1:45" x14ac:dyDescent="0.3">
      <c r="A592">
        <v>2025</v>
      </c>
      <c r="B592">
        <v>8</v>
      </c>
      <c r="C592" t="s">
        <v>55</v>
      </c>
      <c r="D592">
        <v>10</v>
      </c>
      <c r="E592" t="s">
        <v>36</v>
      </c>
      <c r="F592" t="s">
        <v>37</v>
      </c>
      <c r="G592" t="s">
        <v>38</v>
      </c>
      <c r="H592" t="s">
        <v>1462</v>
      </c>
      <c r="I592" t="s">
        <v>190</v>
      </c>
      <c r="J592" t="s">
        <v>58</v>
      </c>
      <c r="K592" t="s">
        <v>59</v>
      </c>
      <c r="L592" t="s">
        <v>1194</v>
      </c>
      <c r="M592" t="s">
        <v>1195</v>
      </c>
      <c r="N592" t="s">
        <v>1196</v>
      </c>
      <c r="O592" t="s">
        <v>1197</v>
      </c>
      <c r="Q592" t="s">
        <v>62</v>
      </c>
      <c r="R592" t="s">
        <v>1198</v>
      </c>
      <c r="S592" t="s">
        <v>1198</v>
      </c>
      <c r="T592" t="s">
        <v>47</v>
      </c>
      <c r="U592" t="s">
        <v>1463</v>
      </c>
      <c r="V592" t="s">
        <v>49</v>
      </c>
      <c r="W592" t="s">
        <v>1464</v>
      </c>
      <c r="X592" t="s">
        <v>388</v>
      </c>
      <c r="Y592" t="s">
        <v>1465</v>
      </c>
      <c r="Z592" t="s">
        <v>1465</v>
      </c>
      <c r="AA592" t="s">
        <v>1466</v>
      </c>
      <c r="AB592" s="3">
        <f t="shared" si="72"/>
        <v>1</v>
      </c>
      <c r="AC592">
        <v>486.9</v>
      </c>
      <c r="AD592" s="2">
        <v>486.9</v>
      </c>
      <c r="AE592" s="2">
        <v>34.840000000000003</v>
      </c>
      <c r="AF592" s="2">
        <v>3.15</v>
      </c>
      <c r="AG592" s="2">
        <v>524.70000000000005</v>
      </c>
      <c r="AH592">
        <v>0</v>
      </c>
      <c r="AI592">
        <v>524.70000000000005</v>
      </c>
      <c r="AJ592">
        <v>2.6234999999999999</v>
      </c>
      <c r="AK592" t="s">
        <v>54</v>
      </c>
      <c r="AL592">
        <v>4.9000000000000004</v>
      </c>
      <c r="AM592" s="4">
        <f t="shared" si="73"/>
        <v>524.70000000000005</v>
      </c>
      <c r="AN592" s="4">
        <f t="shared" si="74"/>
        <v>912.9375</v>
      </c>
      <c r="AO592" s="4">
        <f t="shared" si="75"/>
        <v>1014.2735625</v>
      </c>
      <c r="AP592" s="4">
        <f t="shared" si="76"/>
        <v>1478.8674562499998</v>
      </c>
      <c r="AQ592" s="10">
        <f t="shared" si="77"/>
        <v>912.5057700000001</v>
      </c>
      <c r="AR592" s="10">
        <f t="shared" si="78"/>
        <v>1013.8851610470001</v>
      </c>
      <c r="AS592" s="10">
        <f t="shared" si="79"/>
        <v>1420.5889827360002</v>
      </c>
    </row>
    <row r="593" spans="1:45" x14ac:dyDescent="0.3">
      <c r="A593">
        <v>2025</v>
      </c>
      <c r="B593">
        <v>8</v>
      </c>
      <c r="C593" t="s">
        <v>55</v>
      </c>
      <c r="D593">
        <v>10</v>
      </c>
      <c r="E593" t="s">
        <v>36</v>
      </c>
      <c r="F593" t="s">
        <v>37</v>
      </c>
      <c r="G593" t="s">
        <v>38</v>
      </c>
      <c r="H593" t="s">
        <v>1462</v>
      </c>
      <c r="I593" t="s">
        <v>190</v>
      </c>
      <c r="J593" t="s">
        <v>58</v>
      </c>
      <c r="K593" t="s">
        <v>59</v>
      </c>
      <c r="L593" t="s">
        <v>1194</v>
      </c>
      <c r="M593" t="s">
        <v>1195</v>
      </c>
      <c r="N593" t="s">
        <v>1196</v>
      </c>
      <c r="O593" t="s">
        <v>1197</v>
      </c>
      <c r="Q593" t="s">
        <v>62</v>
      </c>
      <c r="R593" t="s">
        <v>1198</v>
      </c>
      <c r="S593" t="s">
        <v>1198</v>
      </c>
      <c r="T593" t="s">
        <v>47</v>
      </c>
      <c r="U593" t="s">
        <v>1463</v>
      </c>
      <c r="V593" t="s">
        <v>49</v>
      </c>
      <c r="W593" t="s">
        <v>1464</v>
      </c>
      <c r="X593" t="s">
        <v>388</v>
      </c>
      <c r="Y593" t="s">
        <v>1465</v>
      </c>
      <c r="Z593" t="s">
        <v>1465</v>
      </c>
      <c r="AA593" t="s">
        <v>1466</v>
      </c>
      <c r="AB593" s="3">
        <f t="shared" si="72"/>
        <v>1</v>
      </c>
      <c r="AC593">
        <v>486.9</v>
      </c>
      <c r="AD593" s="2">
        <v>486.9</v>
      </c>
      <c r="AE593" s="2">
        <v>34.840000000000003</v>
      </c>
      <c r="AF593" s="2">
        <v>3.15</v>
      </c>
      <c r="AG593" s="2">
        <v>524.70000000000005</v>
      </c>
      <c r="AH593">
        <v>0</v>
      </c>
      <c r="AI593">
        <v>524.70000000000005</v>
      </c>
      <c r="AJ593">
        <v>2.6234999999999999</v>
      </c>
      <c r="AK593" t="s">
        <v>54</v>
      </c>
      <c r="AL593">
        <v>4.9000000000000004</v>
      </c>
      <c r="AM593" s="4">
        <f t="shared" si="73"/>
        <v>524.70000000000005</v>
      </c>
      <c r="AN593" s="4">
        <f t="shared" si="74"/>
        <v>912.9375</v>
      </c>
      <c r="AO593" s="4">
        <f t="shared" si="75"/>
        <v>1014.2735625</v>
      </c>
      <c r="AP593" s="4">
        <f t="shared" si="76"/>
        <v>1478.8674562499998</v>
      </c>
      <c r="AQ593" s="10">
        <f t="shared" si="77"/>
        <v>912.5057700000001</v>
      </c>
      <c r="AR593" s="10">
        <f t="shared" si="78"/>
        <v>1013.8851610470001</v>
      </c>
      <c r="AS593" s="10">
        <f t="shared" si="79"/>
        <v>1420.5889827360002</v>
      </c>
    </row>
    <row r="594" spans="1:45" x14ac:dyDescent="0.3">
      <c r="A594">
        <v>2025</v>
      </c>
      <c r="B594">
        <v>8</v>
      </c>
      <c r="C594" t="s">
        <v>55</v>
      </c>
      <c r="D594">
        <v>10</v>
      </c>
      <c r="E594" t="s">
        <v>36</v>
      </c>
      <c r="F594" t="s">
        <v>37</v>
      </c>
      <c r="G594" t="s">
        <v>38</v>
      </c>
      <c r="H594" t="s">
        <v>1462</v>
      </c>
      <c r="I594" t="s">
        <v>190</v>
      </c>
      <c r="J594" t="s">
        <v>58</v>
      </c>
      <c r="K594" t="s">
        <v>59</v>
      </c>
      <c r="L594" t="s">
        <v>1194</v>
      </c>
      <c r="M594" t="s">
        <v>1195</v>
      </c>
      <c r="N594" t="s">
        <v>1196</v>
      </c>
      <c r="O594" t="s">
        <v>1197</v>
      </c>
      <c r="Q594" t="s">
        <v>62</v>
      </c>
      <c r="R594" t="s">
        <v>1198</v>
      </c>
      <c r="S594" t="s">
        <v>1198</v>
      </c>
      <c r="T594" t="s">
        <v>47</v>
      </c>
      <c r="U594" t="s">
        <v>1463</v>
      </c>
      <c r="V594" t="s">
        <v>49</v>
      </c>
      <c r="W594" t="s">
        <v>1464</v>
      </c>
      <c r="X594" t="s">
        <v>388</v>
      </c>
      <c r="Y594" t="s">
        <v>1465</v>
      </c>
      <c r="Z594" t="s">
        <v>1465</v>
      </c>
      <c r="AA594" t="s">
        <v>1466</v>
      </c>
      <c r="AB594" s="3">
        <f t="shared" si="72"/>
        <v>1</v>
      </c>
      <c r="AC594">
        <v>486.9</v>
      </c>
      <c r="AD594" s="2">
        <v>486.9</v>
      </c>
      <c r="AE594" s="2">
        <v>34.840000000000003</v>
      </c>
      <c r="AF594" s="2">
        <v>3.15</v>
      </c>
      <c r="AG594" s="2">
        <v>524.70000000000005</v>
      </c>
      <c r="AH594">
        <v>0</v>
      </c>
      <c r="AI594">
        <v>524.70000000000005</v>
      </c>
      <c r="AJ594">
        <v>2.6234999999999999</v>
      </c>
      <c r="AK594" t="s">
        <v>54</v>
      </c>
      <c r="AL594">
        <v>4.9000000000000004</v>
      </c>
      <c r="AM594" s="4">
        <f t="shared" si="73"/>
        <v>524.70000000000005</v>
      </c>
      <c r="AN594" s="4">
        <f t="shared" si="74"/>
        <v>912.9375</v>
      </c>
      <c r="AO594" s="4">
        <f t="shared" si="75"/>
        <v>1014.2735625</v>
      </c>
      <c r="AP594" s="4">
        <f t="shared" si="76"/>
        <v>1478.8674562499998</v>
      </c>
      <c r="AQ594" s="10">
        <f t="shared" si="77"/>
        <v>912.5057700000001</v>
      </c>
      <c r="AR594" s="10">
        <f t="shared" si="78"/>
        <v>1013.8851610470001</v>
      </c>
      <c r="AS594" s="10">
        <f t="shared" si="79"/>
        <v>1420.5889827360002</v>
      </c>
    </row>
    <row r="595" spans="1:45" x14ac:dyDescent="0.3">
      <c r="A595">
        <v>2025</v>
      </c>
      <c r="B595">
        <v>10</v>
      </c>
      <c r="C595" t="s">
        <v>55</v>
      </c>
      <c r="D595">
        <v>10</v>
      </c>
      <c r="E595" t="s">
        <v>36</v>
      </c>
      <c r="F595" t="s">
        <v>37</v>
      </c>
      <c r="G595" t="s">
        <v>38</v>
      </c>
      <c r="H595" t="s">
        <v>1462</v>
      </c>
      <c r="I595" t="s">
        <v>1575</v>
      </c>
      <c r="J595" t="s">
        <v>376</v>
      </c>
      <c r="K595" t="s">
        <v>41</v>
      </c>
      <c r="L595" t="s">
        <v>1576</v>
      </c>
      <c r="M595" t="s">
        <v>1577</v>
      </c>
      <c r="N595" t="s">
        <v>1551</v>
      </c>
      <c r="O595" t="s">
        <v>1197</v>
      </c>
      <c r="Q595" t="s">
        <v>62</v>
      </c>
      <c r="R595" t="s">
        <v>1569</v>
      </c>
      <c r="S595" t="s">
        <v>1569</v>
      </c>
      <c r="T595" t="s">
        <v>47</v>
      </c>
      <c r="U595" t="s">
        <v>1463</v>
      </c>
      <c r="V595" t="s">
        <v>49</v>
      </c>
      <c r="W595" t="s">
        <v>1464</v>
      </c>
      <c r="X595" t="s">
        <v>1578</v>
      </c>
      <c r="Y595" t="s">
        <v>1465</v>
      </c>
      <c r="Z595" t="s">
        <v>1465</v>
      </c>
      <c r="AA595" t="s">
        <v>1466</v>
      </c>
      <c r="AB595" s="3">
        <f t="shared" si="72"/>
        <v>1</v>
      </c>
      <c r="AC595">
        <v>486.9</v>
      </c>
      <c r="AD595" s="2">
        <v>486.9</v>
      </c>
      <c r="AE595" s="2">
        <v>34.840000000000003</v>
      </c>
      <c r="AF595" s="2">
        <v>3.15</v>
      </c>
      <c r="AG595" s="2">
        <v>524.70000000000005</v>
      </c>
      <c r="AH595">
        <v>0</v>
      </c>
      <c r="AI595">
        <v>524.70000000000005</v>
      </c>
      <c r="AJ595">
        <v>2.6234999999999999</v>
      </c>
      <c r="AK595" t="s">
        <v>54</v>
      </c>
      <c r="AL595">
        <v>4.9000000000000004</v>
      </c>
      <c r="AM595" s="4">
        <f t="shared" si="73"/>
        <v>524.70000000000005</v>
      </c>
      <c r="AN595" s="4">
        <f t="shared" si="74"/>
        <v>912.9375</v>
      </c>
      <c r="AO595" s="4">
        <f t="shared" si="75"/>
        <v>1014.2735625</v>
      </c>
      <c r="AP595" s="4">
        <f t="shared" si="76"/>
        <v>1478.8674562499998</v>
      </c>
      <c r="AQ595" s="10">
        <f t="shared" si="77"/>
        <v>912.5057700000001</v>
      </c>
      <c r="AR595" s="10">
        <f t="shared" si="78"/>
        <v>1013.8851610470001</v>
      </c>
      <c r="AS595" s="10">
        <f t="shared" si="79"/>
        <v>1420.5889827360002</v>
      </c>
    </row>
    <row r="596" spans="1:45" x14ac:dyDescent="0.3">
      <c r="A596">
        <v>2025</v>
      </c>
      <c r="B596">
        <v>10</v>
      </c>
      <c r="C596" t="s">
        <v>55</v>
      </c>
      <c r="D596">
        <v>10</v>
      </c>
      <c r="E596" t="s">
        <v>36</v>
      </c>
      <c r="F596" t="s">
        <v>37</v>
      </c>
      <c r="G596" t="s">
        <v>38</v>
      </c>
      <c r="H596" t="s">
        <v>1462</v>
      </c>
      <c r="I596" t="s">
        <v>1575</v>
      </c>
      <c r="J596" t="s">
        <v>376</v>
      </c>
      <c r="K596" t="s">
        <v>41</v>
      </c>
      <c r="L596" t="s">
        <v>1576</v>
      </c>
      <c r="M596" t="s">
        <v>1577</v>
      </c>
      <c r="N596" t="s">
        <v>1551</v>
      </c>
      <c r="O596" t="s">
        <v>1197</v>
      </c>
      <c r="Q596" t="s">
        <v>62</v>
      </c>
      <c r="R596" t="s">
        <v>1569</v>
      </c>
      <c r="S596" t="s">
        <v>1569</v>
      </c>
      <c r="T596" t="s">
        <v>47</v>
      </c>
      <c r="U596" t="s">
        <v>1463</v>
      </c>
      <c r="V596" t="s">
        <v>49</v>
      </c>
      <c r="W596" t="s">
        <v>1464</v>
      </c>
      <c r="X596" t="s">
        <v>1578</v>
      </c>
      <c r="Y596" t="s">
        <v>1465</v>
      </c>
      <c r="Z596" t="s">
        <v>1610</v>
      </c>
      <c r="AA596" t="s">
        <v>1466</v>
      </c>
      <c r="AB596" s="3">
        <f t="shared" si="72"/>
        <v>1</v>
      </c>
      <c r="AC596">
        <v>808.64</v>
      </c>
      <c r="AD596" s="2">
        <v>808.64</v>
      </c>
      <c r="AE596" s="2">
        <v>314.95</v>
      </c>
      <c r="AF596" s="2">
        <v>10.91</v>
      </c>
      <c r="AG596" s="2">
        <v>1134.5</v>
      </c>
      <c r="AH596">
        <v>0</v>
      </c>
      <c r="AI596">
        <v>1134.5</v>
      </c>
      <c r="AJ596">
        <v>5.6725000000000003</v>
      </c>
      <c r="AK596" t="s">
        <v>54</v>
      </c>
      <c r="AL596">
        <v>19.899999999999999</v>
      </c>
      <c r="AM596" s="4">
        <f t="shared" si="73"/>
        <v>1134.5</v>
      </c>
      <c r="AN596" s="4">
        <f t="shared" si="74"/>
        <v>1516.2</v>
      </c>
      <c r="AO596" s="4">
        <f t="shared" si="75"/>
        <v>1684.4982</v>
      </c>
      <c r="AP596" s="4">
        <f t="shared" si="76"/>
        <v>2456.09238</v>
      </c>
      <c r="AQ596" s="10">
        <f t="shared" si="77"/>
        <v>1973.0089500000001</v>
      </c>
      <c r="AR596" s="10">
        <f t="shared" si="78"/>
        <v>2192.2102443450003</v>
      </c>
      <c r="AS596" s="10">
        <f t="shared" si="79"/>
        <v>3071.5803333600002</v>
      </c>
    </row>
    <row r="597" spans="1:45" x14ac:dyDescent="0.3">
      <c r="A597">
        <v>2025</v>
      </c>
      <c r="B597">
        <v>8</v>
      </c>
      <c r="C597" t="s">
        <v>55</v>
      </c>
      <c r="D597">
        <v>10</v>
      </c>
      <c r="E597" t="s">
        <v>36</v>
      </c>
      <c r="F597" t="s">
        <v>37</v>
      </c>
      <c r="G597" t="s">
        <v>38</v>
      </c>
      <c r="H597" t="s">
        <v>1274</v>
      </c>
      <c r="I597" t="s">
        <v>190</v>
      </c>
      <c r="J597" t="s">
        <v>58</v>
      </c>
      <c r="K597" t="s">
        <v>59</v>
      </c>
      <c r="L597" t="s">
        <v>1194</v>
      </c>
      <c r="M597" t="s">
        <v>1195</v>
      </c>
      <c r="N597" t="s">
        <v>1196</v>
      </c>
      <c r="O597" t="s">
        <v>1197</v>
      </c>
      <c r="Q597" t="s">
        <v>62</v>
      </c>
      <c r="R597" t="s">
        <v>1198</v>
      </c>
      <c r="S597" t="s">
        <v>1198</v>
      </c>
      <c r="T597" t="s">
        <v>47</v>
      </c>
      <c r="U597" t="s">
        <v>445</v>
      </c>
      <c r="V597" t="s">
        <v>49</v>
      </c>
      <c r="W597" t="s">
        <v>446</v>
      </c>
      <c r="X597" t="s">
        <v>388</v>
      </c>
      <c r="Y597" t="s">
        <v>1465</v>
      </c>
      <c r="Z597" t="s">
        <v>1610</v>
      </c>
      <c r="AA597" t="s">
        <v>1466</v>
      </c>
      <c r="AB597" s="3">
        <f t="shared" si="72"/>
        <v>1</v>
      </c>
      <c r="AC597">
        <v>808.64</v>
      </c>
      <c r="AD597" s="2">
        <v>808.64</v>
      </c>
      <c r="AE597" s="2">
        <v>314.95</v>
      </c>
      <c r="AF597" s="2">
        <v>10.91</v>
      </c>
      <c r="AG597" s="2">
        <v>1134.5</v>
      </c>
      <c r="AH597">
        <v>0</v>
      </c>
      <c r="AI597">
        <v>1134.5</v>
      </c>
      <c r="AJ597">
        <v>5.6725000000000003</v>
      </c>
      <c r="AK597" t="s">
        <v>54</v>
      </c>
      <c r="AL597">
        <v>19.899999999999999</v>
      </c>
      <c r="AM597" s="4">
        <f t="shared" si="73"/>
        <v>1134.5</v>
      </c>
      <c r="AN597" s="4">
        <f t="shared" si="74"/>
        <v>1516.2</v>
      </c>
      <c r="AO597" s="4">
        <f t="shared" si="75"/>
        <v>1684.4982</v>
      </c>
      <c r="AP597" s="4">
        <f t="shared" si="76"/>
        <v>2456.09238</v>
      </c>
      <c r="AQ597" s="10">
        <f t="shared" si="77"/>
        <v>1973.0089500000001</v>
      </c>
      <c r="AR597" s="10">
        <f t="shared" si="78"/>
        <v>2192.2102443450003</v>
      </c>
      <c r="AS597" s="10">
        <f t="shared" si="79"/>
        <v>3071.5803333600002</v>
      </c>
    </row>
    <row r="598" spans="1:45" x14ac:dyDescent="0.3">
      <c r="A598">
        <v>2025</v>
      </c>
      <c r="B598">
        <v>8</v>
      </c>
      <c r="C598" t="s">
        <v>55</v>
      </c>
      <c r="D598">
        <v>10</v>
      </c>
      <c r="E598" t="s">
        <v>36</v>
      </c>
      <c r="F598" t="s">
        <v>37</v>
      </c>
      <c r="G598" t="s">
        <v>38</v>
      </c>
      <c r="H598" t="s">
        <v>1274</v>
      </c>
      <c r="I598" t="s">
        <v>190</v>
      </c>
      <c r="J598" t="s">
        <v>58</v>
      </c>
      <c r="K598" t="s">
        <v>59</v>
      </c>
      <c r="L598" t="s">
        <v>1194</v>
      </c>
      <c r="M598" t="s">
        <v>1195</v>
      </c>
      <c r="N598" t="s">
        <v>1196</v>
      </c>
      <c r="O598" t="s">
        <v>1197</v>
      </c>
      <c r="Q598" t="s">
        <v>62</v>
      </c>
      <c r="R598" t="s">
        <v>1198</v>
      </c>
      <c r="S598" t="s">
        <v>1198</v>
      </c>
      <c r="T598" t="s">
        <v>47</v>
      </c>
      <c r="U598" t="s">
        <v>445</v>
      </c>
      <c r="V598" t="s">
        <v>49</v>
      </c>
      <c r="W598" t="s">
        <v>446</v>
      </c>
      <c r="X598" t="s">
        <v>388</v>
      </c>
      <c r="Y598" t="s">
        <v>1275</v>
      </c>
      <c r="Z598" t="s">
        <v>1275</v>
      </c>
      <c r="AA598" t="s">
        <v>1276</v>
      </c>
      <c r="AB598" s="3">
        <f t="shared" si="72"/>
        <v>2</v>
      </c>
      <c r="AC598">
        <v>251.4</v>
      </c>
      <c r="AD598" s="2">
        <v>125.7</v>
      </c>
      <c r="AE598" s="2">
        <v>18.2</v>
      </c>
      <c r="AF598" s="2">
        <v>1.63</v>
      </c>
      <c r="AG598" s="2">
        <v>271.39999999999998</v>
      </c>
      <c r="AH598">
        <v>0</v>
      </c>
      <c r="AI598">
        <v>135.69999999999999</v>
      </c>
      <c r="AJ598">
        <v>1.357</v>
      </c>
      <c r="AK598" t="s">
        <v>54</v>
      </c>
      <c r="AL598">
        <v>2.12</v>
      </c>
      <c r="AM598" s="4">
        <f t="shared" si="73"/>
        <v>135.69999999999999</v>
      </c>
      <c r="AN598" s="4">
        <f t="shared" si="74"/>
        <v>235.6875</v>
      </c>
      <c r="AO598" s="4">
        <f t="shared" si="75"/>
        <v>261.84881250000001</v>
      </c>
      <c r="AP598" s="4">
        <f t="shared" si="76"/>
        <v>381.79018124999999</v>
      </c>
      <c r="AQ598" s="10">
        <f t="shared" si="77"/>
        <v>235.99587</v>
      </c>
      <c r="AR598" s="10">
        <f t="shared" si="78"/>
        <v>262.21501115699999</v>
      </c>
      <c r="AS598" s="10">
        <f t="shared" si="79"/>
        <v>367.39837041599998</v>
      </c>
    </row>
    <row r="599" spans="1:45" x14ac:dyDescent="0.3">
      <c r="A599">
        <v>2025</v>
      </c>
      <c r="B599">
        <v>8</v>
      </c>
      <c r="C599" t="s">
        <v>55</v>
      </c>
      <c r="D599">
        <v>10</v>
      </c>
      <c r="E599" t="s">
        <v>36</v>
      </c>
      <c r="F599" t="s">
        <v>37</v>
      </c>
      <c r="G599" t="s">
        <v>38</v>
      </c>
      <c r="H599" t="s">
        <v>1274</v>
      </c>
      <c r="I599" t="s">
        <v>190</v>
      </c>
      <c r="J599" t="s">
        <v>58</v>
      </c>
      <c r="K599" t="s">
        <v>59</v>
      </c>
      <c r="L599" t="s">
        <v>1194</v>
      </c>
      <c r="M599" t="s">
        <v>1195</v>
      </c>
      <c r="N599" t="s">
        <v>1196</v>
      </c>
      <c r="O599" t="s">
        <v>1197</v>
      </c>
      <c r="Q599" t="s">
        <v>62</v>
      </c>
      <c r="R599" t="s">
        <v>1198</v>
      </c>
      <c r="S599" t="s">
        <v>1198</v>
      </c>
      <c r="T599" t="s">
        <v>47</v>
      </c>
      <c r="U599" t="s">
        <v>445</v>
      </c>
      <c r="V599" t="s">
        <v>49</v>
      </c>
      <c r="W599" t="s">
        <v>446</v>
      </c>
      <c r="X599" t="s">
        <v>388</v>
      </c>
      <c r="Y599" t="s">
        <v>1275</v>
      </c>
      <c r="Z599" t="s">
        <v>1275</v>
      </c>
      <c r="AA599" t="s">
        <v>1276</v>
      </c>
      <c r="AB599" s="3">
        <f t="shared" si="72"/>
        <v>1</v>
      </c>
      <c r="AC599">
        <v>125.7</v>
      </c>
      <c r="AD599" s="2">
        <v>125.7</v>
      </c>
      <c r="AE599" s="2">
        <v>9.1</v>
      </c>
      <c r="AF599" s="2">
        <v>0.81</v>
      </c>
      <c r="AG599" s="2">
        <v>135.52000000000001</v>
      </c>
      <c r="AH599">
        <v>0</v>
      </c>
      <c r="AI599">
        <v>135.52000000000001</v>
      </c>
      <c r="AJ599">
        <v>0.67759999999999998</v>
      </c>
      <c r="AK599" t="s">
        <v>54</v>
      </c>
      <c r="AL599">
        <v>1.6</v>
      </c>
      <c r="AM599" s="4">
        <f t="shared" si="73"/>
        <v>135.52000000000001</v>
      </c>
      <c r="AN599" s="4">
        <f t="shared" si="74"/>
        <v>235.6875</v>
      </c>
      <c r="AO599" s="4">
        <f t="shared" si="75"/>
        <v>261.84881250000001</v>
      </c>
      <c r="AP599" s="4">
        <f t="shared" si="76"/>
        <v>381.79018124999999</v>
      </c>
      <c r="AQ599" s="10">
        <f t="shared" si="77"/>
        <v>235.68283200000002</v>
      </c>
      <c r="AR599" s="10">
        <f t="shared" si="78"/>
        <v>261.86719463520001</v>
      </c>
      <c r="AS599" s="10">
        <f t="shared" si="79"/>
        <v>366.91103285760005</v>
      </c>
    </row>
    <row r="600" spans="1:45" x14ac:dyDescent="0.3">
      <c r="A600">
        <v>2025</v>
      </c>
      <c r="B600">
        <v>10</v>
      </c>
      <c r="C600" t="s">
        <v>55</v>
      </c>
      <c r="D600">
        <v>10</v>
      </c>
      <c r="E600" t="s">
        <v>36</v>
      </c>
      <c r="F600" t="s">
        <v>37</v>
      </c>
      <c r="G600" t="s">
        <v>38</v>
      </c>
      <c r="H600" t="s">
        <v>1274</v>
      </c>
      <c r="I600" t="s">
        <v>375</v>
      </c>
      <c r="J600" t="s">
        <v>376</v>
      </c>
      <c r="K600" t="s">
        <v>59</v>
      </c>
      <c r="L600" t="s">
        <v>1549</v>
      </c>
      <c r="M600" t="s">
        <v>1550</v>
      </c>
      <c r="N600" t="s">
        <v>1551</v>
      </c>
      <c r="O600" t="s">
        <v>1197</v>
      </c>
      <c r="Q600" t="s">
        <v>62</v>
      </c>
      <c r="R600" t="s">
        <v>1552</v>
      </c>
      <c r="S600" t="s">
        <v>1552</v>
      </c>
      <c r="T600" t="s">
        <v>47</v>
      </c>
      <c r="U600" t="s">
        <v>445</v>
      </c>
      <c r="V600" t="s">
        <v>49</v>
      </c>
      <c r="W600" t="s">
        <v>446</v>
      </c>
      <c r="X600" t="s">
        <v>51</v>
      </c>
      <c r="Y600" t="s">
        <v>1275</v>
      </c>
      <c r="Z600" t="s">
        <v>1275</v>
      </c>
      <c r="AA600" t="s">
        <v>1276</v>
      </c>
      <c r="AB600" s="3">
        <f t="shared" si="72"/>
        <v>1</v>
      </c>
      <c r="AC600">
        <v>125.7</v>
      </c>
      <c r="AD600" s="2">
        <v>125.7</v>
      </c>
      <c r="AE600" s="2">
        <v>9.1</v>
      </c>
      <c r="AF600" s="2">
        <v>0.81</v>
      </c>
      <c r="AG600" s="2">
        <v>135.52000000000001</v>
      </c>
      <c r="AH600">
        <v>0</v>
      </c>
      <c r="AI600">
        <v>135.52000000000001</v>
      </c>
      <c r="AJ600">
        <v>0.67759999999999998</v>
      </c>
      <c r="AK600" t="s">
        <v>54</v>
      </c>
      <c r="AL600">
        <v>1.6</v>
      </c>
      <c r="AM600" s="4">
        <f t="shared" si="73"/>
        <v>135.52000000000001</v>
      </c>
      <c r="AN600" s="4">
        <f t="shared" si="74"/>
        <v>235.6875</v>
      </c>
      <c r="AO600" s="4">
        <f t="shared" si="75"/>
        <v>261.84881250000001</v>
      </c>
      <c r="AP600" s="4">
        <f t="shared" si="76"/>
        <v>381.79018124999999</v>
      </c>
      <c r="AQ600" s="10">
        <f t="shared" si="77"/>
        <v>235.68283200000002</v>
      </c>
      <c r="AR600" s="10">
        <f t="shared" si="78"/>
        <v>261.86719463520001</v>
      </c>
      <c r="AS600" s="10">
        <f t="shared" si="79"/>
        <v>366.91103285760005</v>
      </c>
    </row>
    <row r="601" spans="1:45" x14ac:dyDescent="0.3">
      <c r="A601">
        <v>2025</v>
      </c>
      <c r="B601">
        <v>10</v>
      </c>
      <c r="C601" t="s">
        <v>55</v>
      </c>
      <c r="D601">
        <v>10</v>
      </c>
      <c r="E601" t="s">
        <v>36</v>
      </c>
      <c r="F601" t="s">
        <v>37</v>
      </c>
      <c r="G601" t="s">
        <v>38</v>
      </c>
      <c r="H601" t="s">
        <v>1274</v>
      </c>
      <c r="I601" t="s">
        <v>375</v>
      </c>
      <c r="J601" t="s">
        <v>376</v>
      </c>
      <c r="K601" t="s">
        <v>59</v>
      </c>
      <c r="L601" t="s">
        <v>1549</v>
      </c>
      <c r="M601" t="s">
        <v>1550</v>
      </c>
      <c r="N601" t="s">
        <v>1551</v>
      </c>
      <c r="O601" t="s">
        <v>1197</v>
      </c>
      <c r="Q601" t="s">
        <v>62</v>
      </c>
      <c r="R601" t="s">
        <v>1552</v>
      </c>
      <c r="S601" t="s">
        <v>1552</v>
      </c>
      <c r="T601" t="s">
        <v>47</v>
      </c>
      <c r="U601" t="s">
        <v>445</v>
      </c>
      <c r="V601" t="s">
        <v>49</v>
      </c>
      <c r="W601" t="s">
        <v>446</v>
      </c>
      <c r="X601" t="s">
        <v>51</v>
      </c>
      <c r="Y601" t="s">
        <v>1275</v>
      </c>
      <c r="Z601" t="s">
        <v>1275</v>
      </c>
      <c r="AA601" t="s">
        <v>1276</v>
      </c>
      <c r="AB601" s="3">
        <f t="shared" si="72"/>
        <v>1</v>
      </c>
      <c r="AC601">
        <v>124.38</v>
      </c>
      <c r="AD601" s="2">
        <v>124.38</v>
      </c>
      <c r="AE601" s="2">
        <v>56.86</v>
      </c>
      <c r="AF601" s="2">
        <v>1.1100000000000001</v>
      </c>
      <c r="AG601" s="2">
        <v>182.35</v>
      </c>
      <c r="AH601">
        <v>0</v>
      </c>
      <c r="AI601">
        <v>182.35</v>
      </c>
      <c r="AJ601">
        <v>0.91174999999999995</v>
      </c>
      <c r="AK601" t="s">
        <v>54</v>
      </c>
      <c r="AL601">
        <v>2.58</v>
      </c>
      <c r="AM601" s="4">
        <f t="shared" si="73"/>
        <v>182.35</v>
      </c>
      <c r="AN601" s="4">
        <f t="shared" si="74"/>
        <v>233.21249999999998</v>
      </c>
      <c r="AO601" s="4">
        <f t="shared" si="75"/>
        <v>259.0990875</v>
      </c>
      <c r="AP601" s="4">
        <f t="shared" si="76"/>
        <v>377.78092874999993</v>
      </c>
      <c r="AQ601" s="10">
        <f t="shared" si="77"/>
        <v>317.12488500000001</v>
      </c>
      <c r="AR601" s="10">
        <f t="shared" si="78"/>
        <v>352.35745972349997</v>
      </c>
      <c r="AS601" s="10">
        <f t="shared" si="79"/>
        <v>493.70002096799999</v>
      </c>
    </row>
    <row r="602" spans="1:45" x14ac:dyDescent="0.3">
      <c r="A602">
        <v>2025</v>
      </c>
      <c r="B602">
        <v>8</v>
      </c>
      <c r="C602" t="s">
        <v>55</v>
      </c>
      <c r="D602">
        <v>10</v>
      </c>
      <c r="E602" t="s">
        <v>36</v>
      </c>
      <c r="F602" t="s">
        <v>37</v>
      </c>
      <c r="G602" t="s">
        <v>38</v>
      </c>
      <c r="H602" t="s">
        <v>67</v>
      </c>
      <c r="I602" t="s">
        <v>190</v>
      </c>
      <c r="J602" t="s">
        <v>58</v>
      </c>
      <c r="K602" t="s">
        <v>59</v>
      </c>
      <c r="L602" t="s">
        <v>1194</v>
      </c>
      <c r="M602" t="s">
        <v>1195</v>
      </c>
      <c r="N602" t="s">
        <v>1196</v>
      </c>
      <c r="O602" t="s">
        <v>1197</v>
      </c>
      <c r="Q602" t="s">
        <v>62</v>
      </c>
      <c r="R602" t="s">
        <v>1198</v>
      </c>
      <c r="S602" t="s">
        <v>1198</v>
      </c>
      <c r="T602" t="s">
        <v>47</v>
      </c>
      <c r="U602" t="s">
        <v>453</v>
      </c>
      <c r="V602" t="s">
        <v>49</v>
      </c>
      <c r="W602" t="s">
        <v>1289</v>
      </c>
      <c r="X602" t="s">
        <v>388</v>
      </c>
      <c r="Y602" t="s">
        <v>1275</v>
      </c>
      <c r="Z602" t="s">
        <v>1275</v>
      </c>
      <c r="AA602" t="s">
        <v>1276</v>
      </c>
      <c r="AB602" s="3">
        <f t="shared" si="72"/>
        <v>1</v>
      </c>
      <c r="AC602">
        <v>124.38</v>
      </c>
      <c r="AD602" s="2">
        <v>124.38</v>
      </c>
      <c r="AE602" s="2">
        <v>56.86</v>
      </c>
      <c r="AF602" s="2">
        <v>1.1100000000000001</v>
      </c>
      <c r="AG602" s="2">
        <v>182.35</v>
      </c>
      <c r="AH602">
        <v>0</v>
      </c>
      <c r="AI602">
        <v>182.35</v>
      </c>
      <c r="AJ602">
        <v>0.91174999999999995</v>
      </c>
      <c r="AK602" t="s">
        <v>54</v>
      </c>
      <c r="AL602">
        <v>2.58</v>
      </c>
      <c r="AM602" s="4">
        <f t="shared" si="73"/>
        <v>182.35</v>
      </c>
      <c r="AN602" s="4">
        <f t="shared" si="74"/>
        <v>233.21249999999998</v>
      </c>
      <c r="AO602" s="4">
        <f t="shared" si="75"/>
        <v>259.0990875</v>
      </c>
      <c r="AP602" s="4">
        <f t="shared" si="76"/>
        <v>377.78092874999993</v>
      </c>
      <c r="AQ602" s="10">
        <f t="shared" si="77"/>
        <v>317.12488500000001</v>
      </c>
      <c r="AR602" s="10">
        <f t="shared" si="78"/>
        <v>352.35745972349997</v>
      </c>
      <c r="AS602" s="10">
        <f t="shared" si="79"/>
        <v>493.70002096799999</v>
      </c>
    </row>
    <row r="603" spans="1:45" x14ac:dyDescent="0.3">
      <c r="A603">
        <v>2025</v>
      </c>
      <c r="B603">
        <v>8</v>
      </c>
      <c r="C603" t="s">
        <v>55</v>
      </c>
      <c r="D603">
        <v>10</v>
      </c>
      <c r="E603" t="s">
        <v>36</v>
      </c>
      <c r="F603" t="s">
        <v>37</v>
      </c>
      <c r="G603" t="s">
        <v>38</v>
      </c>
      <c r="H603" t="s">
        <v>67</v>
      </c>
      <c r="I603" t="s">
        <v>190</v>
      </c>
      <c r="J603" t="s">
        <v>58</v>
      </c>
      <c r="K603" t="s">
        <v>59</v>
      </c>
      <c r="L603" t="s">
        <v>1194</v>
      </c>
      <c r="M603" t="s">
        <v>1195</v>
      </c>
      <c r="N603" t="s">
        <v>1196</v>
      </c>
      <c r="O603" t="s">
        <v>1197</v>
      </c>
      <c r="Q603" t="s">
        <v>62</v>
      </c>
      <c r="R603" t="s">
        <v>1198</v>
      </c>
      <c r="S603" t="s">
        <v>1198</v>
      </c>
      <c r="T603" t="s">
        <v>47</v>
      </c>
      <c r="U603" t="s">
        <v>453</v>
      </c>
      <c r="V603" t="s">
        <v>49</v>
      </c>
      <c r="W603" t="s">
        <v>1289</v>
      </c>
      <c r="X603" t="s">
        <v>388</v>
      </c>
      <c r="Y603" t="s">
        <v>1290</v>
      </c>
      <c r="Z603" t="s">
        <v>1290</v>
      </c>
      <c r="AA603" t="s">
        <v>1291</v>
      </c>
      <c r="AB603" s="3">
        <f t="shared" si="72"/>
        <v>2</v>
      </c>
      <c r="AC603">
        <v>467.4</v>
      </c>
      <c r="AD603" s="2">
        <v>233.7</v>
      </c>
      <c r="AE603" s="2">
        <v>33.47</v>
      </c>
      <c r="AF603" s="2">
        <v>3.2</v>
      </c>
      <c r="AG603" s="2">
        <v>503.53</v>
      </c>
      <c r="AH603">
        <v>0</v>
      </c>
      <c r="AI603">
        <v>251.76499999999999</v>
      </c>
      <c r="AJ603">
        <v>2.5176500000000002</v>
      </c>
      <c r="AK603" t="s">
        <v>54</v>
      </c>
      <c r="AL603">
        <v>3.93</v>
      </c>
      <c r="AM603" s="4">
        <f t="shared" si="73"/>
        <v>251.76499999999999</v>
      </c>
      <c r="AN603" s="4">
        <f t="shared" si="74"/>
        <v>438.1875</v>
      </c>
      <c r="AO603" s="4">
        <f t="shared" si="75"/>
        <v>486.82631249999997</v>
      </c>
      <c r="AP603" s="4">
        <f t="shared" si="76"/>
        <v>709.81993124999997</v>
      </c>
      <c r="AQ603" s="10">
        <f t="shared" si="77"/>
        <v>437.84451150000001</v>
      </c>
      <c r="AR603" s="10">
        <f t="shared" si="78"/>
        <v>486.48903672764999</v>
      </c>
      <c r="AS603" s="10">
        <f t="shared" si="79"/>
        <v>681.63633550320003</v>
      </c>
    </row>
    <row r="604" spans="1:45" x14ac:dyDescent="0.3">
      <c r="A604">
        <v>2025</v>
      </c>
      <c r="B604">
        <v>10</v>
      </c>
      <c r="C604" t="s">
        <v>55</v>
      </c>
      <c r="D604">
        <v>10</v>
      </c>
      <c r="E604" t="s">
        <v>36</v>
      </c>
      <c r="F604" t="s">
        <v>37</v>
      </c>
      <c r="G604" t="s">
        <v>38</v>
      </c>
      <c r="H604" t="s">
        <v>67</v>
      </c>
      <c r="I604" t="s">
        <v>375</v>
      </c>
      <c r="J604" t="s">
        <v>376</v>
      </c>
      <c r="K604" t="s">
        <v>59</v>
      </c>
      <c r="L604" t="s">
        <v>1549</v>
      </c>
      <c r="M604" t="s">
        <v>1550</v>
      </c>
      <c r="N604" t="s">
        <v>1551</v>
      </c>
      <c r="O604" t="s">
        <v>1197</v>
      </c>
      <c r="Q604" t="s">
        <v>62</v>
      </c>
      <c r="R604" t="s">
        <v>1552</v>
      </c>
      <c r="S604" t="s">
        <v>1552</v>
      </c>
      <c r="T604" t="s">
        <v>47</v>
      </c>
      <c r="U604" t="s">
        <v>453</v>
      </c>
      <c r="V604" t="s">
        <v>49</v>
      </c>
      <c r="W604" t="s">
        <v>1289</v>
      </c>
      <c r="X604" t="s">
        <v>51</v>
      </c>
      <c r="Y604" t="s">
        <v>1290</v>
      </c>
      <c r="Z604" t="s">
        <v>1290</v>
      </c>
      <c r="AA604" t="s">
        <v>1291</v>
      </c>
      <c r="AB604" s="3">
        <f t="shared" si="72"/>
        <v>2</v>
      </c>
      <c r="AC604">
        <v>467.4</v>
      </c>
      <c r="AD604" s="2">
        <v>233.7</v>
      </c>
      <c r="AE604" s="2">
        <v>33.47</v>
      </c>
      <c r="AF604" s="2">
        <v>3.2</v>
      </c>
      <c r="AG604" s="2">
        <v>503.53</v>
      </c>
      <c r="AH604">
        <v>0</v>
      </c>
      <c r="AI604">
        <v>251.76499999999999</v>
      </c>
      <c r="AJ604">
        <v>2.5176500000000002</v>
      </c>
      <c r="AK604" t="s">
        <v>54</v>
      </c>
      <c r="AL604">
        <v>3.93</v>
      </c>
      <c r="AM604" s="4">
        <f t="shared" si="73"/>
        <v>251.76499999999999</v>
      </c>
      <c r="AN604" s="4">
        <f t="shared" si="74"/>
        <v>438.1875</v>
      </c>
      <c r="AO604" s="4">
        <f t="shared" si="75"/>
        <v>486.82631249999997</v>
      </c>
      <c r="AP604" s="4">
        <f t="shared" si="76"/>
        <v>709.81993124999997</v>
      </c>
      <c r="AQ604" s="10">
        <f t="shared" si="77"/>
        <v>437.84451150000001</v>
      </c>
      <c r="AR604" s="10">
        <f t="shared" si="78"/>
        <v>486.48903672764999</v>
      </c>
      <c r="AS604" s="10">
        <f t="shared" si="79"/>
        <v>681.63633550320003</v>
      </c>
    </row>
    <row r="605" spans="1:45" x14ac:dyDescent="0.3">
      <c r="A605">
        <v>2025</v>
      </c>
      <c r="B605">
        <v>7</v>
      </c>
      <c r="C605" t="s">
        <v>55</v>
      </c>
      <c r="D605">
        <v>10</v>
      </c>
      <c r="E605" t="s">
        <v>36</v>
      </c>
      <c r="F605" t="s">
        <v>37</v>
      </c>
      <c r="G605" t="s">
        <v>38</v>
      </c>
      <c r="H605" t="s">
        <v>101</v>
      </c>
      <c r="I605" t="s">
        <v>190</v>
      </c>
      <c r="J605" t="s">
        <v>58</v>
      </c>
      <c r="K605" t="s">
        <v>41</v>
      </c>
      <c r="L605" t="s">
        <v>953</v>
      </c>
      <c r="M605" t="s">
        <v>954</v>
      </c>
      <c r="N605" t="s">
        <v>731</v>
      </c>
      <c r="O605" t="s">
        <v>36</v>
      </c>
      <c r="Q605" t="s">
        <v>62</v>
      </c>
      <c r="R605" t="s">
        <v>955</v>
      </c>
      <c r="S605" t="s">
        <v>956</v>
      </c>
      <c r="T605" t="s">
        <v>47</v>
      </c>
      <c r="U605" t="s">
        <v>157</v>
      </c>
      <c r="V605" t="s">
        <v>49</v>
      </c>
      <c r="W605" t="s">
        <v>158</v>
      </c>
      <c r="X605" t="s">
        <v>51</v>
      </c>
      <c r="Y605" t="s">
        <v>1290</v>
      </c>
      <c r="Z605" t="s">
        <v>1290</v>
      </c>
      <c r="AA605" t="s">
        <v>1291</v>
      </c>
      <c r="AB605" s="3">
        <f t="shared" si="72"/>
        <v>2</v>
      </c>
      <c r="AC605">
        <v>462.13</v>
      </c>
      <c r="AD605" s="2">
        <v>231.065</v>
      </c>
      <c r="AE605" s="2">
        <v>211.24</v>
      </c>
      <c r="AF605" s="2">
        <v>4.12</v>
      </c>
      <c r="AG605" s="2">
        <v>677.49</v>
      </c>
      <c r="AH605">
        <v>0</v>
      </c>
      <c r="AI605">
        <v>338.745</v>
      </c>
      <c r="AJ605">
        <v>3.3874499999999999</v>
      </c>
      <c r="AK605" t="s">
        <v>54</v>
      </c>
      <c r="AL605">
        <v>9.57</v>
      </c>
      <c r="AM605" s="4">
        <f t="shared" si="73"/>
        <v>338.745</v>
      </c>
      <c r="AN605" s="4">
        <f t="shared" si="74"/>
        <v>433.24687499999999</v>
      </c>
      <c r="AO605" s="4">
        <f t="shared" si="75"/>
        <v>481.33727812499995</v>
      </c>
      <c r="AP605" s="4">
        <f t="shared" si="76"/>
        <v>701.8166128124999</v>
      </c>
      <c r="AQ605" s="10">
        <f t="shared" si="77"/>
        <v>589.11142949999999</v>
      </c>
      <c r="AR605" s="10">
        <f t="shared" si="78"/>
        <v>654.56170931744998</v>
      </c>
      <c r="AS605" s="10">
        <f t="shared" si="79"/>
        <v>917.12867344559993</v>
      </c>
    </row>
    <row r="606" spans="1:45" x14ac:dyDescent="0.3">
      <c r="A606">
        <v>2025</v>
      </c>
      <c r="B606">
        <v>8</v>
      </c>
      <c r="C606" t="s">
        <v>55</v>
      </c>
      <c r="D606">
        <v>10</v>
      </c>
      <c r="E606" t="s">
        <v>36</v>
      </c>
      <c r="F606" t="s">
        <v>37</v>
      </c>
      <c r="G606" t="s">
        <v>38</v>
      </c>
      <c r="H606" t="s">
        <v>101</v>
      </c>
      <c r="I606" t="s">
        <v>190</v>
      </c>
      <c r="J606" t="s">
        <v>58</v>
      </c>
      <c r="K606" t="s">
        <v>59</v>
      </c>
      <c r="L606" t="s">
        <v>1194</v>
      </c>
      <c r="M606" t="s">
        <v>1195</v>
      </c>
      <c r="N606" t="s">
        <v>1196</v>
      </c>
      <c r="O606" t="s">
        <v>1197</v>
      </c>
      <c r="Q606" t="s">
        <v>62</v>
      </c>
      <c r="R606" t="s">
        <v>1198</v>
      </c>
      <c r="S606" t="s">
        <v>1198</v>
      </c>
      <c r="T606" t="s">
        <v>47</v>
      </c>
      <c r="U606" t="s">
        <v>157</v>
      </c>
      <c r="V606" t="s">
        <v>49</v>
      </c>
      <c r="W606" t="s">
        <v>158</v>
      </c>
      <c r="X606" t="s">
        <v>388</v>
      </c>
      <c r="Y606" t="s">
        <v>1116</v>
      </c>
      <c r="Z606" t="s">
        <v>1116</v>
      </c>
      <c r="AA606" t="s">
        <v>1117</v>
      </c>
      <c r="AB606" s="3">
        <f t="shared" si="72"/>
        <v>2</v>
      </c>
      <c r="AC606">
        <v>115.17</v>
      </c>
      <c r="AD606" s="2">
        <v>57.585000000000001</v>
      </c>
      <c r="AE606" s="2">
        <v>58.8</v>
      </c>
      <c r="AF606" s="2">
        <v>0.77</v>
      </c>
      <c r="AG606" s="2">
        <v>174.2</v>
      </c>
      <c r="AH606">
        <v>0</v>
      </c>
      <c r="AI606">
        <v>87.1</v>
      </c>
      <c r="AJ606">
        <v>0.871</v>
      </c>
      <c r="AK606" t="s">
        <v>54</v>
      </c>
      <c r="AL606">
        <v>4.3499999999999996</v>
      </c>
      <c r="AM606" s="4">
        <f t="shared" si="73"/>
        <v>87.1</v>
      </c>
      <c r="AN606" s="4">
        <f t="shared" si="74"/>
        <v>107.971875</v>
      </c>
      <c r="AO606" s="4">
        <f t="shared" si="75"/>
        <v>119.95675312499999</v>
      </c>
      <c r="AP606" s="4">
        <f t="shared" si="76"/>
        <v>174.90364031249999</v>
      </c>
      <c r="AQ606" s="10">
        <f t="shared" si="77"/>
        <v>151.47560999999999</v>
      </c>
      <c r="AR606" s="10">
        <f t="shared" si="78"/>
        <v>168.30455027099998</v>
      </c>
      <c r="AS606" s="10">
        <f t="shared" si="79"/>
        <v>235.81722964799997</v>
      </c>
    </row>
    <row r="607" spans="1:45" x14ac:dyDescent="0.3">
      <c r="A607">
        <v>2025</v>
      </c>
      <c r="B607">
        <v>8</v>
      </c>
      <c r="C607" t="s">
        <v>55</v>
      </c>
      <c r="D607">
        <v>10</v>
      </c>
      <c r="E607" t="s">
        <v>36</v>
      </c>
      <c r="F607" t="s">
        <v>37</v>
      </c>
      <c r="G607" t="s">
        <v>38</v>
      </c>
      <c r="H607" t="s">
        <v>101</v>
      </c>
      <c r="I607" t="s">
        <v>190</v>
      </c>
      <c r="J607" t="s">
        <v>58</v>
      </c>
      <c r="K607" t="s">
        <v>59</v>
      </c>
      <c r="L607" t="s">
        <v>1194</v>
      </c>
      <c r="M607" t="s">
        <v>1195</v>
      </c>
      <c r="N607" t="s">
        <v>1196</v>
      </c>
      <c r="O607" t="s">
        <v>1197</v>
      </c>
      <c r="Q607" t="s">
        <v>62</v>
      </c>
      <c r="R607" t="s">
        <v>1198</v>
      </c>
      <c r="S607" t="s">
        <v>1198</v>
      </c>
      <c r="T607" t="s">
        <v>47</v>
      </c>
      <c r="U607" t="s">
        <v>157</v>
      </c>
      <c r="V607" t="s">
        <v>49</v>
      </c>
      <c r="W607" t="s">
        <v>158</v>
      </c>
      <c r="X607" t="s">
        <v>388</v>
      </c>
      <c r="Y607" t="s">
        <v>1116</v>
      </c>
      <c r="Z607" t="s">
        <v>1116</v>
      </c>
      <c r="AA607" t="s">
        <v>1117</v>
      </c>
      <c r="AB607" s="3">
        <f t="shared" si="72"/>
        <v>2</v>
      </c>
      <c r="AC607">
        <v>117.73</v>
      </c>
      <c r="AD607" s="2">
        <v>58.865000000000002</v>
      </c>
      <c r="AE607" s="2">
        <v>8.44</v>
      </c>
      <c r="AF607" s="2">
        <v>0.76</v>
      </c>
      <c r="AG607" s="2">
        <v>126.93</v>
      </c>
      <c r="AH607">
        <v>0</v>
      </c>
      <c r="AI607">
        <v>63.465000000000003</v>
      </c>
      <c r="AJ607">
        <v>0.63465000000000005</v>
      </c>
      <c r="AK607" t="s">
        <v>54</v>
      </c>
      <c r="AL607">
        <v>0.99</v>
      </c>
      <c r="AM607" s="4">
        <f t="shared" si="73"/>
        <v>63.465000000000003</v>
      </c>
      <c r="AN607" s="4">
        <f t="shared" si="74"/>
        <v>110.371875</v>
      </c>
      <c r="AO607" s="4">
        <f t="shared" si="75"/>
        <v>122.623153125</v>
      </c>
      <c r="AP607" s="4">
        <f t="shared" si="76"/>
        <v>178.7914003125</v>
      </c>
      <c r="AQ607" s="10">
        <f t="shared" si="77"/>
        <v>110.37198150000002</v>
      </c>
      <c r="AR607" s="10">
        <f t="shared" si="78"/>
        <v>122.63430864465002</v>
      </c>
      <c r="AS607" s="10">
        <f t="shared" si="79"/>
        <v>171.82710079920002</v>
      </c>
    </row>
    <row r="608" spans="1:45" x14ac:dyDescent="0.3">
      <c r="A608">
        <v>2025</v>
      </c>
      <c r="B608">
        <v>8</v>
      </c>
      <c r="C608" t="s">
        <v>55</v>
      </c>
      <c r="D608">
        <v>10</v>
      </c>
      <c r="E608" t="s">
        <v>36</v>
      </c>
      <c r="F608" t="s">
        <v>37</v>
      </c>
      <c r="G608" t="s">
        <v>38</v>
      </c>
      <c r="H608" t="s">
        <v>83</v>
      </c>
      <c r="I608" t="s">
        <v>190</v>
      </c>
      <c r="J608" t="s">
        <v>58</v>
      </c>
      <c r="K608" t="s">
        <v>59</v>
      </c>
      <c r="L608" t="s">
        <v>1194</v>
      </c>
      <c r="M608" t="s">
        <v>1195</v>
      </c>
      <c r="N608" t="s">
        <v>1196</v>
      </c>
      <c r="O608" t="s">
        <v>1197</v>
      </c>
      <c r="Q608" t="s">
        <v>62</v>
      </c>
      <c r="R608" t="s">
        <v>1198</v>
      </c>
      <c r="S608" t="s">
        <v>1198</v>
      </c>
      <c r="T608" t="s">
        <v>47</v>
      </c>
      <c r="U608" t="s">
        <v>220</v>
      </c>
      <c r="V608" t="s">
        <v>49</v>
      </c>
      <c r="W608" t="s">
        <v>218</v>
      </c>
      <c r="X608" t="s">
        <v>388</v>
      </c>
      <c r="Y608" t="s">
        <v>1116</v>
      </c>
      <c r="Z608" t="s">
        <v>1116</v>
      </c>
      <c r="AA608" t="s">
        <v>1117</v>
      </c>
      <c r="AB608" s="3">
        <f t="shared" si="72"/>
        <v>5.9999999999999654</v>
      </c>
      <c r="AC608">
        <v>353.2</v>
      </c>
      <c r="AD608" s="2">
        <v>58.866666666667001</v>
      </c>
      <c r="AE608" s="2">
        <v>25.31</v>
      </c>
      <c r="AF608" s="2">
        <v>2.29</v>
      </c>
      <c r="AG608" s="2">
        <v>380.79</v>
      </c>
      <c r="AH608">
        <v>0</v>
      </c>
      <c r="AI608">
        <v>63.465000000000003</v>
      </c>
      <c r="AJ608">
        <v>1.90395</v>
      </c>
      <c r="AK608" t="s">
        <v>54</v>
      </c>
      <c r="AL608">
        <v>2.97</v>
      </c>
      <c r="AM608" s="4">
        <f t="shared" si="73"/>
        <v>63.465000000000373</v>
      </c>
      <c r="AN608" s="4">
        <f t="shared" si="74"/>
        <v>110.37500000000063</v>
      </c>
      <c r="AO608" s="4">
        <f t="shared" si="75"/>
        <v>122.62662500000069</v>
      </c>
      <c r="AP608" s="4">
        <f t="shared" si="76"/>
        <v>178.79646250000101</v>
      </c>
      <c r="AQ608" s="10">
        <f t="shared" si="77"/>
        <v>110.37198150000066</v>
      </c>
      <c r="AR608" s="10">
        <f t="shared" si="78"/>
        <v>122.63430864465073</v>
      </c>
      <c r="AS608" s="10">
        <f t="shared" si="79"/>
        <v>171.82710079920102</v>
      </c>
    </row>
    <row r="609" spans="1:45" x14ac:dyDescent="0.3">
      <c r="A609">
        <v>2025</v>
      </c>
      <c r="B609">
        <v>8</v>
      </c>
      <c r="C609" t="s">
        <v>55</v>
      </c>
      <c r="D609">
        <v>10</v>
      </c>
      <c r="E609" t="s">
        <v>36</v>
      </c>
      <c r="F609" t="s">
        <v>37</v>
      </c>
      <c r="G609" t="s">
        <v>38</v>
      </c>
      <c r="H609" t="s">
        <v>83</v>
      </c>
      <c r="I609" t="s">
        <v>190</v>
      </c>
      <c r="J609" t="s">
        <v>58</v>
      </c>
      <c r="K609" t="s">
        <v>59</v>
      </c>
      <c r="L609" t="s">
        <v>1194</v>
      </c>
      <c r="M609" t="s">
        <v>1195</v>
      </c>
      <c r="N609" t="s">
        <v>1196</v>
      </c>
      <c r="O609" t="s">
        <v>1197</v>
      </c>
      <c r="Q609" t="s">
        <v>62</v>
      </c>
      <c r="R609" t="s">
        <v>1198</v>
      </c>
      <c r="S609" t="s">
        <v>1198</v>
      </c>
      <c r="T609" t="s">
        <v>47</v>
      </c>
      <c r="U609" t="s">
        <v>220</v>
      </c>
      <c r="V609" t="s">
        <v>49</v>
      </c>
      <c r="W609" t="s">
        <v>218</v>
      </c>
      <c r="X609" t="s">
        <v>388</v>
      </c>
      <c r="Y609" t="s">
        <v>1002</v>
      </c>
      <c r="Z609" t="s">
        <v>1002</v>
      </c>
      <c r="AA609" t="s">
        <v>1232</v>
      </c>
      <c r="AB609" s="3">
        <f t="shared" si="72"/>
        <v>1</v>
      </c>
      <c r="AC609">
        <v>1242.8699999999999</v>
      </c>
      <c r="AD609" s="2">
        <v>1242.8699999999999</v>
      </c>
      <c r="AE609" s="2">
        <v>89.7</v>
      </c>
      <c r="AF609" s="2">
        <v>8.4</v>
      </c>
      <c r="AG609" s="2">
        <v>1339.98</v>
      </c>
      <c r="AH609">
        <v>0</v>
      </c>
      <c r="AI609">
        <v>1339.98</v>
      </c>
      <c r="AJ609">
        <v>6.6999000000000004</v>
      </c>
      <c r="AK609" t="s">
        <v>54</v>
      </c>
      <c r="AL609">
        <v>10.46</v>
      </c>
      <c r="AM609" s="4">
        <f t="shared" si="73"/>
        <v>1339.98</v>
      </c>
      <c r="AN609" s="4">
        <f t="shared" si="74"/>
        <v>2330.3812499999999</v>
      </c>
      <c r="AO609" s="4">
        <f t="shared" si="75"/>
        <v>2589.0535687500001</v>
      </c>
      <c r="AP609" s="4">
        <f t="shared" si="76"/>
        <v>3774.9845868749994</v>
      </c>
      <c r="AQ609" s="10">
        <f t="shared" si="77"/>
        <v>2330.3592180000001</v>
      </c>
      <c r="AR609" s="10">
        <f t="shared" si="78"/>
        <v>2589.2621271198</v>
      </c>
      <c r="AS609" s="10">
        <f t="shared" si="79"/>
        <v>3627.9032305823998</v>
      </c>
    </row>
    <row r="610" spans="1:45" x14ac:dyDescent="0.3">
      <c r="A610">
        <v>2025</v>
      </c>
      <c r="B610">
        <v>8</v>
      </c>
      <c r="C610" t="s">
        <v>55</v>
      </c>
      <c r="D610">
        <v>10</v>
      </c>
      <c r="E610" t="s">
        <v>36</v>
      </c>
      <c r="F610" t="s">
        <v>37</v>
      </c>
      <c r="G610" t="s">
        <v>38</v>
      </c>
      <c r="H610" t="s">
        <v>83</v>
      </c>
      <c r="I610" t="s">
        <v>190</v>
      </c>
      <c r="J610" t="s">
        <v>58</v>
      </c>
      <c r="K610" t="s">
        <v>59</v>
      </c>
      <c r="L610" t="s">
        <v>1194</v>
      </c>
      <c r="M610" t="s">
        <v>1195</v>
      </c>
      <c r="N610" t="s">
        <v>1196</v>
      </c>
      <c r="O610" t="s">
        <v>1197</v>
      </c>
      <c r="Q610" t="s">
        <v>62</v>
      </c>
      <c r="R610" t="s">
        <v>1198</v>
      </c>
      <c r="S610" t="s">
        <v>1198</v>
      </c>
      <c r="T610" t="s">
        <v>47</v>
      </c>
      <c r="U610" t="s">
        <v>428</v>
      </c>
      <c r="V610" t="s">
        <v>49</v>
      </c>
      <c r="W610" t="s">
        <v>425</v>
      </c>
      <c r="X610" t="s">
        <v>388</v>
      </c>
      <c r="Y610" t="s">
        <v>1002</v>
      </c>
      <c r="Z610" t="s">
        <v>1002</v>
      </c>
      <c r="AA610" t="s">
        <v>1232</v>
      </c>
      <c r="AB610" s="3">
        <f t="shared" si="72"/>
        <v>1</v>
      </c>
      <c r="AC610">
        <v>1242.8699999999999</v>
      </c>
      <c r="AD610" s="2">
        <v>1242.8699999999999</v>
      </c>
      <c r="AE610" s="2">
        <v>89.7</v>
      </c>
      <c r="AF610" s="2">
        <v>8.4</v>
      </c>
      <c r="AG610" s="2">
        <v>1339.98</v>
      </c>
      <c r="AH610">
        <v>0</v>
      </c>
      <c r="AI610">
        <v>1339.98</v>
      </c>
      <c r="AJ610">
        <v>6.6999000000000004</v>
      </c>
      <c r="AK610" t="s">
        <v>54</v>
      </c>
      <c r="AL610">
        <v>10.46</v>
      </c>
      <c r="AM610" s="4">
        <f t="shared" si="73"/>
        <v>1339.98</v>
      </c>
      <c r="AN610" s="4">
        <f t="shared" si="74"/>
        <v>2330.3812499999999</v>
      </c>
      <c r="AO610" s="4">
        <f t="shared" si="75"/>
        <v>2589.0535687500001</v>
      </c>
      <c r="AP610" s="4">
        <f t="shared" si="76"/>
        <v>3774.9845868749994</v>
      </c>
      <c r="AQ610" s="10">
        <f t="shared" si="77"/>
        <v>2330.3592180000001</v>
      </c>
      <c r="AR610" s="10">
        <f t="shared" si="78"/>
        <v>2589.2621271198</v>
      </c>
      <c r="AS610" s="10">
        <f t="shared" si="79"/>
        <v>3627.9032305823998</v>
      </c>
    </row>
    <row r="611" spans="1:45" x14ac:dyDescent="0.3">
      <c r="A611">
        <v>2025</v>
      </c>
      <c r="B611">
        <v>8</v>
      </c>
      <c r="C611" t="s">
        <v>55</v>
      </c>
      <c r="D611">
        <v>10</v>
      </c>
      <c r="E611" t="s">
        <v>36</v>
      </c>
      <c r="F611" t="s">
        <v>37</v>
      </c>
      <c r="G611" t="s">
        <v>38</v>
      </c>
      <c r="H611" t="s">
        <v>83</v>
      </c>
      <c r="I611" t="s">
        <v>190</v>
      </c>
      <c r="J611" t="s">
        <v>58</v>
      </c>
      <c r="K611" t="s">
        <v>59</v>
      </c>
      <c r="L611" t="s">
        <v>1194</v>
      </c>
      <c r="M611" t="s">
        <v>1195</v>
      </c>
      <c r="N611" t="s">
        <v>1196</v>
      </c>
      <c r="O611" t="s">
        <v>1197</v>
      </c>
      <c r="Q611" t="s">
        <v>62</v>
      </c>
      <c r="R611" t="s">
        <v>1198</v>
      </c>
      <c r="S611" t="s">
        <v>1198</v>
      </c>
      <c r="T611" t="s">
        <v>47</v>
      </c>
      <c r="U611" t="s">
        <v>428</v>
      </c>
      <c r="V611" t="s">
        <v>49</v>
      </c>
      <c r="W611" t="s">
        <v>425</v>
      </c>
      <c r="X611" t="s">
        <v>388</v>
      </c>
      <c r="Y611" t="s">
        <v>1261</v>
      </c>
      <c r="Z611" t="s">
        <v>1261</v>
      </c>
      <c r="AA611" t="s">
        <v>1262</v>
      </c>
      <c r="AB611" s="3">
        <f t="shared" si="72"/>
        <v>1</v>
      </c>
      <c r="AC611">
        <v>68.150000000000006</v>
      </c>
      <c r="AD611" s="2">
        <v>68.150000000000006</v>
      </c>
      <c r="AE611" s="2">
        <v>4.88</v>
      </c>
      <c r="AF611" s="2">
        <v>0.44</v>
      </c>
      <c r="AG611" s="2">
        <v>73.48</v>
      </c>
      <c r="AH611">
        <v>0</v>
      </c>
      <c r="AI611">
        <v>73.48</v>
      </c>
      <c r="AJ611">
        <v>0.3674</v>
      </c>
      <c r="AK611" t="s">
        <v>54</v>
      </c>
      <c r="AL611">
        <v>0.56999999999999995</v>
      </c>
      <c r="AM611" s="4">
        <f t="shared" si="73"/>
        <v>73.48</v>
      </c>
      <c r="AN611" s="4">
        <f t="shared" si="74"/>
        <v>127.78125000000001</v>
      </c>
      <c r="AO611" s="4">
        <f t="shared" si="75"/>
        <v>141.96496875000003</v>
      </c>
      <c r="AP611" s="4">
        <f t="shared" si="76"/>
        <v>206.992846875</v>
      </c>
      <c r="AQ611" s="10">
        <f t="shared" si="77"/>
        <v>127.78906800000001</v>
      </c>
      <c r="AR611" s="10">
        <f t="shared" si="78"/>
        <v>141.98643345480002</v>
      </c>
      <c r="AS611" s="10">
        <f t="shared" si="79"/>
        <v>198.94202106240002</v>
      </c>
    </row>
    <row r="612" spans="1:45" x14ac:dyDescent="0.3">
      <c r="A612">
        <v>2025</v>
      </c>
      <c r="B612">
        <v>10</v>
      </c>
      <c r="C612" t="s">
        <v>55</v>
      </c>
      <c r="D612">
        <v>10</v>
      </c>
      <c r="E612" t="s">
        <v>36</v>
      </c>
      <c r="F612" t="s">
        <v>37</v>
      </c>
      <c r="G612" t="s">
        <v>38</v>
      </c>
      <c r="H612" t="s">
        <v>83</v>
      </c>
      <c r="I612" t="s">
        <v>375</v>
      </c>
      <c r="J612" t="s">
        <v>376</v>
      </c>
      <c r="K612" t="s">
        <v>59</v>
      </c>
      <c r="L612" t="s">
        <v>1549</v>
      </c>
      <c r="M612" t="s">
        <v>1550</v>
      </c>
      <c r="N612" t="s">
        <v>1551</v>
      </c>
      <c r="O612" t="s">
        <v>1197</v>
      </c>
      <c r="Q612" t="s">
        <v>62</v>
      </c>
      <c r="R612" t="s">
        <v>1552</v>
      </c>
      <c r="S612" t="s">
        <v>1552</v>
      </c>
      <c r="T612" t="s">
        <v>47</v>
      </c>
      <c r="U612" t="s">
        <v>1556</v>
      </c>
      <c r="V612" t="s">
        <v>49</v>
      </c>
      <c r="W612" t="s">
        <v>1557</v>
      </c>
      <c r="X612" t="s">
        <v>51</v>
      </c>
      <c r="Y612" t="s">
        <v>1261</v>
      </c>
      <c r="Z612" t="s">
        <v>1261</v>
      </c>
      <c r="AA612" t="s">
        <v>1262</v>
      </c>
      <c r="AB612" s="3">
        <f t="shared" si="72"/>
        <v>1</v>
      </c>
      <c r="AC612">
        <v>68.150000000000006</v>
      </c>
      <c r="AD612" s="2">
        <v>68.150000000000006</v>
      </c>
      <c r="AE612" s="2">
        <v>4.88</v>
      </c>
      <c r="AF612" s="2">
        <v>0.44</v>
      </c>
      <c r="AG612" s="2">
        <v>73.48</v>
      </c>
      <c r="AH612">
        <v>0</v>
      </c>
      <c r="AI612">
        <v>73.48</v>
      </c>
      <c r="AJ612">
        <v>0.3674</v>
      </c>
      <c r="AK612" t="s">
        <v>54</v>
      </c>
      <c r="AL612">
        <v>0.56999999999999995</v>
      </c>
      <c r="AM612" s="4">
        <f t="shared" si="73"/>
        <v>73.48</v>
      </c>
      <c r="AN612" s="4">
        <f t="shared" si="74"/>
        <v>127.78125000000001</v>
      </c>
      <c r="AO612" s="4">
        <f t="shared" si="75"/>
        <v>141.96496875000003</v>
      </c>
      <c r="AP612" s="4">
        <f t="shared" si="76"/>
        <v>206.992846875</v>
      </c>
      <c r="AQ612" s="10">
        <f t="shared" si="77"/>
        <v>127.78906800000001</v>
      </c>
      <c r="AR612" s="10">
        <f t="shared" si="78"/>
        <v>141.98643345480002</v>
      </c>
      <c r="AS612" s="10">
        <f t="shared" si="79"/>
        <v>198.94202106240002</v>
      </c>
    </row>
    <row r="613" spans="1:45" x14ac:dyDescent="0.3">
      <c r="A613">
        <v>2025</v>
      </c>
      <c r="B613">
        <v>10</v>
      </c>
      <c r="C613" t="s">
        <v>55</v>
      </c>
      <c r="D613">
        <v>10</v>
      </c>
      <c r="E613" t="s">
        <v>36</v>
      </c>
      <c r="F613" t="s">
        <v>37</v>
      </c>
      <c r="G613" t="s">
        <v>38</v>
      </c>
      <c r="H613" t="s">
        <v>101</v>
      </c>
      <c r="I613" t="s">
        <v>375</v>
      </c>
      <c r="J613" t="s">
        <v>376</v>
      </c>
      <c r="K613" t="s">
        <v>59</v>
      </c>
      <c r="L613" t="s">
        <v>1549</v>
      </c>
      <c r="M613" t="s">
        <v>1550</v>
      </c>
      <c r="N613" t="s">
        <v>1551</v>
      </c>
      <c r="O613" t="s">
        <v>1197</v>
      </c>
      <c r="Q613" t="s">
        <v>62</v>
      </c>
      <c r="R613" t="s">
        <v>1552</v>
      </c>
      <c r="S613" t="s">
        <v>1552</v>
      </c>
      <c r="T613" t="s">
        <v>47</v>
      </c>
      <c r="U613" t="s">
        <v>163</v>
      </c>
      <c r="V613" t="s">
        <v>49</v>
      </c>
      <c r="W613" t="s">
        <v>164</v>
      </c>
      <c r="X613" t="s">
        <v>51</v>
      </c>
      <c r="Y613" t="s">
        <v>1261</v>
      </c>
      <c r="Z613" t="s">
        <v>1261</v>
      </c>
      <c r="AA613" t="s">
        <v>1262</v>
      </c>
      <c r="AB613" s="3">
        <f t="shared" si="72"/>
        <v>1</v>
      </c>
      <c r="AC613">
        <v>67.430000000000007</v>
      </c>
      <c r="AD613" s="2">
        <v>67.430000000000007</v>
      </c>
      <c r="AE613" s="2">
        <v>30.83</v>
      </c>
      <c r="AF613" s="2">
        <v>0.6</v>
      </c>
      <c r="AG613" s="2">
        <v>98.86</v>
      </c>
      <c r="AH613">
        <v>0</v>
      </c>
      <c r="AI613">
        <v>98.86</v>
      </c>
      <c r="AJ613">
        <v>0.49430000000000002</v>
      </c>
      <c r="AK613" t="s">
        <v>54</v>
      </c>
      <c r="AL613">
        <v>1.4</v>
      </c>
      <c r="AM613" s="4">
        <f t="shared" si="73"/>
        <v>98.86</v>
      </c>
      <c r="AN613" s="4">
        <f t="shared" si="74"/>
        <v>126.43125000000001</v>
      </c>
      <c r="AO613" s="4">
        <f t="shared" si="75"/>
        <v>140.46511875000002</v>
      </c>
      <c r="AP613" s="4">
        <f t="shared" si="76"/>
        <v>204.80598187499999</v>
      </c>
      <c r="AQ613" s="10">
        <f t="shared" si="77"/>
        <v>171.927426</v>
      </c>
      <c r="AR613" s="10">
        <f t="shared" si="78"/>
        <v>191.02856302859999</v>
      </c>
      <c r="AS613" s="10">
        <f t="shared" si="79"/>
        <v>267.65661679679999</v>
      </c>
    </row>
    <row r="614" spans="1:45" x14ac:dyDescent="0.3">
      <c r="A614">
        <v>2025</v>
      </c>
      <c r="B614">
        <v>8</v>
      </c>
      <c r="C614" t="s">
        <v>55</v>
      </c>
      <c r="D614">
        <v>10</v>
      </c>
      <c r="E614" t="s">
        <v>36</v>
      </c>
      <c r="F614" t="s">
        <v>37</v>
      </c>
      <c r="G614" t="s">
        <v>38</v>
      </c>
      <c r="H614" t="s">
        <v>542</v>
      </c>
      <c r="I614" t="s">
        <v>190</v>
      </c>
      <c r="J614" t="s">
        <v>58</v>
      </c>
      <c r="K614" t="s">
        <v>59</v>
      </c>
      <c r="L614" t="s">
        <v>1194</v>
      </c>
      <c r="M614" t="s">
        <v>1195</v>
      </c>
      <c r="N614" t="s">
        <v>1196</v>
      </c>
      <c r="O614" t="s">
        <v>1197</v>
      </c>
      <c r="Q614" t="s">
        <v>62</v>
      </c>
      <c r="R614" t="s">
        <v>1198</v>
      </c>
      <c r="S614" t="s">
        <v>1198</v>
      </c>
      <c r="T614" t="s">
        <v>47</v>
      </c>
      <c r="U614" t="s">
        <v>518</v>
      </c>
      <c r="V614" t="s">
        <v>49</v>
      </c>
      <c r="W614" t="s">
        <v>1361</v>
      </c>
      <c r="X614" t="s">
        <v>388</v>
      </c>
      <c r="Y614" t="s">
        <v>1592</v>
      </c>
      <c r="Z614" t="s">
        <v>1592</v>
      </c>
      <c r="AA614" t="s">
        <v>1593</v>
      </c>
      <c r="AB614" s="3">
        <f t="shared" si="72"/>
        <v>1</v>
      </c>
      <c r="AC614">
        <v>1135.77</v>
      </c>
      <c r="AD614" s="2">
        <v>1135.77</v>
      </c>
      <c r="AE614" s="2">
        <v>519.14</v>
      </c>
      <c r="AF614" s="2">
        <v>10.130000000000001</v>
      </c>
      <c r="AG614" s="2">
        <v>1665.4</v>
      </c>
      <c r="AH614">
        <v>0</v>
      </c>
      <c r="AI614">
        <v>1665.4</v>
      </c>
      <c r="AJ614">
        <v>8.327</v>
      </c>
      <c r="AK614" t="s">
        <v>54</v>
      </c>
      <c r="AL614">
        <v>23.51</v>
      </c>
      <c r="AM614" s="4">
        <f t="shared" si="73"/>
        <v>1665.4</v>
      </c>
      <c r="AN614" s="4">
        <f t="shared" si="74"/>
        <v>2129.5687499999999</v>
      </c>
      <c r="AO614" s="4">
        <f t="shared" si="75"/>
        <v>2365.9508812499998</v>
      </c>
      <c r="AP614" s="4">
        <f t="shared" si="76"/>
        <v>3449.6884181249998</v>
      </c>
      <c r="AQ614" s="10">
        <f t="shared" si="77"/>
        <v>2896.2971400000001</v>
      </c>
      <c r="AR614" s="10">
        <f t="shared" si="78"/>
        <v>3218.0757522540002</v>
      </c>
      <c r="AS614" s="10">
        <f t="shared" si="79"/>
        <v>4508.9553875520005</v>
      </c>
    </row>
    <row r="615" spans="1:45" x14ac:dyDescent="0.3">
      <c r="A615">
        <v>2025</v>
      </c>
      <c r="B615">
        <v>9</v>
      </c>
      <c r="C615" t="s">
        <v>55</v>
      </c>
      <c r="D615">
        <v>10</v>
      </c>
      <c r="E615" t="s">
        <v>36</v>
      </c>
      <c r="F615" t="s">
        <v>37</v>
      </c>
      <c r="G615" t="s">
        <v>38</v>
      </c>
      <c r="H615" t="s">
        <v>542</v>
      </c>
      <c r="I615" t="s">
        <v>375</v>
      </c>
      <c r="J615" t="s">
        <v>376</v>
      </c>
      <c r="K615" t="s">
        <v>59</v>
      </c>
      <c r="L615" t="s">
        <v>1483</v>
      </c>
      <c r="M615" t="s">
        <v>1484</v>
      </c>
      <c r="N615" t="s">
        <v>1485</v>
      </c>
      <c r="O615" t="s">
        <v>1197</v>
      </c>
      <c r="Q615" t="s">
        <v>62</v>
      </c>
      <c r="R615" t="s">
        <v>1486</v>
      </c>
      <c r="S615" t="s">
        <v>1486</v>
      </c>
      <c r="T615" t="s">
        <v>47</v>
      </c>
      <c r="U615" t="s">
        <v>518</v>
      </c>
      <c r="V615" t="s">
        <v>49</v>
      </c>
      <c r="W615" t="s">
        <v>1361</v>
      </c>
      <c r="X615" t="s">
        <v>51</v>
      </c>
      <c r="Y615" t="s">
        <v>1364</v>
      </c>
      <c r="Z615" t="s">
        <v>1364</v>
      </c>
      <c r="AA615" t="s">
        <v>1365</v>
      </c>
      <c r="AB615" s="3">
        <f t="shared" si="72"/>
        <v>3</v>
      </c>
      <c r="AC615">
        <v>446.55</v>
      </c>
      <c r="AD615" s="2">
        <v>148.85</v>
      </c>
      <c r="AE615" s="2">
        <v>32</v>
      </c>
      <c r="AF615" s="2">
        <v>2.89</v>
      </c>
      <c r="AG615" s="2">
        <v>481.45</v>
      </c>
      <c r="AH615">
        <v>0</v>
      </c>
      <c r="AI615">
        <v>160.48333333332999</v>
      </c>
      <c r="AJ615">
        <v>2.4072499999999999</v>
      </c>
      <c r="AK615" t="s">
        <v>54</v>
      </c>
      <c r="AL615">
        <v>3.76</v>
      </c>
      <c r="AM615" s="4">
        <f t="shared" si="73"/>
        <v>160.48333333333332</v>
      </c>
      <c r="AN615" s="4">
        <f t="shared" si="74"/>
        <v>279.09375</v>
      </c>
      <c r="AO615" s="4">
        <f t="shared" si="75"/>
        <v>310.07315625000001</v>
      </c>
      <c r="AP615" s="4">
        <f t="shared" si="76"/>
        <v>452.10396562499994</v>
      </c>
      <c r="AQ615" s="10">
        <f t="shared" si="77"/>
        <v>279.096565</v>
      </c>
      <c r="AR615" s="10">
        <f t="shared" si="78"/>
        <v>310.1041933715</v>
      </c>
      <c r="AS615" s="10">
        <f t="shared" si="79"/>
        <v>434.49753239199998</v>
      </c>
    </row>
    <row r="616" spans="1:45" x14ac:dyDescent="0.3">
      <c r="A616">
        <v>2025</v>
      </c>
      <c r="B616">
        <v>12</v>
      </c>
      <c r="C616" t="s">
        <v>55</v>
      </c>
      <c r="D616">
        <v>10</v>
      </c>
      <c r="E616" t="s">
        <v>36</v>
      </c>
      <c r="F616" t="s">
        <v>37</v>
      </c>
      <c r="G616" t="s">
        <v>38</v>
      </c>
      <c r="H616" t="s">
        <v>410</v>
      </c>
      <c r="I616" t="s">
        <v>57</v>
      </c>
      <c r="J616" t="s">
        <v>58</v>
      </c>
      <c r="K616" t="s">
        <v>59</v>
      </c>
      <c r="L616" t="s">
        <v>1769</v>
      </c>
      <c r="M616" t="s">
        <v>1770</v>
      </c>
      <c r="N616" t="s">
        <v>1771</v>
      </c>
      <c r="O616" t="s">
        <v>1197</v>
      </c>
      <c r="Q616" t="s">
        <v>62</v>
      </c>
      <c r="R616" t="s">
        <v>1772</v>
      </c>
      <c r="S616" t="s">
        <v>1772</v>
      </c>
      <c r="T616" t="s">
        <v>47</v>
      </c>
      <c r="U616" t="s">
        <v>230</v>
      </c>
      <c r="V616" t="s">
        <v>49</v>
      </c>
      <c r="W616" t="s">
        <v>231</v>
      </c>
      <c r="X616" t="s">
        <v>51</v>
      </c>
      <c r="Y616" t="s">
        <v>1364</v>
      </c>
      <c r="Z616" t="s">
        <v>1364</v>
      </c>
      <c r="AA616" t="s">
        <v>1365</v>
      </c>
      <c r="AB616" s="3">
        <f t="shared" si="72"/>
        <v>3.0000000000000684</v>
      </c>
      <c r="AC616">
        <v>439.54</v>
      </c>
      <c r="AD616" s="2">
        <v>146.51333333333</v>
      </c>
      <c r="AE616" s="2">
        <v>68.16</v>
      </c>
      <c r="AF616" s="2">
        <v>3.12</v>
      </c>
      <c r="AG616" s="2">
        <v>510.81</v>
      </c>
      <c r="AH616">
        <v>0</v>
      </c>
      <c r="AI616">
        <v>170.27</v>
      </c>
      <c r="AJ616">
        <v>2.5540500000000002</v>
      </c>
      <c r="AK616" t="s">
        <v>54</v>
      </c>
      <c r="AL616">
        <v>2.82</v>
      </c>
      <c r="AM616" s="4">
        <f t="shared" si="73"/>
        <v>170.26999999999612</v>
      </c>
      <c r="AN616" s="4">
        <f t="shared" si="74"/>
        <v>274.71249999999372</v>
      </c>
      <c r="AO616" s="4">
        <f t="shared" si="75"/>
        <v>305.20558749999304</v>
      </c>
      <c r="AP616" s="4">
        <f t="shared" si="76"/>
        <v>445.00677874998979</v>
      </c>
      <c r="AQ616" s="10">
        <f t="shared" si="77"/>
        <v>296.11655699999324</v>
      </c>
      <c r="AR616" s="10">
        <f t="shared" si="78"/>
        <v>329.01510648269249</v>
      </c>
      <c r="AS616" s="10">
        <f t="shared" si="79"/>
        <v>460.99425593758946</v>
      </c>
    </row>
    <row r="617" spans="1:45" x14ac:dyDescent="0.3">
      <c r="A617">
        <v>2025</v>
      </c>
      <c r="B617">
        <v>6</v>
      </c>
      <c r="C617" t="s">
        <v>55</v>
      </c>
      <c r="D617">
        <v>10</v>
      </c>
      <c r="E617" t="s">
        <v>36</v>
      </c>
      <c r="F617" t="s">
        <v>37</v>
      </c>
      <c r="G617" t="s">
        <v>38</v>
      </c>
      <c r="H617" t="s">
        <v>622</v>
      </c>
      <c r="I617" t="s">
        <v>190</v>
      </c>
      <c r="J617" t="s">
        <v>58</v>
      </c>
      <c r="K617" t="s">
        <v>59</v>
      </c>
      <c r="M617" t="s">
        <v>730</v>
      </c>
      <c r="N617" t="s">
        <v>731</v>
      </c>
      <c r="O617" t="s">
        <v>36</v>
      </c>
      <c r="Q617" t="s">
        <v>62</v>
      </c>
      <c r="R617" t="s">
        <v>732</v>
      </c>
      <c r="S617" t="s">
        <v>732</v>
      </c>
      <c r="T617" t="s">
        <v>47</v>
      </c>
      <c r="U617" t="s">
        <v>367</v>
      </c>
      <c r="V617" t="s">
        <v>49</v>
      </c>
      <c r="W617" t="s">
        <v>935</v>
      </c>
      <c r="X617" t="s">
        <v>686</v>
      </c>
      <c r="Y617" t="s">
        <v>1176</v>
      </c>
      <c r="Z617" t="s">
        <v>1176</v>
      </c>
      <c r="AA617" t="s">
        <v>1790</v>
      </c>
      <c r="AB617" s="3">
        <f t="shared" si="72"/>
        <v>4</v>
      </c>
      <c r="AC617">
        <v>47.68</v>
      </c>
      <c r="AD617" s="2">
        <v>11.92</v>
      </c>
      <c r="AE617" s="2">
        <v>14.15</v>
      </c>
      <c r="AF617" s="2">
        <v>0.36</v>
      </c>
      <c r="AG617" s="2">
        <v>62.19</v>
      </c>
      <c r="AH617">
        <v>0</v>
      </c>
      <c r="AI617">
        <v>15.547499999999999</v>
      </c>
      <c r="AJ617">
        <v>0.31095</v>
      </c>
      <c r="AK617" t="s">
        <v>54</v>
      </c>
      <c r="AL617">
        <v>0.35</v>
      </c>
      <c r="AM617" s="4">
        <f t="shared" si="73"/>
        <v>15.547499999999999</v>
      </c>
      <c r="AN617" s="4">
        <f t="shared" si="74"/>
        <v>22.35</v>
      </c>
      <c r="AO617" s="4">
        <f t="shared" si="75"/>
        <v>24.830850000000002</v>
      </c>
      <c r="AP617" s="4">
        <f t="shared" si="76"/>
        <v>36.204765000000002</v>
      </c>
      <c r="AQ617" s="10">
        <f t="shared" si="77"/>
        <v>27.03865725</v>
      </c>
      <c r="AR617" s="10">
        <f t="shared" si="78"/>
        <v>30.042652070475</v>
      </c>
      <c r="AS617" s="10">
        <f t="shared" si="79"/>
        <v>42.0937816068</v>
      </c>
    </row>
    <row r="618" spans="1:45" x14ac:dyDescent="0.3">
      <c r="A618">
        <v>2025</v>
      </c>
      <c r="B618">
        <v>5</v>
      </c>
      <c r="C618" t="s">
        <v>55</v>
      </c>
      <c r="D618">
        <v>10</v>
      </c>
      <c r="E618" t="s">
        <v>36</v>
      </c>
      <c r="F618" t="s">
        <v>37</v>
      </c>
      <c r="G618" t="s">
        <v>38</v>
      </c>
      <c r="H618" t="s">
        <v>101</v>
      </c>
      <c r="I618" t="s">
        <v>190</v>
      </c>
      <c r="J618" t="s">
        <v>58</v>
      </c>
      <c r="K618" t="s">
        <v>59</v>
      </c>
      <c r="M618" t="s">
        <v>682</v>
      </c>
      <c r="N618" t="s">
        <v>384</v>
      </c>
      <c r="O618" t="s">
        <v>36</v>
      </c>
      <c r="Q618" t="s">
        <v>62</v>
      </c>
      <c r="R618" t="s">
        <v>683</v>
      </c>
      <c r="S618" t="s">
        <v>683</v>
      </c>
      <c r="T618" t="s">
        <v>47</v>
      </c>
      <c r="U618" t="s">
        <v>167</v>
      </c>
      <c r="V618" t="s">
        <v>49</v>
      </c>
      <c r="W618" t="s">
        <v>168</v>
      </c>
      <c r="X618" t="s">
        <v>686</v>
      </c>
      <c r="Y618" t="s">
        <v>369</v>
      </c>
      <c r="Z618" t="s">
        <v>369</v>
      </c>
      <c r="AA618" t="s">
        <v>936</v>
      </c>
      <c r="AB618" s="3">
        <f t="shared" si="72"/>
        <v>1.5199999999999976</v>
      </c>
      <c r="AC618">
        <v>150.31</v>
      </c>
      <c r="AD618" s="2">
        <v>98.888157894737006</v>
      </c>
      <c r="AE618" s="2">
        <v>31.78</v>
      </c>
      <c r="AF618" s="2">
        <v>1.1100000000000001</v>
      </c>
      <c r="AG618" s="2">
        <v>183.2</v>
      </c>
      <c r="AH618">
        <v>0</v>
      </c>
      <c r="AI618">
        <v>120.52631578947</v>
      </c>
      <c r="AJ618">
        <v>0.91600000000000004</v>
      </c>
      <c r="AK618" t="s">
        <v>54</v>
      </c>
      <c r="AL618">
        <v>1.9</v>
      </c>
      <c r="AM618" s="4">
        <f t="shared" si="73"/>
        <v>120.52631578947387</v>
      </c>
      <c r="AN618" s="4">
        <f t="shared" si="74"/>
        <v>185.41529605263187</v>
      </c>
      <c r="AO618" s="4">
        <f t="shared" si="75"/>
        <v>205.996393914474</v>
      </c>
      <c r="AP618" s="4">
        <f t="shared" si="76"/>
        <v>300.35423807565837</v>
      </c>
      <c r="AQ618" s="10">
        <f t="shared" si="77"/>
        <v>209.60731578947403</v>
      </c>
      <c r="AR618" s="10">
        <f t="shared" si="78"/>
        <v>232.89468857368459</v>
      </c>
      <c r="AS618" s="10">
        <f t="shared" si="79"/>
        <v>326.31666922105313</v>
      </c>
    </row>
    <row r="619" spans="1:45" x14ac:dyDescent="0.3">
      <c r="A619">
        <v>2025</v>
      </c>
      <c r="B619">
        <v>8</v>
      </c>
      <c r="C619" t="s">
        <v>55</v>
      </c>
      <c r="D619">
        <v>10</v>
      </c>
      <c r="E619" t="s">
        <v>36</v>
      </c>
      <c r="F619" t="s">
        <v>37</v>
      </c>
      <c r="G619" t="s">
        <v>38</v>
      </c>
      <c r="H619" t="s">
        <v>101</v>
      </c>
      <c r="I619" t="s">
        <v>190</v>
      </c>
      <c r="J619" t="s">
        <v>58</v>
      </c>
      <c r="K619" t="s">
        <v>59</v>
      </c>
      <c r="L619" t="s">
        <v>1194</v>
      </c>
      <c r="M619" t="s">
        <v>1195</v>
      </c>
      <c r="N619" t="s">
        <v>1196</v>
      </c>
      <c r="O619" t="s">
        <v>1197</v>
      </c>
      <c r="Q619" t="s">
        <v>62</v>
      </c>
      <c r="R619" t="s">
        <v>1198</v>
      </c>
      <c r="S619" t="s">
        <v>1198</v>
      </c>
      <c r="T619" t="s">
        <v>47</v>
      </c>
      <c r="U619" t="s">
        <v>559</v>
      </c>
      <c r="V619" t="s">
        <v>49</v>
      </c>
      <c r="W619" t="s">
        <v>560</v>
      </c>
      <c r="X619" t="s">
        <v>388</v>
      </c>
      <c r="Y619" t="s">
        <v>342</v>
      </c>
      <c r="Z619" t="s">
        <v>342</v>
      </c>
      <c r="AA619" t="s">
        <v>725</v>
      </c>
      <c r="AB619" s="3">
        <f t="shared" si="72"/>
        <v>1</v>
      </c>
      <c r="AC619">
        <v>266.3</v>
      </c>
      <c r="AD619" s="2">
        <v>266.3</v>
      </c>
      <c r="AE619" s="2">
        <v>94.84</v>
      </c>
      <c r="AF619" s="2">
        <v>2.4300000000000002</v>
      </c>
      <c r="AG619" s="2">
        <v>363.58</v>
      </c>
      <c r="AH619">
        <v>0</v>
      </c>
      <c r="AI619">
        <v>363.58</v>
      </c>
      <c r="AJ619">
        <v>1.8179000000000001</v>
      </c>
      <c r="AK619" t="s">
        <v>54</v>
      </c>
      <c r="AL619">
        <v>3.11</v>
      </c>
      <c r="AM619" s="4">
        <f t="shared" si="73"/>
        <v>363.58</v>
      </c>
      <c r="AN619" s="4">
        <f t="shared" si="74"/>
        <v>499.3125</v>
      </c>
      <c r="AO619" s="4">
        <f t="shared" si="75"/>
        <v>554.73618750000003</v>
      </c>
      <c r="AP619" s="4">
        <f t="shared" si="76"/>
        <v>808.83631874999992</v>
      </c>
      <c r="AQ619" s="10">
        <f t="shared" si="77"/>
        <v>632.30197799999996</v>
      </c>
      <c r="AR619" s="10">
        <f t="shared" si="78"/>
        <v>702.55072775579993</v>
      </c>
      <c r="AS619" s="10">
        <f t="shared" si="79"/>
        <v>984.36771935039997</v>
      </c>
    </row>
    <row r="620" spans="1:45" x14ac:dyDescent="0.3">
      <c r="A620">
        <v>2025</v>
      </c>
      <c r="B620">
        <v>8</v>
      </c>
      <c r="C620" t="s">
        <v>55</v>
      </c>
      <c r="D620">
        <v>10</v>
      </c>
      <c r="E620" t="s">
        <v>36</v>
      </c>
      <c r="F620" t="s">
        <v>37</v>
      </c>
      <c r="G620" t="s">
        <v>38</v>
      </c>
      <c r="H620" t="s">
        <v>341</v>
      </c>
      <c r="I620" t="s">
        <v>190</v>
      </c>
      <c r="J620" t="s">
        <v>58</v>
      </c>
      <c r="K620" t="s">
        <v>59</v>
      </c>
      <c r="L620" t="s">
        <v>1194</v>
      </c>
      <c r="M620" t="s">
        <v>1195</v>
      </c>
      <c r="N620" t="s">
        <v>1196</v>
      </c>
      <c r="O620" t="s">
        <v>1197</v>
      </c>
      <c r="Q620" t="s">
        <v>62</v>
      </c>
      <c r="R620" t="s">
        <v>1198</v>
      </c>
      <c r="S620" t="s">
        <v>1198</v>
      </c>
      <c r="T620" t="s">
        <v>47</v>
      </c>
      <c r="U620" t="s">
        <v>178</v>
      </c>
      <c r="V620" t="s">
        <v>49</v>
      </c>
      <c r="W620" t="s">
        <v>179</v>
      </c>
      <c r="X620" t="s">
        <v>388</v>
      </c>
      <c r="Y620" t="s">
        <v>1111</v>
      </c>
      <c r="Z620" t="s">
        <v>1111</v>
      </c>
      <c r="AA620" t="s">
        <v>725</v>
      </c>
      <c r="AB620" s="3">
        <f t="shared" si="72"/>
        <v>2</v>
      </c>
      <c r="AC620">
        <v>552.20000000000005</v>
      </c>
      <c r="AD620" s="2">
        <v>276.10000000000002</v>
      </c>
      <c r="AE620" s="2">
        <v>39.56</v>
      </c>
      <c r="AF620" s="2">
        <v>3.57</v>
      </c>
      <c r="AG620" s="2">
        <v>595.15</v>
      </c>
      <c r="AH620">
        <v>0</v>
      </c>
      <c r="AI620">
        <v>297.57499999999999</v>
      </c>
      <c r="AJ620">
        <v>2.9757500000000001</v>
      </c>
      <c r="AK620" t="s">
        <v>54</v>
      </c>
      <c r="AL620">
        <v>4.6500000000000004</v>
      </c>
      <c r="AM620" s="4">
        <f t="shared" si="73"/>
        <v>297.57499999999999</v>
      </c>
      <c r="AN620" s="4">
        <f t="shared" si="74"/>
        <v>517.6875</v>
      </c>
      <c r="AO620" s="4">
        <f t="shared" si="75"/>
        <v>575.15081250000003</v>
      </c>
      <c r="AP620" s="4">
        <f t="shared" si="76"/>
        <v>838.60198124999999</v>
      </c>
      <c r="AQ620" s="10">
        <f t="shared" si="77"/>
        <v>517.51268249999998</v>
      </c>
      <c r="AR620" s="10">
        <f t="shared" si="78"/>
        <v>575.00834152574998</v>
      </c>
      <c r="AS620" s="10">
        <f t="shared" si="79"/>
        <v>805.66374411599998</v>
      </c>
    </row>
    <row r="621" spans="1:45" x14ac:dyDescent="0.3">
      <c r="A621">
        <v>2025</v>
      </c>
      <c r="B621">
        <v>5</v>
      </c>
      <c r="C621" t="s">
        <v>55</v>
      </c>
      <c r="D621">
        <v>10</v>
      </c>
      <c r="E621" t="s">
        <v>36</v>
      </c>
      <c r="F621" t="s">
        <v>37</v>
      </c>
      <c r="G621" t="s">
        <v>38</v>
      </c>
      <c r="H621" t="s">
        <v>78</v>
      </c>
      <c r="I621" t="s">
        <v>190</v>
      </c>
      <c r="J621" t="s">
        <v>58</v>
      </c>
      <c r="K621" t="s">
        <v>59</v>
      </c>
      <c r="M621" t="s">
        <v>682</v>
      </c>
      <c r="N621" t="s">
        <v>384</v>
      </c>
      <c r="O621" t="s">
        <v>36</v>
      </c>
      <c r="Q621" t="s">
        <v>62</v>
      </c>
      <c r="R621" t="s">
        <v>683</v>
      </c>
      <c r="S621" t="s">
        <v>683</v>
      </c>
      <c r="T621" t="s">
        <v>47</v>
      </c>
      <c r="U621" t="s">
        <v>178</v>
      </c>
      <c r="V621" t="s">
        <v>49</v>
      </c>
      <c r="W621" t="s">
        <v>179</v>
      </c>
      <c r="X621" t="s">
        <v>686</v>
      </c>
      <c r="Y621" t="s">
        <v>1176</v>
      </c>
      <c r="Z621" t="s">
        <v>1176</v>
      </c>
      <c r="AA621" t="s">
        <v>1450</v>
      </c>
      <c r="AB621" s="3">
        <f t="shared" si="72"/>
        <v>5</v>
      </c>
      <c r="AC621">
        <v>274.12</v>
      </c>
      <c r="AD621" s="2">
        <v>54.823999999999998</v>
      </c>
      <c r="AE621" s="2">
        <v>19.64</v>
      </c>
      <c r="AF621" s="2">
        <v>1.77</v>
      </c>
      <c r="AG621" s="2">
        <v>295.54000000000002</v>
      </c>
      <c r="AH621">
        <v>0</v>
      </c>
      <c r="AI621">
        <v>59.107999999999997</v>
      </c>
      <c r="AJ621">
        <v>1.4777</v>
      </c>
      <c r="AK621" t="s">
        <v>54</v>
      </c>
      <c r="AL621">
        <v>2.31</v>
      </c>
      <c r="AM621" s="4">
        <f t="shared" si="73"/>
        <v>59.108000000000004</v>
      </c>
      <c r="AN621" s="4">
        <f t="shared" si="74"/>
        <v>102.795</v>
      </c>
      <c r="AO621" s="4">
        <f t="shared" si="75"/>
        <v>114.20524500000001</v>
      </c>
      <c r="AP621" s="4">
        <f t="shared" si="76"/>
        <v>166.51762049999999</v>
      </c>
      <c r="AQ621" s="10">
        <f t="shared" si="77"/>
        <v>102.79472280000002</v>
      </c>
      <c r="AR621" s="10">
        <f t="shared" si="78"/>
        <v>114.21521650308001</v>
      </c>
      <c r="AS621" s="10">
        <f t="shared" si="79"/>
        <v>160.03082445504003</v>
      </c>
    </row>
    <row r="622" spans="1:45" x14ac:dyDescent="0.3">
      <c r="A622">
        <v>2025</v>
      </c>
      <c r="B622">
        <v>8</v>
      </c>
      <c r="C622" t="s">
        <v>55</v>
      </c>
      <c r="D622">
        <v>10</v>
      </c>
      <c r="E622" t="s">
        <v>36</v>
      </c>
      <c r="F622" t="s">
        <v>37</v>
      </c>
      <c r="G622" t="s">
        <v>38</v>
      </c>
      <c r="H622" t="s">
        <v>78</v>
      </c>
      <c r="I622" t="s">
        <v>190</v>
      </c>
      <c r="J622" t="s">
        <v>58</v>
      </c>
      <c r="K622" t="s">
        <v>59</v>
      </c>
      <c r="L622" t="s">
        <v>1194</v>
      </c>
      <c r="M622" t="s">
        <v>1195</v>
      </c>
      <c r="N622" t="s">
        <v>1196</v>
      </c>
      <c r="O622" t="s">
        <v>1197</v>
      </c>
      <c r="Q622" t="s">
        <v>62</v>
      </c>
      <c r="R622" t="s">
        <v>1198</v>
      </c>
      <c r="S622" t="s">
        <v>1198</v>
      </c>
      <c r="T622" t="s">
        <v>47</v>
      </c>
      <c r="U622" t="s">
        <v>178</v>
      </c>
      <c r="V622" t="s">
        <v>49</v>
      </c>
      <c r="W622" t="s">
        <v>179</v>
      </c>
      <c r="X622" t="s">
        <v>388</v>
      </c>
      <c r="Y622" t="s">
        <v>635</v>
      </c>
      <c r="Z622" t="s">
        <v>635</v>
      </c>
      <c r="AA622" t="s">
        <v>729</v>
      </c>
      <c r="AB622" s="3">
        <f t="shared" si="72"/>
        <v>5.9999999999998561</v>
      </c>
      <c r="AC622">
        <v>832.87</v>
      </c>
      <c r="AD622" s="2">
        <v>138.81166666666999</v>
      </c>
      <c r="AE622" s="2">
        <v>568.92999999999995</v>
      </c>
      <c r="AF622" s="2">
        <v>7.22</v>
      </c>
      <c r="AG622" s="2">
        <v>1409.2</v>
      </c>
      <c r="AH622">
        <v>0</v>
      </c>
      <c r="AI622">
        <v>234.86666666667</v>
      </c>
      <c r="AJ622">
        <v>7.0460000000000003</v>
      </c>
      <c r="AK622" t="s">
        <v>54</v>
      </c>
      <c r="AL622">
        <v>18.670000000000002</v>
      </c>
      <c r="AM622" s="4">
        <f t="shared" si="73"/>
        <v>234.8666666666723</v>
      </c>
      <c r="AN622" s="4">
        <f t="shared" si="74"/>
        <v>260.27187500000622</v>
      </c>
      <c r="AO622" s="4">
        <f t="shared" si="75"/>
        <v>289.16205312500688</v>
      </c>
      <c r="AP622" s="4">
        <f t="shared" si="76"/>
        <v>421.61441031251007</v>
      </c>
      <c r="AQ622" s="10">
        <f t="shared" si="77"/>
        <v>408.45662000000982</v>
      </c>
      <c r="AR622" s="10">
        <f t="shared" si="78"/>
        <v>453.83615048201091</v>
      </c>
      <c r="AS622" s="10">
        <f t="shared" si="79"/>
        <v>635.88526601601529</v>
      </c>
    </row>
    <row r="623" spans="1:45" x14ac:dyDescent="0.3">
      <c r="A623">
        <v>2025</v>
      </c>
      <c r="B623">
        <v>12</v>
      </c>
      <c r="C623" t="s">
        <v>55</v>
      </c>
      <c r="D623">
        <v>10</v>
      </c>
      <c r="E623" t="s">
        <v>36</v>
      </c>
      <c r="F623" t="s">
        <v>37</v>
      </c>
      <c r="G623" t="s">
        <v>38</v>
      </c>
      <c r="H623" t="s">
        <v>101</v>
      </c>
      <c r="I623" t="s">
        <v>57</v>
      </c>
      <c r="J623" t="s">
        <v>58</v>
      </c>
      <c r="K623" t="s">
        <v>59</v>
      </c>
      <c r="L623" t="s">
        <v>1803</v>
      </c>
      <c r="M623" t="s">
        <v>1804</v>
      </c>
      <c r="N623" t="s">
        <v>377</v>
      </c>
      <c r="O623" t="s">
        <v>1197</v>
      </c>
      <c r="Q623" t="s">
        <v>62</v>
      </c>
      <c r="R623" t="s">
        <v>1805</v>
      </c>
      <c r="S623" t="s">
        <v>1805</v>
      </c>
      <c r="T623" t="s">
        <v>47</v>
      </c>
      <c r="U623" t="s">
        <v>173</v>
      </c>
      <c r="V623" t="s">
        <v>49</v>
      </c>
      <c r="W623" t="s">
        <v>174</v>
      </c>
      <c r="X623" t="s">
        <v>51</v>
      </c>
      <c r="Y623" t="s">
        <v>1461</v>
      </c>
      <c r="Z623" t="s">
        <v>1461</v>
      </c>
      <c r="AA623" t="s">
        <v>729</v>
      </c>
      <c r="AB623" s="3">
        <f t="shared" si="72"/>
        <v>4</v>
      </c>
      <c r="AC623">
        <v>546.16</v>
      </c>
      <c r="AD623" s="2">
        <v>136.54</v>
      </c>
      <c r="AE623" s="2">
        <v>39.14</v>
      </c>
      <c r="AF623" s="2">
        <v>3.53</v>
      </c>
      <c r="AG623" s="2">
        <v>588.83000000000004</v>
      </c>
      <c r="AH623">
        <v>0</v>
      </c>
      <c r="AI623">
        <v>147.20750000000001</v>
      </c>
      <c r="AJ623">
        <v>2.94415</v>
      </c>
      <c r="AK623" t="s">
        <v>54</v>
      </c>
      <c r="AL623">
        <v>4.5999999999999996</v>
      </c>
      <c r="AM623" s="4">
        <f t="shared" si="73"/>
        <v>147.20750000000001</v>
      </c>
      <c r="AN623" s="4">
        <f t="shared" si="74"/>
        <v>256.01249999999999</v>
      </c>
      <c r="AO623" s="4">
        <f t="shared" si="75"/>
        <v>284.42988750000001</v>
      </c>
      <c r="AP623" s="4">
        <f t="shared" si="76"/>
        <v>414.71464874999998</v>
      </c>
      <c r="AQ623" s="10">
        <f t="shared" si="77"/>
        <v>256.00856325000001</v>
      </c>
      <c r="AR623" s="10">
        <f t="shared" si="78"/>
        <v>284.45111462707501</v>
      </c>
      <c r="AS623" s="10">
        <f t="shared" si="79"/>
        <v>398.55413126759998</v>
      </c>
    </row>
    <row r="624" spans="1:45" x14ac:dyDescent="0.3">
      <c r="A624">
        <v>2025</v>
      </c>
      <c r="B624">
        <v>11</v>
      </c>
      <c r="C624" t="s">
        <v>55</v>
      </c>
      <c r="D624">
        <v>10</v>
      </c>
      <c r="E624" t="s">
        <v>36</v>
      </c>
      <c r="F624" t="s">
        <v>37</v>
      </c>
      <c r="G624" t="s">
        <v>38</v>
      </c>
      <c r="H624" t="s">
        <v>83</v>
      </c>
      <c r="I624" t="s">
        <v>190</v>
      </c>
      <c r="J624" t="s">
        <v>58</v>
      </c>
      <c r="K624" t="s">
        <v>59</v>
      </c>
      <c r="L624" t="s">
        <v>1629</v>
      </c>
      <c r="M624" t="s">
        <v>1630</v>
      </c>
      <c r="N624" t="s">
        <v>1485</v>
      </c>
      <c r="O624" t="s">
        <v>1197</v>
      </c>
      <c r="Q624" t="s">
        <v>62</v>
      </c>
      <c r="R624" t="s">
        <v>1631</v>
      </c>
      <c r="S624" t="s">
        <v>1631</v>
      </c>
      <c r="T624" t="s">
        <v>47</v>
      </c>
      <c r="U624" t="s">
        <v>453</v>
      </c>
      <c r="V624" t="s">
        <v>49</v>
      </c>
      <c r="W624" t="s">
        <v>1289</v>
      </c>
      <c r="X624" t="s">
        <v>1578</v>
      </c>
      <c r="Y624" t="s">
        <v>1909</v>
      </c>
      <c r="Z624" t="s">
        <v>1909</v>
      </c>
      <c r="AA624" t="s">
        <v>1910</v>
      </c>
      <c r="AB624" s="3">
        <f t="shared" si="72"/>
        <v>1</v>
      </c>
      <c r="AC624">
        <v>950.56</v>
      </c>
      <c r="AD624" s="2">
        <v>950.56</v>
      </c>
      <c r="AE624" s="2">
        <v>369.58</v>
      </c>
      <c r="AF624" s="2">
        <v>14.3</v>
      </c>
      <c r="AG624" s="2">
        <v>1334.16</v>
      </c>
      <c r="AH624">
        <v>0</v>
      </c>
      <c r="AI624">
        <v>1334.16</v>
      </c>
      <c r="AJ624">
        <v>6.6707999999999998</v>
      </c>
      <c r="AK624" t="s">
        <v>54</v>
      </c>
      <c r="AL624">
        <v>1.54</v>
      </c>
      <c r="AM624" s="4">
        <f t="shared" si="73"/>
        <v>1334.16</v>
      </c>
      <c r="AN624" s="4">
        <f t="shared" si="74"/>
        <v>1782.3</v>
      </c>
      <c r="AO624" s="4">
        <f t="shared" si="75"/>
        <v>1980.1352999999999</v>
      </c>
      <c r="AP624" s="4">
        <f t="shared" si="76"/>
        <v>2887.1477699999996</v>
      </c>
      <c r="AQ624" s="10">
        <f t="shared" si="77"/>
        <v>2320.2376560000002</v>
      </c>
      <c r="AR624" s="10">
        <f t="shared" si="78"/>
        <v>2578.0160595816001</v>
      </c>
      <c r="AS624" s="10">
        <f t="shared" si="79"/>
        <v>3612.1459828608004</v>
      </c>
    </row>
    <row r="625" spans="1:45" x14ac:dyDescent="0.3">
      <c r="A625">
        <v>2025</v>
      </c>
      <c r="B625">
        <v>12</v>
      </c>
      <c r="C625" t="s">
        <v>55</v>
      </c>
      <c r="D625">
        <v>10</v>
      </c>
      <c r="E625" t="s">
        <v>36</v>
      </c>
      <c r="F625" t="s">
        <v>37</v>
      </c>
      <c r="G625" t="s">
        <v>38</v>
      </c>
      <c r="H625" t="s">
        <v>83</v>
      </c>
      <c r="I625" t="s">
        <v>57</v>
      </c>
      <c r="J625" t="s">
        <v>58</v>
      </c>
      <c r="K625" t="s">
        <v>59</v>
      </c>
      <c r="L625" t="s">
        <v>1769</v>
      </c>
      <c r="M625" t="s">
        <v>1770</v>
      </c>
      <c r="N625" t="s">
        <v>1771</v>
      </c>
      <c r="O625" t="s">
        <v>1197</v>
      </c>
      <c r="Q625" t="s">
        <v>62</v>
      </c>
      <c r="R625" t="s">
        <v>1772</v>
      </c>
      <c r="S625" t="s">
        <v>1772</v>
      </c>
      <c r="T625" t="s">
        <v>47</v>
      </c>
      <c r="U625" t="s">
        <v>453</v>
      </c>
      <c r="V625" t="s">
        <v>49</v>
      </c>
      <c r="W625" t="s">
        <v>1289</v>
      </c>
      <c r="X625" t="s">
        <v>51</v>
      </c>
      <c r="Y625" t="s">
        <v>1669</v>
      </c>
      <c r="Z625" t="s">
        <v>1669</v>
      </c>
      <c r="AA625" t="s">
        <v>1670</v>
      </c>
      <c r="AB625" s="3">
        <f t="shared" si="72"/>
        <v>1</v>
      </c>
      <c r="AC625">
        <v>1053</v>
      </c>
      <c r="AD625" s="2">
        <v>1053</v>
      </c>
      <c r="AE625" s="2">
        <v>274.17</v>
      </c>
      <c r="AF625" s="2">
        <v>8.11</v>
      </c>
      <c r="AG625" s="2">
        <v>1335.28</v>
      </c>
      <c r="AH625">
        <v>0</v>
      </c>
      <c r="AI625">
        <v>1335.28</v>
      </c>
      <c r="AJ625">
        <v>6.6764000000000001</v>
      </c>
      <c r="AK625" t="s">
        <v>54</v>
      </c>
      <c r="AL625">
        <v>13.25</v>
      </c>
      <c r="AM625" s="4">
        <f t="shared" si="73"/>
        <v>1335.28</v>
      </c>
      <c r="AN625" s="4">
        <f t="shared" si="74"/>
        <v>1974.375</v>
      </c>
      <c r="AO625" s="4">
        <f t="shared" si="75"/>
        <v>2193.5306249999999</v>
      </c>
      <c r="AP625" s="4">
        <f t="shared" si="76"/>
        <v>3198.2900624999997</v>
      </c>
      <c r="AQ625" s="10">
        <f t="shared" si="77"/>
        <v>2322.1854480000002</v>
      </c>
      <c r="AR625" s="10">
        <f t="shared" si="78"/>
        <v>2580.1802512728</v>
      </c>
      <c r="AS625" s="10">
        <f t="shared" si="79"/>
        <v>3615.1783054464004</v>
      </c>
    </row>
    <row r="626" spans="1:45" x14ac:dyDescent="0.3">
      <c r="A626">
        <v>2025</v>
      </c>
      <c r="B626">
        <v>12</v>
      </c>
      <c r="C626" t="s">
        <v>55</v>
      </c>
      <c r="D626">
        <v>10</v>
      </c>
      <c r="E626" t="s">
        <v>36</v>
      </c>
      <c r="F626" t="s">
        <v>37</v>
      </c>
      <c r="G626" t="s">
        <v>38</v>
      </c>
      <c r="H626" t="s">
        <v>83</v>
      </c>
      <c r="I626" t="s">
        <v>57</v>
      </c>
      <c r="J626" t="s">
        <v>58</v>
      </c>
      <c r="K626" t="s">
        <v>59</v>
      </c>
      <c r="L626" t="s">
        <v>1769</v>
      </c>
      <c r="M626" t="s">
        <v>1770</v>
      </c>
      <c r="N626" t="s">
        <v>1771</v>
      </c>
      <c r="O626" t="s">
        <v>1197</v>
      </c>
      <c r="Q626" t="s">
        <v>62</v>
      </c>
      <c r="R626" t="s">
        <v>1772</v>
      </c>
      <c r="S626" t="s">
        <v>1772</v>
      </c>
      <c r="T626" t="s">
        <v>47</v>
      </c>
      <c r="U626" t="s">
        <v>453</v>
      </c>
      <c r="V626" t="s">
        <v>49</v>
      </c>
      <c r="W626" t="s">
        <v>1289</v>
      </c>
      <c r="X626" t="s">
        <v>51</v>
      </c>
      <c r="Y626" t="s">
        <v>1669</v>
      </c>
      <c r="Z626" t="s">
        <v>1669</v>
      </c>
      <c r="AA626" t="s">
        <v>1670</v>
      </c>
      <c r="AB626" s="3">
        <f t="shared" si="72"/>
        <v>1</v>
      </c>
      <c r="AC626">
        <v>1057.72</v>
      </c>
      <c r="AD626" s="2">
        <v>1057.72</v>
      </c>
      <c r="AE626" s="2">
        <v>314</v>
      </c>
      <c r="AF626" s="2">
        <v>7.94</v>
      </c>
      <c r="AG626" s="2">
        <v>1379.65</v>
      </c>
      <c r="AH626">
        <v>0</v>
      </c>
      <c r="AI626">
        <v>1379.65</v>
      </c>
      <c r="AJ626">
        <v>6.89825</v>
      </c>
      <c r="AK626" t="s">
        <v>54</v>
      </c>
      <c r="AL626">
        <v>7.86</v>
      </c>
      <c r="AM626" s="4">
        <f t="shared" si="73"/>
        <v>1379.65</v>
      </c>
      <c r="AN626" s="4">
        <f t="shared" si="74"/>
        <v>1983.2250000000001</v>
      </c>
      <c r="AO626" s="4">
        <f t="shared" si="75"/>
        <v>2203.362975</v>
      </c>
      <c r="AP626" s="4">
        <f t="shared" si="76"/>
        <v>3212.6261774999998</v>
      </c>
      <c r="AQ626" s="10">
        <f t="shared" si="77"/>
        <v>2399.3493150000004</v>
      </c>
      <c r="AR626" s="10">
        <f t="shared" si="78"/>
        <v>2665.9170238965003</v>
      </c>
      <c r="AS626" s="10">
        <f t="shared" si="79"/>
        <v>3735.3070135920007</v>
      </c>
    </row>
    <row r="627" spans="1:45" x14ac:dyDescent="0.3">
      <c r="A627">
        <v>2025</v>
      </c>
      <c r="B627">
        <v>11</v>
      </c>
      <c r="C627" t="s">
        <v>55</v>
      </c>
      <c r="D627">
        <v>10</v>
      </c>
      <c r="E627" t="s">
        <v>36</v>
      </c>
      <c r="F627" t="s">
        <v>37</v>
      </c>
      <c r="G627" t="s">
        <v>38</v>
      </c>
      <c r="H627" t="s">
        <v>101</v>
      </c>
      <c r="I627" t="s">
        <v>375</v>
      </c>
      <c r="J627" t="s">
        <v>376</v>
      </c>
      <c r="K627" t="s">
        <v>51</v>
      </c>
      <c r="L627" t="s">
        <v>1622</v>
      </c>
      <c r="M627" t="s">
        <v>1623</v>
      </c>
      <c r="N627" t="s">
        <v>1485</v>
      </c>
      <c r="O627" t="s">
        <v>1197</v>
      </c>
      <c r="Q627" t="s">
        <v>62</v>
      </c>
      <c r="R627" t="s">
        <v>1624</v>
      </c>
      <c r="S627" t="s">
        <v>1624</v>
      </c>
      <c r="T627" t="s">
        <v>47</v>
      </c>
      <c r="U627" t="s">
        <v>167</v>
      </c>
      <c r="V627" t="s">
        <v>49</v>
      </c>
      <c r="W627" t="s">
        <v>168</v>
      </c>
      <c r="X627" t="s">
        <v>51</v>
      </c>
      <c r="Y627" t="s">
        <v>1669</v>
      </c>
      <c r="Z627" t="s">
        <v>1669</v>
      </c>
      <c r="AA627" t="s">
        <v>1670</v>
      </c>
      <c r="AB627" s="3">
        <f t="shared" si="72"/>
        <v>1</v>
      </c>
      <c r="AC627">
        <v>1057.72</v>
      </c>
      <c r="AD627" s="2">
        <v>1057.72</v>
      </c>
      <c r="AE627" s="2">
        <v>314</v>
      </c>
      <c r="AF627" s="2">
        <v>7.94</v>
      </c>
      <c r="AG627" s="2">
        <v>1379.65</v>
      </c>
      <c r="AH627">
        <v>0</v>
      </c>
      <c r="AI627">
        <v>1379.65</v>
      </c>
      <c r="AJ627">
        <v>6.89825</v>
      </c>
      <c r="AK627" t="s">
        <v>54</v>
      </c>
      <c r="AL627">
        <v>7.86</v>
      </c>
      <c r="AM627" s="4">
        <f t="shared" si="73"/>
        <v>1379.65</v>
      </c>
      <c r="AN627" s="4">
        <f t="shared" si="74"/>
        <v>1983.2250000000001</v>
      </c>
      <c r="AO627" s="4">
        <f t="shared" si="75"/>
        <v>2203.362975</v>
      </c>
      <c r="AP627" s="4">
        <f t="shared" si="76"/>
        <v>3212.6261774999998</v>
      </c>
      <c r="AQ627" s="10">
        <f t="shared" si="77"/>
        <v>2399.3493150000004</v>
      </c>
      <c r="AR627" s="10">
        <f t="shared" si="78"/>
        <v>2665.9170238965003</v>
      </c>
      <c r="AS627" s="10">
        <f t="shared" si="79"/>
        <v>3735.3070135920007</v>
      </c>
    </row>
    <row r="628" spans="1:45" x14ac:dyDescent="0.3">
      <c r="A628">
        <v>2025</v>
      </c>
      <c r="B628">
        <v>8</v>
      </c>
      <c r="C628" t="s">
        <v>55</v>
      </c>
      <c r="D628">
        <v>10</v>
      </c>
      <c r="E628" t="s">
        <v>36</v>
      </c>
      <c r="F628" t="s">
        <v>37</v>
      </c>
      <c r="G628" t="s">
        <v>38</v>
      </c>
      <c r="H628" t="s">
        <v>101</v>
      </c>
      <c r="I628" t="s">
        <v>190</v>
      </c>
      <c r="J628" t="s">
        <v>58</v>
      </c>
      <c r="K628" t="s">
        <v>59</v>
      </c>
      <c r="L628" t="s">
        <v>1194</v>
      </c>
      <c r="M628" t="s">
        <v>1195</v>
      </c>
      <c r="N628" t="s">
        <v>1196</v>
      </c>
      <c r="O628" t="s">
        <v>1197</v>
      </c>
      <c r="Q628" t="s">
        <v>62</v>
      </c>
      <c r="R628" t="s">
        <v>1198</v>
      </c>
      <c r="S628" t="s">
        <v>1198</v>
      </c>
      <c r="T628" t="s">
        <v>47</v>
      </c>
      <c r="U628" t="s">
        <v>167</v>
      </c>
      <c r="V628" t="s">
        <v>49</v>
      </c>
      <c r="W628" t="s">
        <v>168</v>
      </c>
      <c r="X628" t="s">
        <v>388</v>
      </c>
      <c r="Y628" t="s">
        <v>1726</v>
      </c>
      <c r="Z628" t="s">
        <v>1726</v>
      </c>
      <c r="AA628" t="s">
        <v>1729</v>
      </c>
      <c r="AB628" s="3">
        <f t="shared" si="72"/>
        <v>1</v>
      </c>
      <c r="AC628">
        <v>32.68</v>
      </c>
      <c r="AD628" s="2">
        <v>32.68</v>
      </c>
      <c r="AE628" s="2">
        <v>4.58</v>
      </c>
      <c r="AF628" s="2">
        <v>0.23</v>
      </c>
      <c r="AG628" s="2">
        <v>37.49</v>
      </c>
      <c r="AH628">
        <v>0</v>
      </c>
      <c r="AI628">
        <v>37.49</v>
      </c>
      <c r="AJ628">
        <v>0.18745000000000001</v>
      </c>
      <c r="AK628" t="s">
        <v>54</v>
      </c>
      <c r="AL628">
        <v>0.25</v>
      </c>
      <c r="AM628" s="4">
        <f t="shared" si="73"/>
        <v>37.49</v>
      </c>
      <c r="AN628" s="4">
        <f t="shared" si="74"/>
        <v>61.274999999999999</v>
      </c>
      <c r="AO628" s="4">
        <f t="shared" si="75"/>
        <v>68.076525000000004</v>
      </c>
      <c r="AP628" s="4">
        <f t="shared" si="76"/>
        <v>99.259372499999998</v>
      </c>
      <c r="AQ628" s="10">
        <f t="shared" si="77"/>
        <v>65.198859000000013</v>
      </c>
      <c r="AR628" s="10">
        <f t="shared" si="78"/>
        <v>72.442452234900017</v>
      </c>
      <c r="AS628" s="10">
        <f t="shared" si="79"/>
        <v>101.50158369120001</v>
      </c>
    </row>
    <row r="629" spans="1:45" x14ac:dyDescent="0.3">
      <c r="A629">
        <v>2025</v>
      </c>
      <c r="B629">
        <v>4</v>
      </c>
      <c r="C629" t="s">
        <v>55</v>
      </c>
      <c r="D629">
        <v>10</v>
      </c>
      <c r="E629" t="s">
        <v>36</v>
      </c>
      <c r="F629" t="s">
        <v>37</v>
      </c>
      <c r="G629" t="s">
        <v>38</v>
      </c>
      <c r="H629" t="s">
        <v>622</v>
      </c>
      <c r="I629" t="s">
        <v>190</v>
      </c>
      <c r="J629" t="s">
        <v>58</v>
      </c>
      <c r="K629" t="s">
        <v>59</v>
      </c>
      <c r="M629" t="s">
        <v>383</v>
      </c>
      <c r="N629" t="s">
        <v>384</v>
      </c>
      <c r="O629" t="s">
        <v>36</v>
      </c>
      <c r="Q629" t="s">
        <v>62</v>
      </c>
      <c r="R629" t="s">
        <v>385</v>
      </c>
      <c r="S629" t="s">
        <v>385</v>
      </c>
      <c r="T629" t="s">
        <v>47</v>
      </c>
      <c r="U629" t="s">
        <v>367</v>
      </c>
      <c r="V629" t="s">
        <v>49</v>
      </c>
      <c r="W629" t="s">
        <v>368</v>
      </c>
      <c r="X629" t="s">
        <v>388</v>
      </c>
      <c r="Y629" t="s">
        <v>1415</v>
      </c>
      <c r="Z629" t="s">
        <v>1415</v>
      </c>
      <c r="AA629" t="s">
        <v>1416</v>
      </c>
      <c r="AB629" s="3">
        <f t="shared" si="72"/>
        <v>1</v>
      </c>
      <c r="AC629">
        <v>34.6</v>
      </c>
      <c r="AD629" s="2">
        <v>34.6</v>
      </c>
      <c r="AE629" s="2">
        <v>2.44</v>
      </c>
      <c r="AF629" s="2">
        <v>0.22</v>
      </c>
      <c r="AG629" s="2">
        <v>36.72</v>
      </c>
      <c r="AH629">
        <v>0</v>
      </c>
      <c r="AI629">
        <v>36.72</v>
      </c>
      <c r="AJ629">
        <v>0.18360000000000001</v>
      </c>
      <c r="AK629" t="s">
        <v>54</v>
      </c>
      <c r="AL629">
        <v>0.28999999999999998</v>
      </c>
      <c r="AM629" s="4">
        <f t="shared" si="73"/>
        <v>36.72</v>
      </c>
      <c r="AN629" s="4">
        <f t="shared" si="74"/>
        <v>64.875</v>
      </c>
      <c r="AO629" s="4">
        <f t="shared" si="75"/>
        <v>72.076125000000005</v>
      </c>
      <c r="AP629" s="4">
        <f t="shared" si="76"/>
        <v>105.09101249999999</v>
      </c>
      <c r="AQ629" s="10">
        <f t="shared" si="77"/>
        <v>63.859752</v>
      </c>
      <c r="AR629" s="10">
        <f t="shared" si="78"/>
        <v>70.954570447199998</v>
      </c>
      <c r="AS629" s="10">
        <f t="shared" si="79"/>
        <v>99.416861913600002</v>
      </c>
    </row>
    <row r="630" spans="1:45" x14ac:dyDescent="0.3">
      <c r="A630">
        <v>2025</v>
      </c>
      <c r="B630">
        <v>8</v>
      </c>
      <c r="C630" t="s">
        <v>55</v>
      </c>
      <c r="D630">
        <v>10</v>
      </c>
      <c r="E630" t="s">
        <v>36</v>
      </c>
      <c r="F630" t="s">
        <v>37</v>
      </c>
      <c r="G630" t="s">
        <v>38</v>
      </c>
      <c r="H630" t="s">
        <v>622</v>
      </c>
      <c r="I630" t="s">
        <v>190</v>
      </c>
      <c r="J630" t="s">
        <v>58</v>
      </c>
      <c r="K630" t="s">
        <v>59</v>
      </c>
      <c r="L630" t="s">
        <v>1194</v>
      </c>
      <c r="M630" t="s">
        <v>1195</v>
      </c>
      <c r="N630" t="s">
        <v>1196</v>
      </c>
      <c r="O630" t="s">
        <v>1197</v>
      </c>
      <c r="Q630" t="s">
        <v>62</v>
      </c>
      <c r="R630" t="s">
        <v>1198</v>
      </c>
      <c r="S630" t="s">
        <v>1198</v>
      </c>
      <c r="T630" t="s">
        <v>47</v>
      </c>
      <c r="U630" t="s">
        <v>367</v>
      </c>
      <c r="V630" t="s">
        <v>49</v>
      </c>
      <c r="W630" t="s">
        <v>935</v>
      </c>
      <c r="X630" t="s">
        <v>388</v>
      </c>
      <c r="Y630" t="s">
        <v>369</v>
      </c>
      <c r="Z630" t="s">
        <v>369</v>
      </c>
      <c r="AA630" t="s">
        <v>657</v>
      </c>
      <c r="AB630" s="3">
        <f t="shared" si="72"/>
        <v>1.3599999999999874</v>
      </c>
      <c r="AC630">
        <v>51.97</v>
      </c>
      <c r="AD630" s="2">
        <v>38.213235294118</v>
      </c>
      <c r="AE630" s="2">
        <v>15.32</v>
      </c>
      <c r="AF630" s="2">
        <v>0.32</v>
      </c>
      <c r="AG630" s="2">
        <v>67.61</v>
      </c>
      <c r="AH630">
        <v>0</v>
      </c>
      <c r="AI630">
        <v>49.713235294118</v>
      </c>
      <c r="AJ630">
        <v>0.33805000000000002</v>
      </c>
      <c r="AK630" t="s">
        <v>54</v>
      </c>
      <c r="AL630">
        <v>0.78</v>
      </c>
      <c r="AM630" s="4">
        <f t="shared" si="73"/>
        <v>49.713235294118107</v>
      </c>
      <c r="AN630" s="4">
        <f t="shared" si="74"/>
        <v>71.649816176471248</v>
      </c>
      <c r="AO630" s="4">
        <f t="shared" si="75"/>
        <v>79.602945772059556</v>
      </c>
      <c r="AP630" s="4">
        <f t="shared" si="76"/>
        <v>116.06553722426577</v>
      </c>
      <c r="AQ630" s="10">
        <f t="shared" si="77"/>
        <v>86.456287500000798</v>
      </c>
      <c r="AR630" s="10">
        <f t="shared" si="78"/>
        <v>96.061581041250889</v>
      </c>
      <c r="AS630" s="10">
        <f t="shared" si="79"/>
        <v>134.59514838000123</v>
      </c>
    </row>
    <row r="631" spans="1:45" x14ac:dyDescent="0.3">
      <c r="A631">
        <v>2025</v>
      </c>
      <c r="B631">
        <v>11</v>
      </c>
      <c r="C631" t="s">
        <v>55</v>
      </c>
      <c r="D631">
        <v>10</v>
      </c>
      <c r="E631" t="s">
        <v>36</v>
      </c>
      <c r="F631" t="s">
        <v>37</v>
      </c>
      <c r="G631" t="s">
        <v>38</v>
      </c>
      <c r="H631" t="s">
        <v>622</v>
      </c>
      <c r="I631" t="s">
        <v>375</v>
      </c>
      <c r="J631" t="s">
        <v>376</v>
      </c>
      <c r="K631" t="s">
        <v>51</v>
      </c>
      <c r="L631" t="s">
        <v>1622</v>
      </c>
      <c r="M631" t="s">
        <v>1623</v>
      </c>
      <c r="N631" t="s">
        <v>1485</v>
      </c>
      <c r="O631" t="s">
        <v>1197</v>
      </c>
      <c r="Q631" t="s">
        <v>62</v>
      </c>
      <c r="R631" t="s">
        <v>1624</v>
      </c>
      <c r="S631" t="s">
        <v>1624</v>
      </c>
      <c r="T631" t="s">
        <v>47</v>
      </c>
      <c r="U631" t="s">
        <v>367</v>
      </c>
      <c r="V631" t="s">
        <v>89</v>
      </c>
      <c r="W631" t="s">
        <v>935</v>
      </c>
      <c r="X631" t="s">
        <v>51</v>
      </c>
      <c r="Y631" t="s">
        <v>369</v>
      </c>
      <c r="Z631" t="s">
        <v>369</v>
      </c>
      <c r="AA631" t="s">
        <v>657</v>
      </c>
      <c r="AB631" s="3">
        <f t="shared" si="72"/>
        <v>1</v>
      </c>
      <c r="AC631">
        <v>39.71</v>
      </c>
      <c r="AD631" s="2">
        <v>39.71</v>
      </c>
      <c r="AE631" s="2">
        <v>2.85</v>
      </c>
      <c r="AF631" s="2">
        <v>0.26</v>
      </c>
      <c r="AG631" s="2">
        <v>42.82</v>
      </c>
      <c r="AH631">
        <v>0</v>
      </c>
      <c r="AI631">
        <v>42.82</v>
      </c>
      <c r="AJ631">
        <v>0.21410000000000001</v>
      </c>
      <c r="AK631" t="s">
        <v>54</v>
      </c>
      <c r="AL631">
        <v>0.33</v>
      </c>
      <c r="AM631" s="4">
        <f t="shared" si="73"/>
        <v>42.82</v>
      </c>
      <c r="AN631" s="4">
        <f t="shared" si="74"/>
        <v>74.456249999999997</v>
      </c>
      <c r="AO631" s="4">
        <f t="shared" si="75"/>
        <v>82.720893750000002</v>
      </c>
      <c r="AP631" s="4">
        <f t="shared" si="76"/>
        <v>120.61167937499999</v>
      </c>
      <c r="AQ631" s="10">
        <f t="shared" si="77"/>
        <v>74.46826200000001</v>
      </c>
      <c r="AR631" s="10">
        <f t="shared" si="78"/>
        <v>82.741685908200012</v>
      </c>
      <c r="AS631" s="10">
        <f t="shared" si="79"/>
        <v>115.93219028160001</v>
      </c>
    </row>
    <row r="632" spans="1:45" x14ac:dyDescent="0.3">
      <c r="A632">
        <v>2025</v>
      </c>
      <c r="B632">
        <v>11</v>
      </c>
      <c r="C632" t="s">
        <v>55</v>
      </c>
      <c r="D632">
        <v>10</v>
      </c>
      <c r="E632" t="s">
        <v>36</v>
      </c>
      <c r="F632" t="s">
        <v>37</v>
      </c>
      <c r="G632" t="s">
        <v>38</v>
      </c>
      <c r="H632" t="s">
        <v>622</v>
      </c>
      <c r="I632" t="s">
        <v>375</v>
      </c>
      <c r="J632" t="s">
        <v>376</v>
      </c>
      <c r="K632" t="s">
        <v>59</v>
      </c>
      <c r="L632" t="s">
        <v>1647</v>
      </c>
      <c r="M632" t="s">
        <v>1633</v>
      </c>
      <c r="N632" t="s">
        <v>1485</v>
      </c>
      <c r="O632" t="s">
        <v>1197</v>
      </c>
      <c r="Q632" t="s">
        <v>62</v>
      </c>
      <c r="R632" t="s">
        <v>1648</v>
      </c>
      <c r="S632" t="s">
        <v>1648</v>
      </c>
      <c r="T632" t="s">
        <v>47</v>
      </c>
      <c r="U632" t="s">
        <v>367</v>
      </c>
      <c r="V632" t="s">
        <v>89</v>
      </c>
      <c r="W632" t="s">
        <v>935</v>
      </c>
      <c r="X632" t="s">
        <v>51</v>
      </c>
      <c r="Y632" t="s">
        <v>1754</v>
      </c>
      <c r="Z632" t="s">
        <v>1754</v>
      </c>
      <c r="AA632" t="s">
        <v>657</v>
      </c>
      <c r="AB632" s="3">
        <f t="shared" si="72"/>
        <v>2</v>
      </c>
      <c r="AC632">
        <v>76.53</v>
      </c>
      <c r="AD632" s="2">
        <v>38.265000000000001</v>
      </c>
      <c r="AE632" s="2">
        <v>10.72</v>
      </c>
      <c r="AF632" s="2">
        <v>0.53</v>
      </c>
      <c r="AG632" s="2">
        <v>87.77</v>
      </c>
      <c r="AH632">
        <v>0</v>
      </c>
      <c r="AI632">
        <v>43.884999999999998</v>
      </c>
      <c r="AJ632">
        <v>0.43885000000000002</v>
      </c>
      <c r="AK632" t="s">
        <v>54</v>
      </c>
      <c r="AL632">
        <v>0.57999999999999996</v>
      </c>
      <c r="AM632" s="4">
        <f t="shared" si="73"/>
        <v>43.884999999999998</v>
      </c>
      <c r="AN632" s="4">
        <f t="shared" si="74"/>
        <v>71.746875000000003</v>
      </c>
      <c r="AO632" s="4">
        <f t="shared" si="75"/>
        <v>79.710778125000004</v>
      </c>
      <c r="AP632" s="4">
        <f t="shared" si="76"/>
        <v>116.22276281249999</v>
      </c>
      <c r="AQ632" s="10">
        <f t="shared" si="77"/>
        <v>76.320403499999998</v>
      </c>
      <c r="AR632" s="10">
        <f t="shared" si="78"/>
        <v>84.799600328849991</v>
      </c>
      <c r="AS632" s="10">
        <f t="shared" si="79"/>
        <v>118.81560416879999</v>
      </c>
    </row>
    <row r="633" spans="1:45" x14ac:dyDescent="0.3">
      <c r="A633">
        <v>2025</v>
      </c>
      <c r="B633">
        <v>4</v>
      </c>
      <c r="C633" t="s">
        <v>55</v>
      </c>
      <c r="D633">
        <v>10</v>
      </c>
      <c r="E633" t="s">
        <v>36</v>
      </c>
      <c r="F633" t="s">
        <v>37</v>
      </c>
      <c r="G633" t="s">
        <v>38</v>
      </c>
      <c r="H633" t="s">
        <v>83</v>
      </c>
      <c r="I633" t="s">
        <v>375</v>
      </c>
      <c r="J633" t="s">
        <v>376</v>
      </c>
      <c r="K633" t="s">
        <v>59</v>
      </c>
      <c r="M633">
        <v>2503061</v>
      </c>
      <c r="N633" t="s">
        <v>377</v>
      </c>
      <c r="O633" t="s">
        <v>36</v>
      </c>
      <c r="Q633" t="s">
        <v>62</v>
      </c>
      <c r="R633" t="s">
        <v>378</v>
      </c>
      <c r="S633" t="s">
        <v>378</v>
      </c>
      <c r="T633" t="s">
        <v>47</v>
      </c>
      <c r="U633" t="s">
        <v>518</v>
      </c>
      <c r="V633" t="s">
        <v>49</v>
      </c>
      <c r="W633" t="s">
        <v>519</v>
      </c>
      <c r="X633" t="s">
        <v>51</v>
      </c>
      <c r="Y633" t="s">
        <v>369</v>
      </c>
      <c r="Z633" t="s">
        <v>369</v>
      </c>
      <c r="AA633" t="s">
        <v>657</v>
      </c>
      <c r="AB633" s="3">
        <f t="shared" si="72"/>
        <v>2</v>
      </c>
      <c r="AC633">
        <v>79.83</v>
      </c>
      <c r="AD633" s="2">
        <v>39.914999999999999</v>
      </c>
      <c r="AE633" s="2">
        <v>26.83</v>
      </c>
      <c r="AF633" s="2">
        <v>0.63</v>
      </c>
      <c r="AG633" s="2">
        <v>107.28</v>
      </c>
      <c r="AH633">
        <v>0</v>
      </c>
      <c r="AI633">
        <v>53.64</v>
      </c>
      <c r="AJ633">
        <v>0.53639999999999999</v>
      </c>
      <c r="AK633" t="s">
        <v>54</v>
      </c>
      <c r="AL633">
        <v>0.69</v>
      </c>
      <c r="AM633" s="4">
        <f t="shared" si="73"/>
        <v>53.64</v>
      </c>
      <c r="AN633" s="4">
        <f t="shared" si="74"/>
        <v>74.840625000000003</v>
      </c>
      <c r="AO633" s="4">
        <f t="shared" si="75"/>
        <v>83.147934375000006</v>
      </c>
      <c r="AP633" s="4">
        <f t="shared" si="76"/>
        <v>121.2343284375</v>
      </c>
      <c r="AQ633" s="10">
        <f t="shared" si="77"/>
        <v>93.285324000000003</v>
      </c>
      <c r="AR633" s="10">
        <f t="shared" si="78"/>
        <v>103.6493234964</v>
      </c>
      <c r="AS633" s="10">
        <f t="shared" si="79"/>
        <v>145.22659240319999</v>
      </c>
    </row>
    <row r="634" spans="1:45" x14ac:dyDescent="0.3">
      <c r="A634">
        <v>2025</v>
      </c>
      <c r="B634">
        <v>11</v>
      </c>
      <c r="C634" t="s">
        <v>55</v>
      </c>
      <c r="D634">
        <v>10</v>
      </c>
      <c r="E634" t="s">
        <v>36</v>
      </c>
      <c r="F634" t="s">
        <v>37</v>
      </c>
      <c r="G634" t="s">
        <v>38</v>
      </c>
      <c r="H634" t="s">
        <v>542</v>
      </c>
      <c r="I634" t="s">
        <v>375</v>
      </c>
      <c r="J634" t="s">
        <v>376</v>
      </c>
      <c r="K634" t="s">
        <v>59</v>
      </c>
      <c r="L634" t="s">
        <v>1647</v>
      </c>
      <c r="M634" t="s">
        <v>1633</v>
      </c>
      <c r="N634" t="s">
        <v>1485</v>
      </c>
      <c r="O634" t="s">
        <v>1197</v>
      </c>
      <c r="Q634" t="s">
        <v>62</v>
      </c>
      <c r="R634" t="s">
        <v>1648</v>
      </c>
      <c r="S634" t="s">
        <v>1648</v>
      </c>
      <c r="T634" t="s">
        <v>47</v>
      </c>
      <c r="U634" t="s">
        <v>518</v>
      </c>
      <c r="V634" t="s">
        <v>49</v>
      </c>
      <c r="W634" t="s">
        <v>1361</v>
      </c>
      <c r="X634" t="s">
        <v>51</v>
      </c>
      <c r="Y634" t="s">
        <v>520</v>
      </c>
      <c r="Z634" t="s">
        <v>520</v>
      </c>
      <c r="AA634" t="s">
        <v>521</v>
      </c>
      <c r="AB634" s="3">
        <f t="shared" si="72"/>
        <v>2</v>
      </c>
      <c r="AC634">
        <v>436.09</v>
      </c>
      <c r="AD634" s="2">
        <v>218.04499999999999</v>
      </c>
      <c r="AE634" s="2">
        <v>47.15</v>
      </c>
      <c r="AF634" s="2">
        <v>3.09</v>
      </c>
      <c r="AG634" s="2">
        <v>486.33</v>
      </c>
      <c r="AH634">
        <v>0</v>
      </c>
      <c r="AI634">
        <v>243.16499999999999</v>
      </c>
      <c r="AJ634">
        <v>2.4316499999999999</v>
      </c>
      <c r="AK634" t="s">
        <v>54</v>
      </c>
      <c r="AL634">
        <v>2.25</v>
      </c>
      <c r="AM634" s="4">
        <f t="shared" si="73"/>
        <v>243.16499999999999</v>
      </c>
      <c r="AN634" s="4">
        <f t="shared" si="74"/>
        <v>408.83437499999997</v>
      </c>
      <c r="AO634" s="4">
        <f t="shared" si="75"/>
        <v>454.21499062499998</v>
      </c>
      <c r="AP634" s="4">
        <f t="shared" si="76"/>
        <v>662.27080406249991</v>
      </c>
      <c r="AQ634" s="10">
        <f t="shared" si="77"/>
        <v>422.88825150000002</v>
      </c>
      <c r="AR634" s="10">
        <f t="shared" si="78"/>
        <v>469.87113624164999</v>
      </c>
      <c r="AS634" s="10">
        <f t="shared" si="79"/>
        <v>658.35242993520001</v>
      </c>
    </row>
    <row r="635" spans="1:45" x14ac:dyDescent="0.3">
      <c r="A635">
        <v>2025</v>
      </c>
      <c r="B635">
        <v>6</v>
      </c>
      <c r="C635" t="s">
        <v>55</v>
      </c>
      <c r="D635">
        <v>10</v>
      </c>
      <c r="E635" t="s">
        <v>36</v>
      </c>
      <c r="F635" t="s">
        <v>37</v>
      </c>
      <c r="G635" t="s">
        <v>38</v>
      </c>
      <c r="H635" t="s">
        <v>83</v>
      </c>
      <c r="I635" t="s">
        <v>190</v>
      </c>
      <c r="J635" t="s">
        <v>58</v>
      </c>
      <c r="K635" t="s">
        <v>59</v>
      </c>
      <c r="M635" t="s">
        <v>730</v>
      </c>
      <c r="N635" t="s">
        <v>731</v>
      </c>
      <c r="O635" t="s">
        <v>36</v>
      </c>
      <c r="Q635" t="s">
        <v>62</v>
      </c>
      <c r="R635" t="s">
        <v>732</v>
      </c>
      <c r="S635" t="s">
        <v>732</v>
      </c>
      <c r="T635" t="s">
        <v>47</v>
      </c>
      <c r="U635" t="s">
        <v>649</v>
      </c>
      <c r="V635" t="s">
        <v>49</v>
      </c>
      <c r="W635" t="s">
        <v>928</v>
      </c>
      <c r="X635" t="s">
        <v>686</v>
      </c>
      <c r="Y635" t="s">
        <v>1364</v>
      </c>
      <c r="Z635" t="s">
        <v>1364</v>
      </c>
      <c r="AA635" t="s">
        <v>521</v>
      </c>
      <c r="AB635" s="3">
        <f t="shared" si="72"/>
        <v>3</v>
      </c>
      <c r="AC635">
        <v>690.36</v>
      </c>
      <c r="AD635" s="2">
        <v>230.12</v>
      </c>
      <c r="AE635" s="2">
        <v>232.9</v>
      </c>
      <c r="AF635" s="2">
        <v>5.46</v>
      </c>
      <c r="AG635" s="2">
        <v>927.92</v>
      </c>
      <c r="AH635">
        <v>0</v>
      </c>
      <c r="AI635">
        <v>309.30666666667003</v>
      </c>
      <c r="AJ635">
        <v>4.6395999999999997</v>
      </c>
      <c r="AK635" t="s">
        <v>54</v>
      </c>
      <c r="AL635">
        <v>5.97</v>
      </c>
      <c r="AM635" s="4">
        <f t="shared" si="73"/>
        <v>309.30666666666667</v>
      </c>
      <c r="AN635" s="4">
        <f t="shared" si="74"/>
        <v>431.47500000000002</v>
      </c>
      <c r="AO635" s="4">
        <f t="shared" si="75"/>
        <v>479.36872500000004</v>
      </c>
      <c r="AP635" s="4">
        <f t="shared" si="76"/>
        <v>698.94635249999999</v>
      </c>
      <c r="AQ635" s="10">
        <f t="shared" si="77"/>
        <v>537.91522400000008</v>
      </c>
      <c r="AR635" s="10">
        <f t="shared" si="78"/>
        <v>597.67760538640005</v>
      </c>
      <c r="AS635" s="10">
        <f t="shared" si="79"/>
        <v>837.42642072320007</v>
      </c>
    </row>
    <row r="636" spans="1:45" x14ac:dyDescent="0.3">
      <c r="A636">
        <v>2025</v>
      </c>
      <c r="B636">
        <v>6</v>
      </c>
      <c r="C636" t="s">
        <v>55</v>
      </c>
      <c r="D636">
        <v>10</v>
      </c>
      <c r="E636" t="s">
        <v>36</v>
      </c>
      <c r="F636" t="s">
        <v>37</v>
      </c>
      <c r="G636" t="s">
        <v>38</v>
      </c>
      <c r="H636" t="s">
        <v>83</v>
      </c>
      <c r="I636" t="s">
        <v>190</v>
      </c>
      <c r="J636" t="s">
        <v>58</v>
      </c>
      <c r="K636" t="s">
        <v>59</v>
      </c>
      <c r="M636" t="s">
        <v>730</v>
      </c>
      <c r="N636" t="s">
        <v>731</v>
      </c>
      <c r="O636" t="s">
        <v>36</v>
      </c>
      <c r="Q636" t="s">
        <v>62</v>
      </c>
      <c r="R636" t="s">
        <v>732</v>
      </c>
      <c r="S636" t="s">
        <v>732</v>
      </c>
      <c r="T636" t="s">
        <v>47</v>
      </c>
      <c r="U636" t="s">
        <v>356</v>
      </c>
      <c r="V636" t="s">
        <v>49</v>
      </c>
      <c r="W636" t="s">
        <v>357</v>
      </c>
      <c r="X636" t="s">
        <v>686</v>
      </c>
      <c r="Y636" t="s">
        <v>929</v>
      </c>
      <c r="Z636" t="s">
        <v>929</v>
      </c>
      <c r="AA636" t="s">
        <v>930</v>
      </c>
      <c r="AB636" s="3">
        <f t="shared" si="72"/>
        <v>1</v>
      </c>
      <c r="AC636">
        <v>527.26</v>
      </c>
      <c r="AD636" s="2">
        <v>527.26</v>
      </c>
      <c r="AE636" s="2">
        <v>111.48</v>
      </c>
      <c r="AF636" s="2">
        <v>3.9</v>
      </c>
      <c r="AG636" s="2">
        <v>642.64</v>
      </c>
      <c r="AH636">
        <v>0</v>
      </c>
      <c r="AI636">
        <v>642.64</v>
      </c>
      <c r="AJ636">
        <v>3.2132000000000001</v>
      </c>
      <c r="AK636" t="s">
        <v>54</v>
      </c>
      <c r="AL636">
        <v>3.81</v>
      </c>
      <c r="AM636" s="4">
        <f t="shared" si="73"/>
        <v>642.64</v>
      </c>
      <c r="AN636" s="4">
        <f t="shared" si="74"/>
        <v>988.61249999999995</v>
      </c>
      <c r="AO636" s="4">
        <f t="shared" si="75"/>
        <v>1098.3484874999999</v>
      </c>
      <c r="AP636" s="4">
        <f t="shared" si="76"/>
        <v>1601.4533887499999</v>
      </c>
      <c r="AQ636" s="10">
        <f t="shared" si="77"/>
        <v>1117.6152240000001</v>
      </c>
      <c r="AR636" s="10">
        <f t="shared" si="78"/>
        <v>1241.7822753864002</v>
      </c>
      <c r="AS636" s="10">
        <f t="shared" si="79"/>
        <v>1739.9033807232001</v>
      </c>
    </row>
    <row r="637" spans="1:45" x14ac:dyDescent="0.3">
      <c r="A637">
        <v>2025</v>
      </c>
      <c r="B637">
        <v>7</v>
      </c>
      <c r="C637" t="s">
        <v>55</v>
      </c>
      <c r="D637">
        <v>10</v>
      </c>
      <c r="E637" t="s">
        <v>36</v>
      </c>
      <c r="F637" t="s">
        <v>37</v>
      </c>
      <c r="G637" t="s">
        <v>38</v>
      </c>
      <c r="H637" t="s">
        <v>78</v>
      </c>
      <c r="I637" t="s">
        <v>190</v>
      </c>
      <c r="J637" t="s">
        <v>58</v>
      </c>
      <c r="K637" t="s">
        <v>41</v>
      </c>
      <c r="L637" t="s">
        <v>953</v>
      </c>
      <c r="M637" t="s">
        <v>954</v>
      </c>
      <c r="N637" t="s">
        <v>731</v>
      </c>
      <c r="O637" t="s">
        <v>36</v>
      </c>
      <c r="Q637" t="s">
        <v>62</v>
      </c>
      <c r="R637" t="s">
        <v>955</v>
      </c>
      <c r="S637" t="s">
        <v>956</v>
      </c>
      <c r="T637" t="s">
        <v>47</v>
      </c>
      <c r="U637" t="s">
        <v>114</v>
      </c>
      <c r="V637" t="s">
        <v>49</v>
      </c>
      <c r="W637" t="s">
        <v>710</v>
      </c>
      <c r="X637" t="s">
        <v>51</v>
      </c>
      <c r="Y637" t="s">
        <v>892</v>
      </c>
      <c r="Z637" t="s">
        <v>892</v>
      </c>
      <c r="AA637" t="s">
        <v>893</v>
      </c>
      <c r="AB637" s="3">
        <f t="shared" si="72"/>
        <v>1</v>
      </c>
      <c r="AC637">
        <v>528.58000000000004</v>
      </c>
      <c r="AD637" s="2">
        <v>528.58000000000004</v>
      </c>
      <c r="AE637" s="2">
        <v>111.76</v>
      </c>
      <c r="AF637" s="2">
        <v>3.91</v>
      </c>
      <c r="AG637" s="2">
        <v>644.25</v>
      </c>
      <c r="AH637">
        <v>0</v>
      </c>
      <c r="AI637">
        <v>644.25</v>
      </c>
      <c r="AJ637">
        <v>3.2212499999999999</v>
      </c>
      <c r="AK637" t="s">
        <v>54</v>
      </c>
      <c r="AL637">
        <v>3.82</v>
      </c>
      <c r="AM637" s="4">
        <f t="shared" si="73"/>
        <v>644.25</v>
      </c>
      <c r="AN637" s="4">
        <f t="shared" si="74"/>
        <v>991.08750000000009</v>
      </c>
      <c r="AO637" s="4">
        <f t="shared" si="75"/>
        <v>1101.0982125</v>
      </c>
      <c r="AP637" s="4">
        <f t="shared" si="76"/>
        <v>1605.4626412499999</v>
      </c>
      <c r="AQ637" s="10">
        <f t="shared" si="77"/>
        <v>1120.4151750000001</v>
      </c>
      <c r="AR637" s="10">
        <f t="shared" si="78"/>
        <v>1244.8933009425</v>
      </c>
      <c r="AS637" s="10">
        <f t="shared" si="79"/>
        <v>1744.2623444400001</v>
      </c>
    </row>
    <row r="638" spans="1:45" x14ac:dyDescent="0.3">
      <c r="A638">
        <v>2025</v>
      </c>
      <c r="B638">
        <v>3</v>
      </c>
      <c r="C638" t="s">
        <v>55</v>
      </c>
      <c r="D638">
        <v>10</v>
      </c>
      <c r="E638" t="s">
        <v>36</v>
      </c>
      <c r="F638" t="s">
        <v>37</v>
      </c>
      <c r="G638" t="s">
        <v>38</v>
      </c>
      <c r="H638" t="s">
        <v>83</v>
      </c>
      <c r="I638" t="s">
        <v>190</v>
      </c>
      <c r="J638" t="s">
        <v>58</v>
      </c>
      <c r="K638" t="s">
        <v>59</v>
      </c>
      <c r="M638" t="s">
        <v>209</v>
      </c>
      <c r="N638" t="s">
        <v>61</v>
      </c>
      <c r="O638" t="s">
        <v>43</v>
      </c>
      <c r="Q638" t="s">
        <v>62</v>
      </c>
      <c r="R638" t="s">
        <v>210</v>
      </c>
      <c r="S638" t="s">
        <v>211</v>
      </c>
      <c r="T638" t="s">
        <v>47</v>
      </c>
      <c r="U638" t="s">
        <v>118</v>
      </c>
      <c r="V638" t="s">
        <v>49</v>
      </c>
      <c r="W638" t="s">
        <v>119</v>
      </c>
      <c r="X638" t="s">
        <v>51</v>
      </c>
      <c r="Y638" t="s">
        <v>1072</v>
      </c>
      <c r="Z638" t="s">
        <v>1072</v>
      </c>
      <c r="AA638" t="s">
        <v>1073</v>
      </c>
      <c r="AB638" s="3">
        <f t="shared" si="72"/>
        <v>1</v>
      </c>
      <c r="AC638">
        <v>32.9</v>
      </c>
      <c r="AD638" s="2">
        <v>32.9</v>
      </c>
      <c r="AE638" s="2">
        <v>29.4</v>
      </c>
      <c r="AF638" s="2">
        <v>0.2</v>
      </c>
      <c r="AG638" s="2">
        <v>61.33</v>
      </c>
      <c r="AH638">
        <v>0</v>
      </c>
      <c r="AI638">
        <v>61.33</v>
      </c>
      <c r="AJ638">
        <v>0.30664999999999998</v>
      </c>
      <c r="AK638" t="s">
        <v>54</v>
      </c>
      <c r="AL638">
        <v>2.17</v>
      </c>
      <c r="AM638" s="4">
        <f t="shared" si="73"/>
        <v>61.33</v>
      </c>
      <c r="AN638" s="4">
        <f t="shared" si="74"/>
        <v>61.6875</v>
      </c>
      <c r="AO638" s="4">
        <f t="shared" si="75"/>
        <v>68.534812500000001</v>
      </c>
      <c r="AP638" s="4">
        <f t="shared" si="76"/>
        <v>99.927581249999989</v>
      </c>
      <c r="AQ638" s="10">
        <f t="shared" si="77"/>
        <v>106.659003</v>
      </c>
      <c r="AR638" s="10">
        <f t="shared" si="78"/>
        <v>118.50881823329999</v>
      </c>
      <c r="AS638" s="10">
        <f t="shared" si="79"/>
        <v>166.0467358704</v>
      </c>
    </row>
    <row r="639" spans="1:45" x14ac:dyDescent="0.3">
      <c r="A639">
        <v>2025</v>
      </c>
      <c r="B639">
        <v>3</v>
      </c>
      <c r="C639" t="s">
        <v>55</v>
      </c>
      <c r="D639">
        <v>10</v>
      </c>
      <c r="E639" t="s">
        <v>36</v>
      </c>
      <c r="F639" t="s">
        <v>37</v>
      </c>
      <c r="G639" t="s">
        <v>38</v>
      </c>
      <c r="H639" t="s">
        <v>83</v>
      </c>
      <c r="I639" t="s">
        <v>190</v>
      </c>
      <c r="J639" t="s">
        <v>58</v>
      </c>
      <c r="K639" t="s">
        <v>59</v>
      </c>
      <c r="M639" t="s">
        <v>209</v>
      </c>
      <c r="N639" t="s">
        <v>61</v>
      </c>
      <c r="O639" t="s">
        <v>43</v>
      </c>
      <c r="Q639" t="s">
        <v>62</v>
      </c>
      <c r="R639" t="s">
        <v>210</v>
      </c>
      <c r="S639" t="s">
        <v>211</v>
      </c>
      <c r="T639" t="s">
        <v>47</v>
      </c>
      <c r="U639" t="s">
        <v>118</v>
      </c>
      <c r="V639" t="s">
        <v>49</v>
      </c>
      <c r="W639" t="s">
        <v>119</v>
      </c>
      <c r="X639" t="s">
        <v>51</v>
      </c>
      <c r="Y639" t="s">
        <v>116</v>
      </c>
      <c r="Z639" t="s">
        <v>64</v>
      </c>
      <c r="AA639" t="s">
        <v>329</v>
      </c>
      <c r="AB639" s="3">
        <f t="shared" si="72"/>
        <v>2</v>
      </c>
      <c r="AC639">
        <v>619.46</v>
      </c>
      <c r="AD639" s="2">
        <v>309.73</v>
      </c>
      <c r="AE639" s="2">
        <v>138.37</v>
      </c>
      <c r="AF639" s="2">
        <v>4.54</v>
      </c>
      <c r="AG639" s="2">
        <v>762.36</v>
      </c>
      <c r="AH639">
        <v>0</v>
      </c>
      <c r="AI639">
        <v>381.18</v>
      </c>
      <c r="AJ639">
        <v>3.8117999999999999</v>
      </c>
      <c r="AK639" t="s">
        <v>54</v>
      </c>
      <c r="AL639">
        <v>4.4000000000000004</v>
      </c>
      <c r="AM639" s="4">
        <f t="shared" si="73"/>
        <v>381.18</v>
      </c>
      <c r="AN639" s="4">
        <f t="shared" si="74"/>
        <v>580.74375000000009</v>
      </c>
      <c r="AO639" s="4">
        <f t="shared" si="75"/>
        <v>645.20630625000013</v>
      </c>
      <c r="AP639" s="4">
        <f t="shared" si="76"/>
        <v>940.74680062500011</v>
      </c>
      <c r="AQ639" s="10">
        <f t="shared" si="77"/>
        <v>662.91013800000007</v>
      </c>
      <c r="AR639" s="10">
        <f t="shared" si="78"/>
        <v>736.55945433180011</v>
      </c>
      <c r="AS639" s="10">
        <f t="shared" si="79"/>
        <v>1032.0185028384001</v>
      </c>
    </row>
    <row r="640" spans="1:45" x14ac:dyDescent="0.3">
      <c r="A640">
        <v>2025</v>
      </c>
      <c r="B640">
        <v>3</v>
      </c>
      <c r="C640" t="s">
        <v>55</v>
      </c>
      <c r="D640">
        <v>10</v>
      </c>
      <c r="E640" t="s">
        <v>36</v>
      </c>
      <c r="F640" t="s">
        <v>37</v>
      </c>
      <c r="G640" t="s">
        <v>38</v>
      </c>
      <c r="H640" t="s">
        <v>83</v>
      </c>
      <c r="I640" t="s">
        <v>190</v>
      </c>
      <c r="J640" t="s">
        <v>58</v>
      </c>
      <c r="K640" t="s">
        <v>59</v>
      </c>
      <c r="M640" t="s">
        <v>209</v>
      </c>
      <c r="N640" t="s">
        <v>61</v>
      </c>
      <c r="O640" t="s">
        <v>43</v>
      </c>
      <c r="Q640" t="s">
        <v>62</v>
      </c>
      <c r="R640" t="s">
        <v>210</v>
      </c>
      <c r="S640" t="s">
        <v>211</v>
      </c>
      <c r="T640" t="s">
        <v>47</v>
      </c>
      <c r="U640" t="s">
        <v>105</v>
      </c>
      <c r="V640" t="s">
        <v>49</v>
      </c>
      <c r="W640" t="s">
        <v>106</v>
      </c>
      <c r="X640" t="s">
        <v>51</v>
      </c>
      <c r="Y640" t="s">
        <v>278</v>
      </c>
      <c r="Z640" t="s">
        <v>64</v>
      </c>
      <c r="AA640" t="s">
        <v>328</v>
      </c>
      <c r="AB640" s="3">
        <f t="shared" si="72"/>
        <v>5.9999999999999991</v>
      </c>
      <c r="AC640">
        <v>483.33</v>
      </c>
      <c r="AD640" s="2">
        <v>80.555000000000007</v>
      </c>
      <c r="AE640" s="2">
        <v>107.96</v>
      </c>
      <c r="AF640" s="2">
        <v>3.54</v>
      </c>
      <c r="AG640" s="2">
        <v>594.83000000000004</v>
      </c>
      <c r="AH640">
        <v>0</v>
      </c>
      <c r="AI640">
        <v>99.138333333332994</v>
      </c>
      <c r="AJ640">
        <v>2.9741499999999998</v>
      </c>
      <c r="AK640" t="s">
        <v>54</v>
      </c>
      <c r="AL640">
        <v>13.21</v>
      </c>
      <c r="AM640" s="4">
        <f t="shared" si="73"/>
        <v>99.13833333333335</v>
      </c>
      <c r="AN640" s="4">
        <f t="shared" si="74"/>
        <v>151.04062500000001</v>
      </c>
      <c r="AO640" s="4">
        <f t="shared" si="75"/>
        <v>167.806134375</v>
      </c>
      <c r="AP640" s="4">
        <f t="shared" si="76"/>
        <v>244.6707084375</v>
      </c>
      <c r="AQ640" s="10">
        <f t="shared" si="77"/>
        <v>172.41147550000005</v>
      </c>
      <c r="AR640" s="10">
        <f t="shared" si="78"/>
        <v>191.56639042805006</v>
      </c>
      <c r="AS640" s="10">
        <f t="shared" si="79"/>
        <v>268.41018505840009</v>
      </c>
    </row>
    <row r="641" spans="1:45" x14ac:dyDescent="0.3">
      <c r="A641">
        <v>2025</v>
      </c>
      <c r="B641">
        <v>8</v>
      </c>
      <c r="C641" t="s">
        <v>55</v>
      </c>
      <c r="D641">
        <v>10</v>
      </c>
      <c r="E641" t="s">
        <v>36</v>
      </c>
      <c r="F641" t="s">
        <v>37</v>
      </c>
      <c r="G641" t="s">
        <v>38</v>
      </c>
      <c r="H641" t="s">
        <v>83</v>
      </c>
      <c r="I641" t="s">
        <v>190</v>
      </c>
      <c r="J641" t="s">
        <v>58</v>
      </c>
      <c r="K641" t="s">
        <v>59</v>
      </c>
      <c r="L641" t="s">
        <v>1194</v>
      </c>
      <c r="M641" t="s">
        <v>1195</v>
      </c>
      <c r="N641" t="s">
        <v>1196</v>
      </c>
      <c r="O641" t="s">
        <v>1197</v>
      </c>
      <c r="Q641" t="s">
        <v>62</v>
      </c>
      <c r="R641" t="s">
        <v>1198</v>
      </c>
      <c r="S641" t="s">
        <v>1198</v>
      </c>
      <c r="T641" t="s">
        <v>47</v>
      </c>
      <c r="U641" t="s">
        <v>105</v>
      </c>
      <c r="V641" t="s">
        <v>49</v>
      </c>
      <c r="W641" t="s">
        <v>708</v>
      </c>
      <c r="X641" t="s">
        <v>388</v>
      </c>
      <c r="Y641" t="s">
        <v>265</v>
      </c>
      <c r="Z641" t="s">
        <v>64</v>
      </c>
      <c r="AA641" t="s">
        <v>270</v>
      </c>
      <c r="AB641" s="3">
        <f t="shared" si="72"/>
        <v>4</v>
      </c>
      <c r="AC641">
        <v>225.82</v>
      </c>
      <c r="AD641" s="2">
        <v>56.454999999999998</v>
      </c>
      <c r="AE641" s="2">
        <v>50.44</v>
      </c>
      <c r="AF641" s="2">
        <v>1.65</v>
      </c>
      <c r="AG641" s="2">
        <v>277.91000000000003</v>
      </c>
      <c r="AH641">
        <v>0</v>
      </c>
      <c r="AI641">
        <v>69.477500000000006</v>
      </c>
      <c r="AJ641">
        <v>1.3895500000000001</v>
      </c>
      <c r="AK641" t="s">
        <v>54</v>
      </c>
      <c r="AL641">
        <v>8.81</v>
      </c>
      <c r="AM641" s="4">
        <f t="shared" si="73"/>
        <v>69.477500000000006</v>
      </c>
      <c r="AN641" s="4">
        <f t="shared" si="74"/>
        <v>105.85312499999999</v>
      </c>
      <c r="AO641" s="4">
        <f t="shared" si="75"/>
        <v>117.60282187499999</v>
      </c>
      <c r="AP641" s="4">
        <f t="shared" si="76"/>
        <v>171.47147718749997</v>
      </c>
      <c r="AQ641" s="10">
        <f t="shared" si="77"/>
        <v>120.82832025000002</v>
      </c>
      <c r="AR641" s="10">
        <f t="shared" si="78"/>
        <v>134.25234662977502</v>
      </c>
      <c r="AS641" s="10">
        <f t="shared" si="79"/>
        <v>188.10552896520002</v>
      </c>
    </row>
    <row r="642" spans="1:45" x14ac:dyDescent="0.3">
      <c r="A642">
        <v>2025</v>
      </c>
      <c r="B642">
        <v>8</v>
      </c>
      <c r="C642" t="s">
        <v>55</v>
      </c>
      <c r="D642">
        <v>10</v>
      </c>
      <c r="E642" t="s">
        <v>36</v>
      </c>
      <c r="F642" t="s">
        <v>37</v>
      </c>
      <c r="G642" t="s">
        <v>38</v>
      </c>
      <c r="H642" t="s">
        <v>83</v>
      </c>
      <c r="I642" t="s">
        <v>190</v>
      </c>
      <c r="J642" t="s">
        <v>58</v>
      </c>
      <c r="K642" t="s">
        <v>59</v>
      </c>
      <c r="L642" t="s">
        <v>1194</v>
      </c>
      <c r="M642" t="s">
        <v>1195</v>
      </c>
      <c r="N642" t="s">
        <v>1196</v>
      </c>
      <c r="O642" t="s">
        <v>1197</v>
      </c>
      <c r="Q642" t="s">
        <v>62</v>
      </c>
      <c r="R642" t="s">
        <v>1198</v>
      </c>
      <c r="S642" t="s">
        <v>1198</v>
      </c>
      <c r="T642" t="s">
        <v>47</v>
      </c>
      <c r="U642" t="s">
        <v>105</v>
      </c>
      <c r="V642" t="s">
        <v>49</v>
      </c>
      <c r="W642" t="s">
        <v>708</v>
      </c>
      <c r="X642" t="s">
        <v>388</v>
      </c>
      <c r="Y642" t="s">
        <v>1066</v>
      </c>
      <c r="Z642" t="s">
        <v>1067</v>
      </c>
      <c r="AA642" t="s">
        <v>270</v>
      </c>
      <c r="AB642" s="3">
        <f t="shared" si="72"/>
        <v>5.0000000000000009</v>
      </c>
      <c r="AC642">
        <v>257.47000000000003</v>
      </c>
      <c r="AD642" s="2">
        <v>51.494</v>
      </c>
      <c r="AE642" s="2">
        <v>18.45</v>
      </c>
      <c r="AF642" s="2">
        <v>1.67</v>
      </c>
      <c r="AG642" s="2">
        <v>277.58999999999997</v>
      </c>
      <c r="AH642">
        <v>0</v>
      </c>
      <c r="AI642">
        <v>55.518000000000001</v>
      </c>
      <c r="AJ642">
        <v>1.38795</v>
      </c>
      <c r="AK642" t="s">
        <v>54</v>
      </c>
      <c r="AL642">
        <v>2.17</v>
      </c>
      <c r="AM642" s="4">
        <f t="shared" si="73"/>
        <v>55.517999999999986</v>
      </c>
      <c r="AN642" s="4">
        <f t="shared" si="74"/>
        <v>96.551249999999996</v>
      </c>
      <c r="AO642" s="4">
        <f t="shared" si="75"/>
        <v>107.26843875</v>
      </c>
      <c r="AP642" s="4">
        <f t="shared" si="76"/>
        <v>156.40336987499998</v>
      </c>
      <c r="AQ642" s="10">
        <f t="shared" si="77"/>
        <v>96.551353799999987</v>
      </c>
      <c r="AR642" s="10">
        <f t="shared" si="78"/>
        <v>107.27820920717998</v>
      </c>
      <c r="AS642" s="10">
        <f t="shared" si="79"/>
        <v>150.31114759583997</v>
      </c>
    </row>
    <row r="643" spans="1:45" x14ac:dyDescent="0.3">
      <c r="A643">
        <v>2025</v>
      </c>
      <c r="B643">
        <v>8</v>
      </c>
      <c r="C643" t="s">
        <v>55</v>
      </c>
      <c r="D643">
        <v>10</v>
      </c>
      <c r="E643" t="s">
        <v>36</v>
      </c>
      <c r="F643" t="s">
        <v>37</v>
      </c>
      <c r="G643" t="s">
        <v>38</v>
      </c>
      <c r="H643" t="s">
        <v>83</v>
      </c>
      <c r="I643" t="s">
        <v>190</v>
      </c>
      <c r="J643" t="s">
        <v>58</v>
      </c>
      <c r="K643" t="s">
        <v>59</v>
      </c>
      <c r="L643" t="s">
        <v>1194</v>
      </c>
      <c r="M643" t="s">
        <v>1195</v>
      </c>
      <c r="N643" t="s">
        <v>1196</v>
      </c>
      <c r="O643" t="s">
        <v>1197</v>
      </c>
      <c r="Q643" t="s">
        <v>62</v>
      </c>
      <c r="R643" t="s">
        <v>1198</v>
      </c>
      <c r="S643" t="s">
        <v>1198</v>
      </c>
      <c r="T643" t="s">
        <v>47</v>
      </c>
      <c r="U643" t="s">
        <v>105</v>
      </c>
      <c r="V643" t="s">
        <v>49</v>
      </c>
      <c r="W643" t="s">
        <v>708</v>
      </c>
      <c r="X643" t="s">
        <v>388</v>
      </c>
      <c r="Y643" t="s">
        <v>1066</v>
      </c>
      <c r="Z643" t="s">
        <v>1067</v>
      </c>
      <c r="AA643" t="s">
        <v>270</v>
      </c>
      <c r="AB643" s="3">
        <f t="shared" ref="AB643:AB706" si="80">SUM(AC643/AD643)</f>
        <v>4</v>
      </c>
      <c r="AC643">
        <v>205.98</v>
      </c>
      <c r="AD643" s="2">
        <v>51.494999999999997</v>
      </c>
      <c r="AE643" s="2">
        <v>14.76</v>
      </c>
      <c r="AF643" s="2">
        <v>1.33</v>
      </c>
      <c r="AG643" s="2">
        <v>222.7</v>
      </c>
      <c r="AH643">
        <v>0</v>
      </c>
      <c r="AI643">
        <v>55.674999999999997</v>
      </c>
      <c r="AJ643">
        <v>1.1134999999999999</v>
      </c>
      <c r="AK643" t="s">
        <v>54</v>
      </c>
      <c r="AL643">
        <v>1.73</v>
      </c>
      <c r="AM643" s="4">
        <f t="shared" ref="AM643:AM706" si="81">SUM(AG643/AB643)</f>
        <v>55.674999999999997</v>
      </c>
      <c r="AN643" s="4">
        <f t="shared" ref="AN643:AN706" si="82">SUM(AD643*1.875)</f>
        <v>96.553124999999994</v>
      </c>
      <c r="AO643" s="4">
        <f t="shared" si="75"/>
        <v>107.27052187499999</v>
      </c>
      <c r="AP643" s="4">
        <f t="shared" si="76"/>
        <v>156.40640718749998</v>
      </c>
      <c r="AQ643" s="10">
        <f t="shared" si="77"/>
        <v>96.824392500000002</v>
      </c>
      <c r="AR643" s="10">
        <f t="shared" si="78"/>
        <v>107.58158250675</v>
      </c>
      <c r="AS643" s="10">
        <f t="shared" si="79"/>
        <v>150.736214244</v>
      </c>
    </row>
    <row r="644" spans="1:45" x14ac:dyDescent="0.3">
      <c r="A644">
        <v>2025</v>
      </c>
      <c r="B644">
        <v>1</v>
      </c>
      <c r="C644" t="s">
        <v>55</v>
      </c>
      <c r="D644">
        <v>10</v>
      </c>
      <c r="E644" t="s">
        <v>36</v>
      </c>
      <c r="F644" t="s">
        <v>37</v>
      </c>
      <c r="G644" t="s">
        <v>38</v>
      </c>
      <c r="H644" t="s">
        <v>83</v>
      </c>
      <c r="I644" t="s">
        <v>57</v>
      </c>
      <c r="J644" t="s">
        <v>58</v>
      </c>
      <c r="K644" t="s">
        <v>59</v>
      </c>
      <c r="M644" t="s">
        <v>60</v>
      </c>
      <c r="N644" t="s">
        <v>61</v>
      </c>
      <c r="O644" t="s">
        <v>43</v>
      </c>
      <c r="Q644" t="s">
        <v>62</v>
      </c>
      <c r="R644" t="s">
        <v>63</v>
      </c>
      <c r="S644" t="s">
        <v>63</v>
      </c>
      <c r="T644" t="s">
        <v>47</v>
      </c>
      <c r="U644" t="s">
        <v>88</v>
      </c>
      <c r="V644" t="s">
        <v>89</v>
      </c>
      <c r="W644" t="s">
        <v>90</v>
      </c>
      <c r="X644" t="s">
        <v>51</v>
      </c>
      <c r="Y644" t="s">
        <v>1066</v>
      </c>
      <c r="Z644" t="s">
        <v>1067</v>
      </c>
      <c r="AA644" t="s">
        <v>270</v>
      </c>
      <c r="AB644" s="3">
        <f t="shared" si="80"/>
        <v>5.0000000000000009</v>
      </c>
      <c r="AC644">
        <v>257.47000000000003</v>
      </c>
      <c r="AD644" s="2">
        <v>51.494</v>
      </c>
      <c r="AE644" s="2">
        <v>18.45</v>
      </c>
      <c r="AF644" s="2">
        <v>1.67</v>
      </c>
      <c r="AG644" s="2">
        <v>277.58999999999997</v>
      </c>
      <c r="AH644">
        <v>0</v>
      </c>
      <c r="AI644">
        <v>55.518000000000001</v>
      </c>
      <c r="AJ644">
        <v>1.38795</v>
      </c>
      <c r="AK644" t="s">
        <v>54</v>
      </c>
      <c r="AL644">
        <v>2.17</v>
      </c>
      <c r="AM644" s="4">
        <f t="shared" si="81"/>
        <v>55.517999999999986</v>
      </c>
      <c r="AN644" s="4">
        <f t="shared" si="82"/>
        <v>96.551249999999996</v>
      </c>
      <c r="AO644" s="4">
        <f t="shared" ref="AO644:AO707" si="83">SUM(AN644)*1.111</f>
        <v>107.26843875</v>
      </c>
      <c r="AP644" s="4">
        <f t="shared" ref="AP644:AP707" si="84">SUM(AN644)*1.6199</f>
        <v>156.40336987499998</v>
      </c>
      <c r="AQ644" s="10">
        <f t="shared" ref="AQ644:AQ707" si="85">SUM(AM644)*1.7391</f>
        <v>96.551353799999987</v>
      </c>
      <c r="AR644" s="10">
        <f t="shared" ref="AR644:AR707" si="86">SUM(AQ644)*1.1111</f>
        <v>107.27820920717998</v>
      </c>
      <c r="AS644" s="10">
        <f t="shared" ref="AS644:AS707" si="87">SUM(AQ644)*1.5568</f>
        <v>150.31114759583997</v>
      </c>
    </row>
    <row r="645" spans="1:45" x14ac:dyDescent="0.3">
      <c r="A645">
        <v>2025</v>
      </c>
      <c r="B645">
        <v>12</v>
      </c>
      <c r="C645" t="s">
        <v>55</v>
      </c>
      <c r="D645">
        <v>10</v>
      </c>
      <c r="E645" t="s">
        <v>36</v>
      </c>
      <c r="F645" t="s">
        <v>37</v>
      </c>
      <c r="G645" t="s">
        <v>38</v>
      </c>
      <c r="H645" t="s">
        <v>83</v>
      </c>
      <c r="I645" t="s">
        <v>57</v>
      </c>
      <c r="J645" t="s">
        <v>58</v>
      </c>
      <c r="K645" t="s">
        <v>59</v>
      </c>
      <c r="L645" t="s">
        <v>1769</v>
      </c>
      <c r="M645" t="s">
        <v>1770</v>
      </c>
      <c r="N645" t="s">
        <v>1771</v>
      </c>
      <c r="O645" t="s">
        <v>1197</v>
      </c>
      <c r="Q645" t="s">
        <v>62</v>
      </c>
      <c r="R645" t="s">
        <v>1772</v>
      </c>
      <c r="S645" t="s">
        <v>1772</v>
      </c>
      <c r="T645" t="s">
        <v>47</v>
      </c>
      <c r="U645" t="s">
        <v>88</v>
      </c>
      <c r="V645" t="s">
        <v>89</v>
      </c>
      <c r="W645" t="s">
        <v>90</v>
      </c>
      <c r="X645" t="s">
        <v>51</v>
      </c>
      <c r="Y645" t="s">
        <v>91</v>
      </c>
      <c r="Z645" t="s">
        <v>64</v>
      </c>
      <c r="AA645" t="s">
        <v>92</v>
      </c>
      <c r="AB645" s="3">
        <f t="shared" si="80"/>
        <v>1</v>
      </c>
      <c r="AC645">
        <v>34.4</v>
      </c>
      <c r="AD645" s="2">
        <v>34.4</v>
      </c>
      <c r="AE645" s="2">
        <v>8.27</v>
      </c>
      <c r="AF645" s="2">
        <v>0.24</v>
      </c>
      <c r="AG645" s="2">
        <v>42.91</v>
      </c>
      <c r="AH645">
        <v>0</v>
      </c>
      <c r="AI645">
        <v>42.91</v>
      </c>
      <c r="AJ645">
        <v>0.21454999999999999</v>
      </c>
      <c r="AK645" t="s">
        <v>54</v>
      </c>
      <c r="AL645">
        <v>3.01</v>
      </c>
      <c r="AM645" s="4">
        <f t="shared" si="81"/>
        <v>42.91</v>
      </c>
      <c r="AN645" s="4">
        <f t="shared" si="82"/>
        <v>64.5</v>
      </c>
      <c r="AO645" s="4">
        <f t="shared" si="83"/>
        <v>71.659499999999994</v>
      </c>
      <c r="AP645" s="4">
        <f t="shared" si="84"/>
        <v>104.48354999999999</v>
      </c>
      <c r="AQ645" s="10">
        <f t="shared" si="85"/>
        <v>74.624780999999999</v>
      </c>
      <c r="AR645" s="10">
        <f t="shared" si="86"/>
        <v>82.915594169100004</v>
      </c>
      <c r="AS645" s="10">
        <f t="shared" si="87"/>
        <v>116.17585906079999</v>
      </c>
    </row>
    <row r="646" spans="1:45" x14ac:dyDescent="0.3">
      <c r="A646">
        <v>2025</v>
      </c>
      <c r="B646">
        <v>8</v>
      </c>
      <c r="C646" t="s">
        <v>55</v>
      </c>
      <c r="D646">
        <v>10</v>
      </c>
      <c r="E646" t="s">
        <v>36</v>
      </c>
      <c r="F646" t="s">
        <v>37</v>
      </c>
      <c r="G646" t="s">
        <v>38</v>
      </c>
      <c r="H646" t="s">
        <v>78</v>
      </c>
      <c r="I646" t="s">
        <v>190</v>
      </c>
      <c r="J646" t="s">
        <v>58</v>
      </c>
      <c r="K646" t="s">
        <v>59</v>
      </c>
      <c r="L646" t="s">
        <v>1194</v>
      </c>
      <c r="M646" t="s">
        <v>1195</v>
      </c>
      <c r="N646" t="s">
        <v>1196</v>
      </c>
      <c r="O646" t="s">
        <v>1197</v>
      </c>
      <c r="Q646" t="s">
        <v>62</v>
      </c>
      <c r="R646" t="s">
        <v>1198</v>
      </c>
      <c r="S646" t="s">
        <v>1198</v>
      </c>
      <c r="T646" t="s">
        <v>47</v>
      </c>
      <c r="U646" t="s">
        <v>118</v>
      </c>
      <c r="V646" t="s">
        <v>49</v>
      </c>
      <c r="W646" t="s">
        <v>714</v>
      </c>
      <c r="X646" t="s">
        <v>388</v>
      </c>
      <c r="Y646" t="s">
        <v>1800</v>
      </c>
      <c r="Z646" t="s">
        <v>1800</v>
      </c>
      <c r="AA646" t="s">
        <v>92</v>
      </c>
      <c r="AB646" s="3">
        <f t="shared" si="80"/>
        <v>1</v>
      </c>
      <c r="AC646">
        <v>28.82</v>
      </c>
      <c r="AD646" s="2">
        <v>28.82</v>
      </c>
      <c r="AE646" s="2">
        <v>8.56</v>
      </c>
      <c r="AF646" s="2">
        <v>0.22</v>
      </c>
      <c r="AG646" s="2">
        <v>37.590000000000003</v>
      </c>
      <c r="AH646">
        <v>0</v>
      </c>
      <c r="AI646">
        <v>37.590000000000003</v>
      </c>
      <c r="AJ646">
        <v>0.18795000000000001</v>
      </c>
      <c r="AK646" t="s">
        <v>54</v>
      </c>
      <c r="AL646">
        <v>0.21</v>
      </c>
      <c r="AM646" s="4">
        <f t="shared" si="81"/>
        <v>37.590000000000003</v>
      </c>
      <c r="AN646" s="4">
        <f t="shared" si="82"/>
        <v>54.037500000000001</v>
      </c>
      <c r="AO646" s="4">
        <f t="shared" si="83"/>
        <v>60.035662500000001</v>
      </c>
      <c r="AP646" s="4">
        <f t="shared" si="84"/>
        <v>87.535346250000003</v>
      </c>
      <c r="AQ646" s="10">
        <f t="shared" si="85"/>
        <v>65.372769000000005</v>
      </c>
      <c r="AR646" s="10">
        <f t="shared" si="86"/>
        <v>72.635683635900008</v>
      </c>
      <c r="AS646" s="10">
        <f t="shared" si="87"/>
        <v>101.7723267792</v>
      </c>
    </row>
    <row r="647" spans="1:45" x14ac:dyDescent="0.3">
      <c r="A647">
        <v>2025</v>
      </c>
      <c r="B647">
        <v>12</v>
      </c>
      <c r="C647" t="s">
        <v>55</v>
      </c>
      <c r="D647">
        <v>10</v>
      </c>
      <c r="E647" t="s">
        <v>36</v>
      </c>
      <c r="F647" t="s">
        <v>37</v>
      </c>
      <c r="G647" t="s">
        <v>38</v>
      </c>
      <c r="H647" t="s">
        <v>78</v>
      </c>
      <c r="I647" t="s">
        <v>57</v>
      </c>
      <c r="J647" t="s">
        <v>58</v>
      </c>
      <c r="K647" t="s">
        <v>59</v>
      </c>
      <c r="L647" t="s">
        <v>1769</v>
      </c>
      <c r="M647" t="s">
        <v>1770</v>
      </c>
      <c r="N647" t="s">
        <v>1771</v>
      </c>
      <c r="O647" t="s">
        <v>1197</v>
      </c>
      <c r="Q647" t="s">
        <v>62</v>
      </c>
      <c r="R647" t="s">
        <v>1772</v>
      </c>
      <c r="S647" t="s">
        <v>1772</v>
      </c>
      <c r="T647" t="s">
        <v>47</v>
      </c>
      <c r="U647" t="s">
        <v>118</v>
      </c>
      <c r="V647" t="s">
        <v>49</v>
      </c>
      <c r="W647" t="s">
        <v>714</v>
      </c>
      <c r="X647" t="s">
        <v>51</v>
      </c>
      <c r="Y647" t="s">
        <v>1358</v>
      </c>
      <c r="Z647" t="s">
        <v>1358</v>
      </c>
      <c r="AA647" t="s">
        <v>1360</v>
      </c>
      <c r="AB647" s="3">
        <f t="shared" si="80"/>
        <v>1</v>
      </c>
      <c r="AC647">
        <v>191.39</v>
      </c>
      <c r="AD647" s="2">
        <v>191.39</v>
      </c>
      <c r="AE647" s="2">
        <v>13.72</v>
      </c>
      <c r="AF647" s="2">
        <v>1.24</v>
      </c>
      <c r="AG647" s="2">
        <v>206.34</v>
      </c>
      <c r="AH647">
        <v>0</v>
      </c>
      <c r="AI647">
        <v>206.34</v>
      </c>
      <c r="AJ647">
        <v>1.0317000000000001</v>
      </c>
      <c r="AK647" t="s">
        <v>54</v>
      </c>
      <c r="AL647">
        <v>1.61</v>
      </c>
      <c r="AM647" s="4">
        <f t="shared" si="81"/>
        <v>206.34</v>
      </c>
      <c r="AN647" s="4">
        <f t="shared" si="82"/>
        <v>358.85624999999999</v>
      </c>
      <c r="AO647" s="4">
        <f t="shared" si="83"/>
        <v>398.68929374999999</v>
      </c>
      <c r="AP647" s="4">
        <f t="shared" si="84"/>
        <v>581.3112393749999</v>
      </c>
      <c r="AQ647" s="10">
        <f t="shared" si="85"/>
        <v>358.84589400000004</v>
      </c>
      <c r="AR647" s="10">
        <f t="shared" si="86"/>
        <v>398.71367282340003</v>
      </c>
      <c r="AS647" s="10">
        <f t="shared" si="87"/>
        <v>558.65128777920006</v>
      </c>
    </row>
    <row r="648" spans="1:45" x14ac:dyDescent="0.3">
      <c r="A648">
        <v>2025</v>
      </c>
      <c r="B648">
        <v>3</v>
      </c>
      <c r="C648" t="s">
        <v>55</v>
      </c>
      <c r="D648">
        <v>10</v>
      </c>
      <c r="E648" t="s">
        <v>36</v>
      </c>
      <c r="F648" t="s">
        <v>37</v>
      </c>
      <c r="G648" t="s">
        <v>38</v>
      </c>
      <c r="H648" t="s">
        <v>78</v>
      </c>
      <c r="I648" t="s">
        <v>190</v>
      </c>
      <c r="J648" t="s">
        <v>58</v>
      </c>
      <c r="K648" t="s">
        <v>59</v>
      </c>
      <c r="M648" t="s">
        <v>209</v>
      </c>
      <c r="N648" t="s">
        <v>61</v>
      </c>
      <c r="O648" t="s">
        <v>43</v>
      </c>
      <c r="Q648" t="s">
        <v>62</v>
      </c>
      <c r="R648" t="s">
        <v>210</v>
      </c>
      <c r="S648" t="s">
        <v>211</v>
      </c>
      <c r="T648" t="s">
        <v>47</v>
      </c>
      <c r="U648" t="s">
        <v>118</v>
      </c>
      <c r="V648" t="s">
        <v>49</v>
      </c>
      <c r="W648" t="s">
        <v>119</v>
      </c>
      <c r="X648" t="s">
        <v>51</v>
      </c>
      <c r="Y648" t="s">
        <v>1358</v>
      </c>
      <c r="Z648" t="s">
        <v>1358</v>
      </c>
      <c r="AA648" t="s">
        <v>1360</v>
      </c>
      <c r="AB648" s="3">
        <f t="shared" si="80"/>
        <v>3</v>
      </c>
      <c r="AC648">
        <v>578.70000000000005</v>
      </c>
      <c r="AD648" s="2">
        <v>192.9</v>
      </c>
      <c r="AE648" s="2">
        <v>171.79</v>
      </c>
      <c r="AF648" s="2">
        <v>4.34</v>
      </c>
      <c r="AG648" s="2">
        <v>754.84</v>
      </c>
      <c r="AH648">
        <v>0</v>
      </c>
      <c r="AI648">
        <v>251.61333333332999</v>
      </c>
      <c r="AJ648">
        <v>3.7742</v>
      </c>
      <c r="AK648" t="s">
        <v>54</v>
      </c>
      <c r="AL648">
        <v>4.3</v>
      </c>
      <c r="AM648" s="4">
        <f t="shared" si="81"/>
        <v>251.61333333333334</v>
      </c>
      <c r="AN648" s="4">
        <f t="shared" si="82"/>
        <v>361.6875</v>
      </c>
      <c r="AO648" s="4">
        <f t="shared" si="83"/>
        <v>401.8348125</v>
      </c>
      <c r="AP648" s="4">
        <f t="shared" si="84"/>
        <v>585.89758124999992</v>
      </c>
      <c r="AQ648" s="10">
        <f t="shared" si="85"/>
        <v>437.58074800000003</v>
      </c>
      <c r="AR648" s="10">
        <f t="shared" si="86"/>
        <v>486.19596910280001</v>
      </c>
      <c r="AS648" s="10">
        <f t="shared" si="87"/>
        <v>681.22570848639998</v>
      </c>
    </row>
    <row r="649" spans="1:45" x14ac:dyDescent="0.3">
      <c r="A649">
        <v>2025</v>
      </c>
      <c r="B649">
        <v>3</v>
      </c>
      <c r="C649" t="s">
        <v>55</v>
      </c>
      <c r="D649">
        <v>10</v>
      </c>
      <c r="E649" t="s">
        <v>36</v>
      </c>
      <c r="F649" t="s">
        <v>37</v>
      </c>
      <c r="G649" t="s">
        <v>38</v>
      </c>
      <c r="H649" t="s">
        <v>78</v>
      </c>
      <c r="I649" t="s">
        <v>190</v>
      </c>
      <c r="J649" t="s">
        <v>58</v>
      </c>
      <c r="K649" t="s">
        <v>59</v>
      </c>
      <c r="M649" t="s">
        <v>213</v>
      </c>
      <c r="N649" t="s">
        <v>61</v>
      </c>
      <c r="O649" t="s">
        <v>43</v>
      </c>
      <c r="Q649" t="s">
        <v>62</v>
      </c>
      <c r="R649" t="s">
        <v>214</v>
      </c>
      <c r="S649" t="s">
        <v>215</v>
      </c>
      <c r="T649" t="s">
        <v>47</v>
      </c>
      <c r="U649" t="s">
        <v>118</v>
      </c>
      <c r="V649" t="s">
        <v>49</v>
      </c>
      <c r="W649" t="s">
        <v>119</v>
      </c>
      <c r="X649" t="s">
        <v>51</v>
      </c>
      <c r="Y649" t="s">
        <v>130</v>
      </c>
      <c r="Z649" t="s">
        <v>64</v>
      </c>
      <c r="AA649" t="s">
        <v>327</v>
      </c>
      <c r="AB649" s="3">
        <f t="shared" si="80"/>
        <v>3</v>
      </c>
      <c r="AC649">
        <v>170.19</v>
      </c>
      <c r="AD649" s="2">
        <v>56.73</v>
      </c>
      <c r="AE649" s="2">
        <v>38.020000000000003</v>
      </c>
      <c r="AF649" s="2">
        <v>1.25</v>
      </c>
      <c r="AG649" s="2">
        <v>209.46</v>
      </c>
      <c r="AH649">
        <v>0</v>
      </c>
      <c r="AI649">
        <v>69.819999999999993</v>
      </c>
      <c r="AJ649">
        <v>1.0472999999999999</v>
      </c>
      <c r="AK649" t="s">
        <v>54</v>
      </c>
      <c r="AL649">
        <v>6.61</v>
      </c>
      <c r="AM649" s="4">
        <f t="shared" si="81"/>
        <v>69.820000000000007</v>
      </c>
      <c r="AN649" s="4">
        <f t="shared" si="82"/>
        <v>106.36874999999999</v>
      </c>
      <c r="AO649" s="4">
        <f t="shared" si="83"/>
        <v>118.17568124999998</v>
      </c>
      <c r="AP649" s="4">
        <f t="shared" si="84"/>
        <v>172.30673812499998</v>
      </c>
      <c r="AQ649" s="10">
        <f t="shared" si="85"/>
        <v>121.42396200000002</v>
      </c>
      <c r="AR649" s="10">
        <f t="shared" si="86"/>
        <v>134.91416417820002</v>
      </c>
      <c r="AS649" s="10">
        <f t="shared" si="87"/>
        <v>189.03282404160001</v>
      </c>
    </row>
    <row r="650" spans="1:45" x14ac:dyDescent="0.3">
      <c r="A650">
        <v>2025</v>
      </c>
      <c r="B650">
        <v>10</v>
      </c>
      <c r="C650" t="s">
        <v>55</v>
      </c>
      <c r="D650">
        <v>10</v>
      </c>
      <c r="E650" t="s">
        <v>36</v>
      </c>
      <c r="F650" t="s">
        <v>37</v>
      </c>
      <c r="G650" t="s">
        <v>38</v>
      </c>
      <c r="H650" t="s">
        <v>78</v>
      </c>
      <c r="I650" t="s">
        <v>375</v>
      </c>
      <c r="J650" t="s">
        <v>376</v>
      </c>
      <c r="K650" t="s">
        <v>59</v>
      </c>
      <c r="L650" t="s">
        <v>1549</v>
      </c>
      <c r="M650" t="s">
        <v>1550</v>
      </c>
      <c r="N650" t="s">
        <v>1551</v>
      </c>
      <c r="O650" t="s">
        <v>1197</v>
      </c>
      <c r="Q650" t="s">
        <v>62</v>
      </c>
      <c r="R650" t="s">
        <v>1552</v>
      </c>
      <c r="S650" t="s">
        <v>1552</v>
      </c>
      <c r="T650" t="s">
        <v>47</v>
      </c>
      <c r="U650" t="s">
        <v>118</v>
      </c>
      <c r="V650" t="s">
        <v>49</v>
      </c>
      <c r="W650" t="s">
        <v>714</v>
      </c>
      <c r="X650" t="s">
        <v>51</v>
      </c>
      <c r="Y650" t="s">
        <v>130</v>
      </c>
      <c r="Z650" t="s">
        <v>64</v>
      </c>
      <c r="AA650" t="s">
        <v>327</v>
      </c>
      <c r="AB650" s="3">
        <f t="shared" si="80"/>
        <v>2</v>
      </c>
      <c r="AC650">
        <v>93.82</v>
      </c>
      <c r="AD650" s="2">
        <v>46.91</v>
      </c>
      <c r="AE650" s="2">
        <v>19.690000000000001</v>
      </c>
      <c r="AF650" s="2">
        <v>0.69</v>
      </c>
      <c r="AG650" s="2">
        <v>114.21</v>
      </c>
      <c r="AH650">
        <v>0</v>
      </c>
      <c r="AI650">
        <v>57.104999999999997</v>
      </c>
      <c r="AJ650">
        <v>0.57104999999999995</v>
      </c>
      <c r="AK650" t="s">
        <v>54</v>
      </c>
      <c r="AL650">
        <v>3.89</v>
      </c>
      <c r="AM650" s="4">
        <f t="shared" si="81"/>
        <v>57.104999999999997</v>
      </c>
      <c r="AN650" s="4">
        <f t="shared" si="82"/>
        <v>87.956249999999997</v>
      </c>
      <c r="AO650" s="4">
        <f t="shared" si="83"/>
        <v>97.719393749999995</v>
      </c>
      <c r="AP650" s="4">
        <f t="shared" si="84"/>
        <v>142.480329375</v>
      </c>
      <c r="AQ650" s="10">
        <f t="shared" si="85"/>
        <v>99.311305500000003</v>
      </c>
      <c r="AR650" s="10">
        <f t="shared" si="86"/>
        <v>110.34479154105</v>
      </c>
      <c r="AS650" s="10">
        <f t="shared" si="87"/>
        <v>154.6078404024</v>
      </c>
    </row>
    <row r="651" spans="1:45" x14ac:dyDescent="0.3">
      <c r="A651">
        <v>2025</v>
      </c>
      <c r="B651">
        <v>3</v>
      </c>
      <c r="C651" t="s">
        <v>55</v>
      </c>
      <c r="D651">
        <v>10</v>
      </c>
      <c r="E651" t="s">
        <v>36</v>
      </c>
      <c r="F651" t="s">
        <v>37</v>
      </c>
      <c r="G651" t="s">
        <v>38</v>
      </c>
      <c r="H651" t="s">
        <v>83</v>
      </c>
      <c r="I651" t="s">
        <v>190</v>
      </c>
      <c r="J651" t="s">
        <v>58</v>
      </c>
      <c r="K651" t="s">
        <v>59</v>
      </c>
      <c r="M651" t="s">
        <v>209</v>
      </c>
      <c r="N651" t="s">
        <v>61</v>
      </c>
      <c r="O651" t="s">
        <v>43</v>
      </c>
      <c r="Q651" t="s">
        <v>62</v>
      </c>
      <c r="R651" t="s">
        <v>210</v>
      </c>
      <c r="S651" t="s">
        <v>211</v>
      </c>
      <c r="T651" t="s">
        <v>47</v>
      </c>
      <c r="U651" t="s">
        <v>118</v>
      </c>
      <c r="V651" t="s">
        <v>49</v>
      </c>
      <c r="W651" t="s">
        <v>119</v>
      </c>
      <c r="X651" t="s">
        <v>51</v>
      </c>
      <c r="Y651" t="s">
        <v>1072</v>
      </c>
      <c r="Z651" t="s">
        <v>1072</v>
      </c>
      <c r="AA651" t="s">
        <v>327</v>
      </c>
      <c r="AB651" s="3">
        <f t="shared" si="80"/>
        <v>10</v>
      </c>
      <c r="AC651">
        <v>492.1</v>
      </c>
      <c r="AD651" s="2">
        <v>49.21</v>
      </c>
      <c r="AE651" s="2">
        <v>224.93</v>
      </c>
      <c r="AF651" s="2">
        <v>4.3899999999999997</v>
      </c>
      <c r="AG651" s="2">
        <v>721.42</v>
      </c>
      <c r="AH651">
        <v>0</v>
      </c>
      <c r="AI651">
        <v>72.141999999999996</v>
      </c>
      <c r="AJ651">
        <v>3.6071</v>
      </c>
      <c r="AK651" t="s">
        <v>54</v>
      </c>
      <c r="AL651">
        <v>10.19</v>
      </c>
      <c r="AM651" s="4">
        <f t="shared" si="81"/>
        <v>72.141999999999996</v>
      </c>
      <c r="AN651" s="4">
        <f t="shared" si="82"/>
        <v>92.268749999999997</v>
      </c>
      <c r="AO651" s="4">
        <f t="shared" si="83"/>
        <v>102.51058125</v>
      </c>
      <c r="AP651" s="4">
        <f t="shared" si="84"/>
        <v>149.46614812499999</v>
      </c>
      <c r="AQ651" s="10">
        <f t="shared" si="85"/>
        <v>125.46215220000001</v>
      </c>
      <c r="AR651" s="10">
        <f t="shared" si="86"/>
        <v>139.40099730942001</v>
      </c>
      <c r="AS651" s="10">
        <f t="shared" si="87"/>
        <v>195.31947854495999</v>
      </c>
    </row>
    <row r="652" spans="1:45" x14ac:dyDescent="0.3">
      <c r="A652">
        <v>2025</v>
      </c>
      <c r="B652">
        <v>4</v>
      </c>
      <c r="C652" t="s">
        <v>55</v>
      </c>
      <c r="D652">
        <v>10</v>
      </c>
      <c r="E652" t="s">
        <v>36</v>
      </c>
      <c r="F652" t="s">
        <v>37</v>
      </c>
      <c r="G652" t="s">
        <v>38</v>
      </c>
      <c r="H652" t="s">
        <v>83</v>
      </c>
      <c r="I652" t="s">
        <v>375</v>
      </c>
      <c r="J652" t="s">
        <v>376</v>
      </c>
      <c r="K652" t="s">
        <v>59</v>
      </c>
      <c r="M652">
        <v>2503061</v>
      </c>
      <c r="N652" t="s">
        <v>377</v>
      </c>
      <c r="O652" t="s">
        <v>36</v>
      </c>
      <c r="Q652" t="s">
        <v>62</v>
      </c>
      <c r="R652" t="s">
        <v>378</v>
      </c>
      <c r="S652" t="s">
        <v>378</v>
      </c>
      <c r="T652" t="s">
        <v>47</v>
      </c>
      <c r="U652" t="s">
        <v>118</v>
      </c>
      <c r="V652" t="s">
        <v>49</v>
      </c>
      <c r="W652" t="s">
        <v>119</v>
      </c>
      <c r="X652" t="s">
        <v>51</v>
      </c>
      <c r="Y652" t="s">
        <v>278</v>
      </c>
      <c r="Z652" t="s">
        <v>64</v>
      </c>
      <c r="AA652" t="s">
        <v>326</v>
      </c>
      <c r="AB652" s="3">
        <f t="shared" si="80"/>
        <v>3.0000000000000004</v>
      </c>
      <c r="AC652">
        <v>509.1</v>
      </c>
      <c r="AD652" s="2">
        <v>169.7</v>
      </c>
      <c r="AE652" s="2">
        <v>113.72</v>
      </c>
      <c r="AF652" s="2">
        <v>3.73</v>
      </c>
      <c r="AG652" s="2">
        <v>626.54999999999995</v>
      </c>
      <c r="AH652">
        <v>0</v>
      </c>
      <c r="AI652">
        <v>208.85</v>
      </c>
      <c r="AJ652">
        <v>3.1327500000000001</v>
      </c>
      <c r="AK652" t="s">
        <v>54</v>
      </c>
      <c r="AL652">
        <v>6.61</v>
      </c>
      <c r="AM652" s="4">
        <f t="shared" si="81"/>
        <v>208.84999999999997</v>
      </c>
      <c r="AN652" s="4">
        <f t="shared" si="82"/>
        <v>318.1875</v>
      </c>
      <c r="AO652" s="4">
        <f t="shared" si="83"/>
        <v>353.50631249999998</v>
      </c>
      <c r="AP652" s="4">
        <f t="shared" si="84"/>
        <v>515.43193124999993</v>
      </c>
      <c r="AQ652" s="10">
        <f t="shared" si="85"/>
        <v>363.21103499999998</v>
      </c>
      <c r="AR652" s="10">
        <f t="shared" si="86"/>
        <v>403.56378098849996</v>
      </c>
      <c r="AS652" s="10">
        <f t="shared" si="87"/>
        <v>565.44693928799995</v>
      </c>
    </row>
    <row r="653" spans="1:45" x14ac:dyDescent="0.3">
      <c r="A653">
        <v>2025</v>
      </c>
      <c r="B653">
        <v>11</v>
      </c>
      <c r="C653" t="s">
        <v>55</v>
      </c>
      <c r="D653">
        <v>10</v>
      </c>
      <c r="E653" t="s">
        <v>36</v>
      </c>
      <c r="F653" t="s">
        <v>37</v>
      </c>
      <c r="G653" t="s">
        <v>38</v>
      </c>
      <c r="H653" t="s">
        <v>83</v>
      </c>
      <c r="I653" t="s">
        <v>375</v>
      </c>
      <c r="J653" t="s">
        <v>376</v>
      </c>
      <c r="K653" t="s">
        <v>59</v>
      </c>
      <c r="L653" t="s">
        <v>1647</v>
      </c>
      <c r="M653" t="s">
        <v>1633</v>
      </c>
      <c r="N653" t="s">
        <v>1485</v>
      </c>
      <c r="O653" t="s">
        <v>1197</v>
      </c>
      <c r="Q653" t="s">
        <v>62</v>
      </c>
      <c r="R653" t="s">
        <v>1648</v>
      </c>
      <c r="S653" t="s">
        <v>1648</v>
      </c>
      <c r="T653" t="s">
        <v>47</v>
      </c>
      <c r="U653" t="s">
        <v>118</v>
      </c>
      <c r="V653" t="s">
        <v>49</v>
      </c>
      <c r="W653" t="s">
        <v>714</v>
      </c>
      <c r="X653" t="s">
        <v>51</v>
      </c>
      <c r="Y653" t="s">
        <v>278</v>
      </c>
      <c r="Z653" t="s">
        <v>278</v>
      </c>
      <c r="AA653" t="s">
        <v>326</v>
      </c>
      <c r="AB653" s="3">
        <f t="shared" si="80"/>
        <v>6</v>
      </c>
      <c r="AC653">
        <v>1003.83</v>
      </c>
      <c r="AD653" s="2">
        <v>167.30500000000001</v>
      </c>
      <c r="AE653" s="2">
        <v>90.52</v>
      </c>
      <c r="AF653" s="2">
        <v>7.11</v>
      </c>
      <c r="AG653" s="2">
        <v>1101.46</v>
      </c>
      <c r="AH653">
        <v>0</v>
      </c>
      <c r="AI653">
        <v>183.57666666667001</v>
      </c>
      <c r="AJ653">
        <v>5.5072999999999999</v>
      </c>
      <c r="AK653" t="s">
        <v>54</v>
      </c>
      <c r="AL653">
        <v>4.32</v>
      </c>
      <c r="AM653" s="4">
        <f t="shared" si="81"/>
        <v>183.57666666666668</v>
      </c>
      <c r="AN653" s="4">
        <f t="shared" si="82"/>
        <v>313.69687500000003</v>
      </c>
      <c r="AO653" s="4">
        <f t="shared" si="83"/>
        <v>348.51722812500003</v>
      </c>
      <c r="AP653" s="4">
        <f t="shared" si="84"/>
        <v>508.15756781250002</v>
      </c>
      <c r="AQ653" s="10">
        <f t="shared" si="85"/>
        <v>319.25818100000004</v>
      </c>
      <c r="AR653" s="10">
        <f t="shared" si="86"/>
        <v>354.72776490910002</v>
      </c>
      <c r="AS653" s="10">
        <f t="shared" si="87"/>
        <v>497.02113618080006</v>
      </c>
    </row>
    <row r="654" spans="1:45" x14ac:dyDescent="0.3">
      <c r="A654">
        <v>2025</v>
      </c>
      <c r="B654">
        <v>12</v>
      </c>
      <c r="C654" t="s">
        <v>55</v>
      </c>
      <c r="D654">
        <v>10</v>
      </c>
      <c r="E654" t="s">
        <v>36</v>
      </c>
      <c r="F654" t="s">
        <v>37</v>
      </c>
      <c r="G654" t="s">
        <v>38</v>
      </c>
      <c r="H654" t="s">
        <v>83</v>
      </c>
      <c r="I654" t="s">
        <v>57</v>
      </c>
      <c r="J654" t="s">
        <v>58</v>
      </c>
      <c r="K654" t="s">
        <v>59</v>
      </c>
      <c r="L654" t="s">
        <v>1769</v>
      </c>
      <c r="M654" t="s">
        <v>1770</v>
      </c>
      <c r="N654" t="s">
        <v>1771</v>
      </c>
      <c r="O654" t="s">
        <v>1197</v>
      </c>
      <c r="Q654" t="s">
        <v>62</v>
      </c>
      <c r="R654" t="s">
        <v>1772</v>
      </c>
      <c r="S654" t="s">
        <v>1772</v>
      </c>
      <c r="T654" t="s">
        <v>47</v>
      </c>
      <c r="U654" t="s">
        <v>118</v>
      </c>
      <c r="V654" t="s">
        <v>49</v>
      </c>
      <c r="W654" t="s">
        <v>714</v>
      </c>
      <c r="X654" t="s">
        <v>51</v>
      </c>
      <c r="Y654" t="s">
        <v>1711</v>
      </c>
      <c r="Z654" t="s">
        <v>1711</v>
      </c>
      <c r="AA654" t="s">
        <v>326</v>
      </c>
      <c r="AB654" s="3">
        <f t="shared" si="80"/>
        <v>6</v>
      </c>
      <c r="AC654">
        <v>918.27</v>
      </c>
      <c r="AD654" s="2">
        <v>153.04499999999999</v>
      </c>
      <c r="AE654" s="2">
        <v>308.68</v>
      </c>
      <c r="AF654" s="2">
        <v>7.27</v>
      </c>
      <c r="AG654" s="2">
        <v>1234.22</v>
      </c>
      <c r="AH654">
        <v>0</v>
      </c>
      <c r="AI654">
        <v>205.70333333332999</v>
      </c>
      <c r="AJ654">
        <v>6.1711</v>
      </c>
      <c r="AK654" t="s">
        <v>54</v>
      </c>
      <c r="AL654">
        <v>7.94</v>
      </c>
      <c r="AM654" s="4">
        <f t="shared" si="81"/>
        <v>205.70333333333335</v>
      </c>
      <c r="AN654" s="4">
        <f t="shared" si="82"/>
        <v>286.95937499999997</v>
      </c>
      <c r="AO654" s="4">
        <f t="shared" si="83"/>
        <v>318.81186562499994</v>
      </c>
      <c r="AP654" s="4">
        <f t="shared" si="84"/>
        <v>464.84549156249989</v>
      </c>
      <c r="AQ654" s="10">
        <f t="shared" si="85"/>
        <v>357.73866700000002</v>
      </c>
      <c r="AR654" s="10">
        <f t="shared" si="86"/>
        <v>397.48343290370002</v>
      </c>
      <c r="AS654" s="10">
        <f t="shared" si="87"/>
        <v>556.92755678560002</v>
      </c>
    </row>
    <row r="655" spans="1:45" x14ac:dyDescent="0.3">
      <c r="A655">
        <v>2025</v>
      </c>
      <c r="B655">
        <v>4</v>
      </c>
      <c r="C655" t="s">
        <v>55</v>
      </c>
      <c r="D655">
        <v>10</v>
      </c>
      <c r="E655" t="s">
        <v>36</v>
      </c>
      <c r="F655" t="s">
        <v>37</v>
      </c>
      <c r="G655" t="s">
        <v>38</v>
      </c>
      <c r="H655" t="s">
        <v>83</v>
      </c>
      <c r="I655" t="s">
        <v>375</v>
      </c>
      <c r="J655" t="s">
        <v>376</v>
      </c>
      <c r="K655" t="s">
        <v>59</v>
      </c>
      <c r="M655">
        <v>2503061</v>
      </c>
      <c r="N655" t="s">
        <v>377</v>
      </c>
      <c r="O655" t="s">
        <v>36</v>
      </c>
      <c r="Q655" t="s">
        <v>62</v>
      </c>
      <c r="R655" t="s">
        <v>378</v>
      </c>
      <c r="S655" t="s">
        <v>378</v>
      </c>
      <c r="T655" t="s">
        <v>47</v>
      </c>
      <c r="U655" t="s">
        <v>118</v>
      </c>
      <c r="V655" t="s">
        <v>49</v>
      </c>
      <c r="W655" t="s">
        <v>119</v>
      </c>
      <c r="X655" t="s">
        <v>51</v>
      </c>
      <c r="Y655" t="s">
        <v>1711</v>
      </c>
      <c r="Z655" t="s">
        <v>1711</v>
      </c>
      <c r="AA655" t="s">
        <v>326</v>
      </c>
      <c r="AB655" s="3">
        <f t="shared" si="80"/>
        <v>4.9999999999999991</v>
      </c>
      <c r="AC655">
        <v>767.42</v>
      </c>
      <c r="AD655" s="2">
        <v>153.48400000000001</v>
      </c>
      <c r="AE655" s="2">
        <v>227.82</v>
      </c>
      <c r="AF655" s="2">
        <v>5.76</v>
      </c>
      <c r="AG655" s="2">
        <v>1000.99</v>
      </c>
      <c r="AH655">
        <v>0</v>
      </c>
      <c r="AI655">
        <v>200.19800000000001</v>
      </c>
      <c r="AJ655">
        <v>5.00495</v>
      </c>
      <c r="AK655" t="s">
        <v>54</v>
      </c>
      <c r="AL655">
        <v>5.7</v>
      </c>
      <c r="AM655" s="4">
        <f t="shared" si="81"/>
        <v>200.19800000000004</v>
      </c>
      <c r="AN655" s="4">
        <f t="shared" si="82"/>
        <v>287.78250000000003</v>
      </c>
      <c r="AO655" s="4">
        <f t="shared" si="83"/>
        <v>319.72635750000001</v>
      </c>
      <c r="AP655" s="4">
        <f t="shared" si="84"/>
        <v>466.17887175000004</v>
      </c>
      <c r="AQ655" s="10">
        <f t="shared" si="85"/>
        <v>348.1643418000001</v>
      </c>
      <c r="AR655" s="10">
        <f t="shared" si="86"/>
        <v>386.84540017398012</v>
      </c>
      <c r="AS655" s="10">
        <f t="shared" si="87"/>
        <v>542.02224731424019</v>
      </c>
    </row>
    <row r="656" spans="1:45" x14ac:dyDescent="0.3">
      <c r="A656">
        <v>2025</v>
      </c>
      <c r="B656">
        <v>11</v>
      </c>
      <c r="C656" t="s">
        <v>55</v>
      </c>
      <c r="D656">
        <v>10</v>
      </c>
      <c r="E656" t="s">
        <v>36</v>
      </c>
      <c r="F656" t="s">
        <v>37</v>
      </c>
      <c r="G656" t="s">
        <v>38</v>
      </c>
      <c r="H656" t="s">
        <v>83</v>
      </c>
      <c r="I656" t="s">
        <v>375</v>
      </c>
      <c r="J656" t="s">
        <v>376</v>
      </c>
      <c r="K656" t="s">
        <v>59</v>
      </c>
      <c r="L656" t="s">
        <v>1647</v>
      </c>
      <c r="M656" t="s">
        <v>1633</v>
      </c>
      <c r="N656" t="s">
        <v>1485</v>
      </c>
      <c r="O656" t="s">
        <v>1197</v>
      </c>
      <c r="Q656" t="s">
        <v>62</v>
      </c>
      <c r="R656" t="s">
        <v>1648</v>
      </c>
      <c r="S656" t="s">
        <v>1648</v>
      </c>
      <c r="T656" t="s">
        <v>47</v>
      </c>
      <c r="U656" t="s">
        <v>118</v>
      </c>
      <c r="V656" t="s">
        <v>49</v>
      </c>
      <c r="W656" t="s">
        <v>714</v>
      </c>
      <c r="X656" t="s">
        <v>51</v>
      </c>
      <c r="Y656" t="s">
        <v>490</v>
      </c>
      <c r="Z656" t="s">
        <v>490</v>
      </c>
      <c r="AA656" t="s">
        <v>491</v>
      </c>
      <c r="AB656" s="3">
        <f t="shared" si="80"/>
        <v>2</v>
      </c>
      <c r="AC656">
        <v>220.45</v>
      </c>
      <c r="AD656" s="2">
        <v>110.22499999999999</v>
      </c>
      <c r="AE656" s="2">
        <v>47.15</v>
      </c>
      <c r="AF656" s="2">
        <v>1.54</v>
      </c>
      <c r="AG656" s="2">
        <v>269.14</v>
      </c>
      <c r="AH656">
        <v>0</v>
      </c>
      <c r="AI656">
        <v>134.57</v>
      </c>
      <c r="AJ656">
        <v>1.3456999999999999</v>
      </c>
      <c r="AK656" t="s">
        <v>54</v>
      </c>
      <c r="AL656">
        <v>2.25</v>
      </c>
      <c r="AM656" s="4">
        <f t="shared" si="81"/>
        <v>134.57</v>
      </c>
      <c r="AN656" s="4">
        <f t="shared" si="82"/>
        <v>206.671875</v>
      </c>
      <c r="AO656" s="4">
        <f t="shared" si="83"/>
        <v>229.612453125</v>
      </c>
      <c r="AP656" s="4">
        <f t="shared" si="84"/>
        <v>334.78777031249996</v>
      </c>
      <c r="AQ656" s="10">
        <f t="shared" si="85"/>
        <v>234.030687</v>
      </c>
      <c r="AR656" s="10">
        <f t="shared" si="86"/>
        <v>260.0314963257</v>
      </c>
      <c r="AS656" s="10">
        <f t="shared" si="87"/>
        <v>364.3389735216</v>
      </c>
    </row>
    <row r="657" spans="1:45" x14ac:dyDescent="0.3">
      <c r="A657">
        <v>2025</v>
      </c>
      <c r="B657">
        <v>12</v>
      </c>
      <c r="C657" t="s">
        <v>55</v>
      </c>
      <c r="D657">
        <v>10</v>
      </c>
      <c r="E657" t="s">
        <v>36</v>
      </c>
      <c r="F657" t="s">
        <v>37</v>
      </c>
      <c r="G657" t="s">
        <v>38</v>
      </c>
      <c r="H657" t="s">
        <v>83</v>
      </c>
      <c r="I657" t="s">
        <v>57</v>
      </c>
      <c r="J657" t="s">
        <v>58</v>
      </c>
      <c r="K657" t="s">
        <v>59</v>
      </c>
      <c r="L657" t="s">
        <v>1769</v>
      </c>
      <c r="M657" t="s">
        <v>1770</v>
      </c>
      <c r="N657" t="s">
        <v>1771</v>
      </c>
      <c r="O657" t="s">
        <v>1197</v>
      </c>
      <c r="Q657" t="s">
        <v>62</v>
      </c>
      <c r="R657" t="s">
        <v>1772</v>
      </c>
      <c r="S657" t="s">
        <v>1772</v>
      </c>
      <c r="T657" t="s">
        <v>47</v>
      </c>
      <c r="U657" t="s">
        <v>118</v>
      </c>
      <c r="V657" t="s">
        <v>49</v>
      </c>
      <c r="W657" t="s">
        <v>714</v>
      </c>
      <c r="X657" t="s">
        <v>51</v>
      </c>
      <c r="Y657" t="s">
        <v>1710</v>
      </c>
      <c r="Z657" t="s">
        <v>1710</v>
      </c>
      <c r="AA657" t="s">
        <v>491</v>
      </c>
      <c r="AB657" s="3">
        <f t="shared" si="80"/>
        <v>3.0000000000000111</v>
      </c>
      <c r="AC657">
        <v>275.29000000000002</v>
      </c>
      <c r="AD657" s="2">
        <v>91.763333333332994</v>
      </c>
      <c r="AE657" s="2">
        <v>92.53</v>
      </c>
      <c r="AF657" s="2">
        <v>2.1800000000000002</v>
      </c>
      <c r="AG657" s="2">
        <v>370</v>
      </c>
      <c r="AH657">
        <v>0</v>
      </c>
      <c r="AI657">
        <v>123.33333333333</v>
      </c>
      <c r="AJ657">
        <v>1.85</v>
      </c>
      <c r="AK657" t="s">
        <v>54</v>
      </c>
      <c r="AL657">
        <v>2.38</v>
      </c>
      <c r="AM657" s="4">
        <f t="shared" si="81"/>
        <v>123.33333333333287</v>
      </c>
      <c r="AN657" s="4">
        <f t="shared" si="82"/>
        <v>172.05624999999935</v>
      </c>
      <c r="AO657" s="4">
        <f t="shared" si="83"/>
        <v>191.15449374999929</v>
      </c>
      <c r="AP657" s="4">
        <f t="shared" si="84"/>
        <v>278.71391937499891</v>
      </c>
      <c r="AQ657" s="10">
        <f t="shared" si="85"/>
        <v>214.48899999999921</v>
      </c>
      <c r="AR657" s="10">
        <f t="shared" si="86"/>
        <v>238.31872789999912</v>
      </c>
      <c r="AS657" s="10">
        <f t="shared" si="87"/>
        <v>333.91647519999879</v>
      </c>
    </row>
    <row r="658" spans="1:45" x14ac:dyDescent="0.3">
      <c r="A658">
        <v>2025</v>
      </c>
      <c r="B658">
        <v>3</v>
      </c>
      <c r="C658" t="s">
        <v>55</v>
      </c>
      <c r="D658">
        <v>10</v>
      </c>
      <c r="E658" t="s">
        <v>36</v>
      </c>
      <c r="F658" t="s">
        <v>37</v>
      </c>
      <c r="G658" t="s">
        <v>38</v>
      </c>
      <c r="H658" t="s">
        <v>78</v>
      </c>
      <c r="I658" t="s">
        <v>190</v>
      </c>
      <c r="J658" t="s">
        <v>58</v>
      </c>
      <c r="K658" t="s">
        <v>59</v>
      </c>
      <c r="M658" t="s">
        <v>209</v>
      </c>
      <c r="N658" t="s">
        <v>61</v>
      </c>
      <c r="O658" t="s">
        <v>43</v>
      </c>
      <c r="Q658" t="s">
        <v>62</v>
      </c>
      <c r="R658" t="s">
        <v>210</v>
      </c>
      <c r="S658" t="s">
        <v>211</v>
      </c>
      <c r="T658" t="s">
        <v>47</v>
      </c>
      <c r="U658" t="s">
        <v>105</v>
      </c>
      <c r="V658" t="s">
        <v>49</v>
      </c>
      <c r="W658" t="s">
        <v>106</v>
      </c>
      <c r="X658" t="s">
        <v>51</v>
      </c>
      <c r="Y658" t="s">
        <v>1710</v>
      </c>
      <c r="Z658" t="s">
        <v>1710</v>
      </c>
      <c r="AA658" t="s">
        <v>491</v>
      </c>
      <c r="AB658" s="3">
        <f t="shared" si="80"/>
        <v>2.9999999999999889</v>
      </c>
      <c r="AC658">
        <v>276.8</v>
      </c>
      <c r="AD658" s="2">
        <v>92.266666666667007</v>
      </c>
      <c r="AE658" s="2">
        <v>81.96</v>
      </c>
      <c r="AF658" s="2">
        <v>2.7</v>
      </c>
      <c r="AG658" s="2">
        <v>360.11</v>
      </c>
      <c r="AH658">
        <v>0</v>
      </c>
      <c r="AI658">
        <v>120.03666666667</v>
      </c>
      <c r="AJ658">
        <v>1.8005500000000001</v>
      </c>
      <c r="AK658" t="s">
        <v>54</v>
      </c>
      <c r="AL658">
        <v>2.5</v>
      </c>
      <c r="AM658" s="4">
        <f t="shared" si="81"/>
        <v>120.03666666666712</v>
      </c>
      <c r="AN658" s="4">
        <f t="shared" si="82"/>
        <v>173.00000000000063</v>
      </c>
      <c r="AO658" s="4">
        <f t="shared" si="83"/>
        <v>192.20300000000069</v>
      </c>
      <c r="AP658" s="4">
        <f t="shared" si="84"/>
        <v>280.24270000000098</v>
      </c>
      <c r="AQ658" s="10">
        <f t="shared" si="85"/>
        <v>208.75576700000079</v>
      </c>
      <c r="AR658" s="10">
        <f t="shared" si="86"/>
        <v>231.94853271370087</v>
      </c>
      <c r="AS658" s="10">
        <f t="shared" si="87"/>
        <v>324.99097806560121</v>
      </c>
    </row>
    <row r="659" spans="1:45" x14ac:dyDescent="0.3">
      <c r="A659">
        <v>2025</v>
      </c>
      <c r="B659">
        <v>4</v>
      </c>
      <c r="C659" t="s">
        <v>55</v>
      </c>
      <c r="D659">
        <v>10</v>
      </c>
      <c r="E659" t="s">
        <v>36</v>
      </c>
      <c r="F659" t="s">
        <v>37</v>
      </c>
      <c r="G659" t="s">
        <v>38</v>
      </c>
      <c r="H659" t="s">
        <v>78</v>
      </c>
      <c r="I659" t="s">
        <v>375</v>
      </c>
      <c r="J659" t="s">
        <v>376</v>
      </c>
      <c r="K659" t="s">
        <v>59</v>
      </c>
      <c r="M659">
        <v>2503061</v>
      </c>
      <c r="N659" t="s">
        <v>377</v>
      </c>
      <c r="O659" t="s">
        <v>36</v>
      </c>
      <c r="Q659" t="s">
        <v>62</v>
      </c>
      <c r="R659" t="s">
        <v>378</v>
      </c>
      <c r="S659" t="s">
        <v>378</v>
      </c>
      <c r="T659" t="s">
        <v>47</v>
      </c>
      <c r="U659" t="s">
        <v>105</v>
      </c>
      <c r="V659" t="s">
        <v>49</v>
      </c>
      <c r="W659" t="s">
        <v>106</v>
      </c>
      <c r="X659" t="s">
        <v>51</v>
      </c>
      <c r="Y659" t="s">
        <v>107</v>
      </c>
      <c r="Z659" t="s">
        <v>64</v>
      </c>
      <c r="AA659" t="s">
        <v>269</v>
      </c>
      <c r="AB659" s="3">
        <f t="shared" si="80"/>
        <v>2</v>
      </c>
      <c r="AC659">
        <v>98.64</v>
      </c>
      <c r="AD659" s="2">
        <v>49.32</v>
      </c>
      <c r="AE659" s="2">
        <v>22.03</v>
      </c>
      <c r="AF659" s="2">
        <v>0.72</v>
      </c>
      <c r="AG659" s="2">
        <v>121.4</v>
      </c>
      <c r="AH659">
        <v>0</v>
      </c>
      <c r="AI659">
        <v>60.7</v>
      </c>
      <c r="AJ659">
        <v>0.60699999999999998</v>
      </c>
      <c r="AK659" t="s">
        <v>54</v>
      </c>
      <c r="AL659">
        <v>4.4000000000000004</v>
      </c>
      <c r="AM659" s="4">
        <f t="shared" si="81"/>
        <v>60.7</v>
      </c>
      <c r="AN659" s="4">
        <f t="shared" si="82"/>
        <v>92.474999999999994</v>
      </c>
      <c r="AO659" s="4">
        <f t="shared" si="83"/>
        <v>102.73972499999999</v>
      </c>
      <c r="AP659" s="4">
        <f t="shared" si="84"/>
        <v>149.80025249999997</v>
      </c>
      <c r="AQ659" s="10">
        <f t="shared" si="85"/>
        <v>105.56337000000001</v>
      </c>
      <c r="AR659" s="10">
        <f t="shared" si="86"/>
        <v>117.291460407</v>
      </c>
      <c r="AS659" s="10">
        <f t="shared" si="87"/>
        <v>164.34105441599999</v>
      </c>
    </row>
    <row r="660" spans="1:45" x14ac:dyDescent="0.3">
      <c r="A660">
        <v>2025</v>
      </c>
      <c r="B660">
        <v>11</v>
      </c>
      <c r="C660" t="s">
        <v>55</v>
      </c>
      <c r="D660">
        <v>10</v>
      </c>
      <c r="E660" t="s">
        <v>36</v>
      </c>
      <c r="F660" t="s">
        <v>37</v>
      </c>
      <c r="G660" t="s">
        <v>38</v>
      </c>
      <c r="H660" t="s">
        <v>78</v>
      </c>
      <c r="I660" t="s">
        <v>375</v>
      </c>
      <c r="J660" t="s">
        <v>376</v>
      </c>
      <c r="K660" t="s">
        <v>51</v>
      </c>
      <c r="L660" t="s">
        <v>1622</v>
      </c>
      <c r="M660" t="s">
        <v>1623</v>
      </c>
      <c r="N660" t="s">
        <v>1485</v>
      </c>
      <c r="O660" t="s">
        <v>1197</v>
      </c>
      <c r="Q660" t="s">
        <v>62</v>
      </c>
      <c r="R660" t="s">
        <v>1624</v>
      </c>
      <c r="S660" t="s">
        <v>1624</v>
      </c>
      <c r="T660" t="s">
        <v>47</v>
      </c>
      <c r="U660" t="s">
        <v>105</v>
      </c>
      <c r="V660" t="s">
        <v>49</v>
      </c>
      <c r="W660" t="s">
        <v>708</v>
      </c>
      <c r="X660" t="s">
        <v>51</v>
      </c>
      <c r="Y660" t="s">
        <v>471</v>
      </c>
      <c r="Z660" t="s">
        <v>471</v>
      </c>
      <c r="AA660" t="s">
        <v>269</v>
      </c>
      <c r="AB660" s="3">
        <f t="shared" si="80"/>
        <v>2</v>
      </c>
      <c r="AC660">
        <v>102.27</v>
      </c>
      <c r="AD660" s="2">
        <v>51.134999999999998</v>
      </c>
      <c r="AE660" s="2">
        <v>47.15</v>
      </c>
      <c r="AF660" s="2">
        <v>0.69</v>
      </c>
      <c r="AG660" s="2">
        <v>150.11000000000001</v>
      </c>
      <c r="AH660">
        <v>0</v>
      </c>
      <c r="AI660">
        <v>75.055000000000007</v>
      </c>
      <c r="AJ660">
        <v>0.75055000000000005</v>
      </c>
      <c r="AK660" t="s">
        <v>54</v>
      </c>
      <c r="AL660">
        <v>2.25</v>
      </c>
      <c r="AM660" s="4">
        <f t="shared" si="81"/>
        <v>75.055000000000007</v>
      </c>
      <c r="AN660" s="4">
        <f t="shared" si="82"/>
        <v>95.878124999999997</v>
      </c>
      <c r="AO660" s="4">
        <f t="shared" si="83"/>
        <v>106.520596875</v>
      </c>
      <c r="AP660" s="4">
        <f t="shared" si="84"/>
        <v>155.31297468749997</v>
      </c>
      <c r="AQ660" s="10">
        <f t="shared" si="85"/>
        <v>130.52815050000001</v>
      </c>
      <c r="AR660" s="10">
        <f t="shared" si="86"/>
        <v>145.02982802055001</v>
      </c>
      <c r="AS660" s="10">
        <f t="shared" si="87"/>
        <v>203.20622469840001</v>
      </c>
    </row>
    <row r="661" spans="1:45" x14ac:dyDescent="0.3">
      <c r="A661">
        <v>2025</v>
      </c>
      <c r="B661">
        <v>7</v>
      </c>
      <c r="C661" t="s">
        <v>55</v>
      </c>
      <c r="D661">
        <v>10</v>
      </c>
      <c r="E661" t="s">
        <v>36</v>
      </c>
      <c r="F661" t="s">
        <v>37</v>
      </c>
      <c r="G661" t="s">
        <v>38</v>
      </c>
      <c r="H661" t="s">
        <v>83</v>
      </c>
      <c r="I661" t="s">
        <v>190</v>
      </c>
      <c r="J661" t="s">
        <v>58</v>
      </c>
      <c r="K661" t="s">
        <v>41</v>
      </c>
      <c r="L661" t="s">
        <v>953</v>
      </c>
      <c r="M661" t="s">
        <v>954</v>
      </c>
      <c r="N661" t="s">
        <v>731</v>
      </c>
      <c r="O661" t="s">
        <v>36</v>
      </c>
      <c r="Q661" t="s">
        <v>62</v>
      </c>
      <c r="R661" t="s">
        <v>955</v>
      </c>
      <c r="S661" t="s">
        <v>956</v>
      </c>
      <c r="T661" t="s">
        <v>47</v>
      </c>
      <c r="U661" t="s">
        <v>105</v>
      </c>
      <c r="V661" t="s">
        <v>49</v>
      </c>
      <c r="W661" t="s">
        <v>708</v>
      </c>
      <c r="X661" t="s">
        <v>51</v>
      </c>
      <c r="Y661" t="s">
        <v>1691</v>
      </c>
      <c r="Z661" t="s">
        <v>1691</v>
      </c>
      <c r="AA661" t="s">
        <v>269</v>
      </c>
      <c r="AB661" s="3">
        <f t="shared" si="80"/>
        <v>2</v>
      </c>
      <c r="AC661">
        <v>86.89</v>
      </c>
      <c r="AD661" s="2">
        <v>43.445</v>
      </c>
      <c r="AE661" s="2">
        <v>12.17</v>
      </c>
      <c r="AF661" s="2">
        <v>0.6</v>
      </c>
      <c r="AG661" s="2">
        <v>99.66</v>
      </c>
      <c r="AH661">
        <v>0</v>
      </c>
      <c r="AI661">
        <v>49.83</v>
      </c>
      <c r="AJ661">
        <v>0.49830000000000002</v>
      </c>
      <c r="AK661" t="s">
        <v>54</v>
      </c>
      <c r="AL661">
        <v>0.46</v>
      </c>
      <c r="AM661" s="4">
        <f t="shared" si="81"/>
        <v>49.83</v>
      </c>
      <c r="AN661" s="4">
        <f t="shared" si="82"/>
        <v>81.459374999999994</v>
      </c>
      <c r="AO661" s="4">
        <f t="shared" si="83"/>
        <v>90.501365624999991</v>
      </c>
      <c r="AP661" s="4">
        <f t="shared" si="84"/>
        <v>131.95604156249999</v>
      </c>
      <c r="AQ661" s="10">
        <f t="shared" si="85"/>
        <v>86.659352999999996</v>
      </c>
      <c r="AR661" s="10">
        <f t="shared" si="86"/>
        <v>96.287207118299989</v>
      </c>
      <c r="AS661" s="10">
        <f t="shared" si="87"/>
        <v>134.91128075039998</v>
      </c>
    </row>
    <row r="662" spans="1:45" x14ac:dyDescent="0.3">
      <c r="A662">
        <v>2025</v>
      </c>
      <c r="B662">
        <v>3</v>
      </c>
      <c r="C662" t="s">
        <v>55</v>
      </c>
      <c r="D662">
        <v>10</v>
      </c>
      <c r="E662" t="s">
        <v>36</v>
      </c>
      <c r="F662" t="s">
        <v>37</v>
      </c>
      <c r="G662" t="s">
        <v>38</v>
      </c>
      <c r="H662" t="s">
        <v>83</v>
      </c>
      <c r="I662" t="s">
        <v>190</v>
      </c>
      <c r="J662" t="s">
        <v>58</v>
      </c>
      <c r="K662" t="s">
        <v>59</v>
      </c>
      <c r="M662" t="s">
        <v>209</v>
      </c>
      <c r="N662" t="s">
        <v>61</v>
      </c>
      <c r="O662" t="s">
        <v>43</v>
      </c>
      <c r="Q662" t="s">
        <v>62</v>
      </c>
      <c r="R662" t="s">
        <v>210</v>
      </c>
      <c r="S662" t="s">
        <v>211</v>
      </c>
      <c r="T662" t="s">
        <v>47</v>
      </c>
      <c r="U662" t="s">
        <v>118</v>
      </c>
      <c r="V662" t="s">
        <v>49</v>
      </c>
      <c r="W662" t="s">
        <v>119</v>
      </c>
      <c r="X662" t="s">
        <v>51</v>
      </c>
      <c r="Y662" t="s">
        <v>1066</v>
      </c>
      <c r="Z662" t="s">
        <v>1067</v>
      </c>
      <c r="AA662" t="s">
        <v>1068</v>
      </c>
      <c r="AB662" s="3">
        <f t="shared" si="80"/>
        <v>1</v>
      </c>
      <c r="AC662">
        <v>100.76</v>
      </c>
      <c r="AD662" s="2">
        <v>100.76</v>
      </c>
      <c r="AE662" s="2">
        <v>29.4</v>
      </c>
      <c r="AF662" s="2">
        <v>0.69</v>
      </c>
      <c r="AG662" s="2">
        <v>130.49</v>
      </c>
      <c r="AH662">
        <v>0</v>
      </c>
      <c r="AI662">
        <v>130.49</v>
      </c>
      <c r="AJ662">
        <v>0.65244999999999997</v>
      </c>
      <c r="AK662" t="s">
        <v>54</v>
      </c>
      <c r="AL662">
        <v>2.17</v>
      </c>
      <c r="AM662" s="4">
        <f t="shared" si="81"/>
        <v>130.49</v>
      </c>
      <c r="AN662" s="4">
        <f t="shared" si="82"/>
        <v>188.92500000000001</v>
      </c>
      <c r="AO662" s="4">
        <f t="shared" si="83"/>
        <v>209.89567500000001</v>
      </c>
      <c r="AP662" s="4">
        <f t="shared" si="84"/>
        <v>306.03960749999999</v>
      </c>
      <c r="AQ662" s="10">
        <f t="shared" si="85"/>
        <v>226.93515900000003</v>
      </c>
      <c r="AR662" s="10">
        <f t="shared" si="86"/>
        <v>252.14765516490002</v>
      </c>
      <c r="AS662" s="10">
        <f t="shared" si="87"/>
        <v>353.29265553120001</v>
      </c>
    </row>
    <row r="663" spans="1:45" x14ac:dyDescent="0.3">
      <c r="A663">
        <v>2025</v>
      </c>
      <c r="B663">
        <v>10</v>
      </c>
      <c r="C663" t="s">
        <v>55</v>
      </c>
      <c r="D663">
        <v>10</v>
      </c>
      <c r="E663" t="s">
        <v>36</v>
      </c>
      <c r="F663" t="s">
        <v>37</v>
      </c>
      <c r="G663" t="s">
        <v>38</v>
      </c>
      <c r="H663" t="s">
        <v>83</v>
      </c>
      <c r="I663" t="s">
        <v>375</v>
      </c>
      <c r="J663" t="s">
        <v>376</v>
      </c>
      <c r="K663" t="s">
        <v>59</v>
      </c>
      <c r="L663" t="s">
        <v>1549</v>
      </c>
      <c r="M663" t="s">
        <v>1550</v>
      </c>
      <c r="N663" t="s">
        <v>1551</v>
      </c>
      <c r="O663" t="s">
        <v>1197</v>
      </c>
      <c r="Q663" t="s">
        <v>62</v>
      </c>
      <c r="R663" t="s">
        <v>1552</v>
      </c>
      <c r="S663" t="s">
        <v>1552</v>
      </c>
      <c r="T663" t="s">
        <v>47</v>
      </c>
      <c r="U663" t="s">
        <v>118</v>
      </c>
      <c r="V663" t="s">
        <v>49</v>
      </c>
      <c r="W663" t="s">
        <v>714</v>
      </c>
      <c r="X663" t="s">
        <v>51</v>
      </c>
      <c r="Y663" t="s">
        <v>324</v>
      </c>
      <c r="Z663" t="s">
        <v>64</v>
      </c>
      <c r="AA663" t="s">
        <v>325</v>
      </c>
      <c r="AB663" s="3">
        <f t="shared" si="80"/>
        <v>2</v>
      </c>
      <c r="AC663">
        <v>538.33000000000004</v>
      </c>
      <c r="AD663" s="2">
        <v>269.16500000000002</v>
      </c>
      <c r="AE663" s="2">
        <v>120.24</v>
      </c>
      <c r="AF663" s="2">
        <v>3.94</v>
      </c>
      <c r="AG663" s="2">
        <v>662.51</v>
      </c>
      <c r="AH663">
        <v>0</v>
      </c>
      <c r="AI663">
        <v>331.255</v>
      </c>
      <c r="AJ663">
        <v>3.3125499999999999</v>
      </c>
      <c r="AK663" t="s">
        <v>54</v>
      </c>
      <c r="AL663">
        <v>4.4000000000000004</v>
      </c>
      <c r="AM663" s="4">
        <f t="shared" si="81"/>
        <v>331.255</v>
      </c>
      <c r="AN663" s="4">
        <f t="shared" si="82"/>
        <v>504.68437500000005</v>
      </c>
      <c r="AO663" s="4">
        <f t="shared" si="83"/>
        <v>560.7043406250001</v>
      </c>
      <c r="AP663" s="4">
        <f t="shared" si="84"/>
        <v>817.53821906250005</v>
      </c>
      <c r="AQ663" s="10">
        <f t="shared" si="85"/>
        <v>576.08557050000002</v>
      </c>
      <c r="AR663" s="10">
        <f t="shared" si="86"/>
        <v>640.08867738255003</v>
      </c>
      <c r="AS663" s="10">
        <f t="shared" si="87"/>
        <v>896.85001615440001</v>
      </c>
    </row>
    <row r="664" spans="1:45" x14ac:dyDescent="0.3">
      <c r="A664">
        <v>2025</v>
      </c>
      <c r="B664">
        <v>12</v>
      </c>
      <c r="C664" t="s">
        <v>55</v>
      </c>
      <c r="D664">
        <v>10</v>
      </c>
      <c r="E664" t="s">
        <v>36</v>
      </c>
      <c r="F664" t="s">
        <v>37</v>
      </c>
      <c r="G664" t="s">
        <v>38</v>
      </c>
      <c r="H664" t="s">
        <v>1462</v>
      </c>
      <c r="I664" t="s">
        <v>57</v>
      </c>
      <c r="J664" t="s">
        <v>58</v>
      </c>
      <c r="K664" t="s">
        <v>59</v>
      </c>
      <c r="L664" t="s">
        <v>1769</v>
      </c>
      <c r="M664" t="s">
        <v>1770</v>
      </c>
      <c r="N664" t="s">
        <v>1771</v>
      </c>
      <c r="O664" t="s">
        <v>1197</v>
      </c>
      <c r="Q664" t="s">
        <v>62</v>
      </c>
      <c r="R664" t="s">
        <v>1772</v>
      </c>
      <c r="S664" t="s">
        <v>1772</v>
      </c>
      <c r="T664" t="s">
        <v>47</v>
      </c>
      <c r="U664" t="s">
        <v>1539</v>
      </c>
      <c r="V664" t="s">
        <v>49</v>
      </c>
      <c r="W664" t="s">
        <v>1540</v>
      </c>
      <c r="X664" t="s">
        <v>51</v>
      </c>
      <c r="Y664" t="s">
        <v>1580</v>
      </c>
      <c r="Z664" t="s">
        <v>1580</v>
      </c>
      <c r="AA664" t="s">
        <v>325</v>
      </c>
      <c r="AB664" s="3">
        <f t="shared" si="80"/>
        <v>6.0000000000000009</v>
      </c>
      <c r="AC664">
        <v>1496.7</v>
      </c>
      <c r="AD664" s="2">
        <v>249.45</v>
      </c>
      <c r="AE664" s="2">
        <v>683.83</v>
      </c>
      <c r="AF664" s="2">
        <v>13.34</v>
      </c>
      <c r="AG664" s="2">
        <v>2193.2399999999998</v>
      </c>
      <c r="AH664">
        <v>0</v>
      </c>
      <c r="AI664">
        <v>365.54</v>
      </c>
      <c r="AJ664">
        <v>10.966200000000001</v>
      </c>
      <c r="AK664" t="s">
        <v>54</v>
      </c>
      <c r="AL664">
        <v>30.97</v>
      </c>
      <c r="AM664" s="4">
        <f t="shared" si="81"/>
        <v>365.53999999999991</v>
      </c>
      <c r="AN664" s="4">
        <f t="shared" si="82"/>
        <v>467.71875</v>
      </c>
      <c r="AO664" s="4">
        <f t="shared" si="83"/>
        <v>519.63553124999999</v>
      </c>
      <c r="AP664" s="4">
        <f t="shared" si="84"/>
        <v>757.65760312499992</v>
      </c>
      <c r="AQ664" s="10">
        <f t="shared" si="85"/>
        <v>635.71061399999985</v>
      </c>
      <c r="AR664" s="10">
        <f t="shared" si="86"/>
        <v>706.33806321539987</v>
      </c>
      <c r="AS664" s="10">
        <f t="shared" si="87"/>
        <v>989.67428387519976</v>
      </c>
    </row>
    <row r="665" spans="1:45" x14ac:dyDescent="0.3">
      <c r="A665">
        <v>2025</v>
      </c>
      <c r="B665">
        <v>12</v>
      </c>
      <c r="C665" t="s">
        <v>55</v>
      </c>
      <c r="D665">
        <v>10</v>
      </c>
      <c r="E665" t="s">
        <v>36</v>
      </c>
      <c r="F665" t="s">
        <v>37</v>
      </c>
      <c r="G665" t="s">
        <v>38</v>
      </c>
      <c r="H665" t="s">
        <v>83</v>
      </c>
      <c r="I665" t="s">
        <v>57</v>
      </c>
      <c r="J665" t="s">
        <v>58</v>
      </c>
      <c r="K665" t="s">
        <v>59</v>
      </c>
      <c r="L665" t="s">
        <v>1769</v>
      </c>
      <c r="M665" t="s">
        <v>1770</v>
      </c>
      <c r="N665" t="s">
        <v>1771</v>
      </c>
      <c r="O665" t="s">
        <v>1197</v>
      </c>
      <c r="Q665" t="s">
        <v>62</v>
      </c>
      <c r="R665" t="s">
        <v>1772</v>
      </c>
      <c r="S665" t="s">
        <v>1772</v>
      </c>
      <c r="T665" t="s">
        <v>47</v>
      </c>
      <c r="U665" t="s">
        <v>118</v>
      </c>
      <c r="V665" t="s">
        <v>49</v>
      </c>
      <c r="W665" t="s">
        <v>714</v>
      </c>
      <c r="X665" t="s">
        <v>51</v>
      </c>
      <c r="Y665" t="s">
        <v>1932</v>
      </c>
      <c r="Z665" t="s">
        <v>1932</v>
      </c>
      <c r="AA665" t="s">
        <v>1933</v>
      </c>
      <c r="AB665" s="3">
        <f t="shared" si="80"/>
        <v>2</v>
      </c>
      <c r="AC665">
        <v>704.77</v>
      </c>
      <c r="AD665" s="2">
        <v>352.38499999999999</v>
      </c>
      <c r="AE665" s="2">
        <v>209.22</v>
      </c>
      <c r="AF665" s="2">
        <v>5.29</v>
      </c>
      <c r="AG665" s="2">
        <v>919.28</v>
      </c>
      <c r="AH665">
        <v>0</v>
      </c>
      <c r="AI665">
        <v>459.64</v>
      </c>
      <c r="AJ665">
        <v>4.5964</v>
      </c>
      <c r="AK665" t="s">
        <v>54</v>
      </c>
      <c r="AL665">
        <v>5.24</v>
      </c>
      <c r="AM665" s="4">
        <f t="shared" si="81"/>
        <v>459.64</v>
      </c>
      <c r="AN665" s="4">
        <f t="shared" si="82"/>
        <v>660.72187499999995</v>
      </c>
      <c r="AO665" s="4">
        <f t="shared" si="83"/>
        <v>734.06200312499993</v>
      </c>
      <c r="AP665" s="4">
        <f t="shared" si="84"/>
        <v>1070.3033653124999</v>
      </c>
      <c r="AQ665" s="10">
        <f t="shared" si="85"/>
        <v>799.35992399999998</v>
      </c>
      <c r="AR665" s="10">
        <f t="shared" si="86"/>
        <v>888.16881155639999</v>
      </c>
      <c r="AS665" s="10">
        <f t="shared" si="87"/>
        <v>1244.4435296832</v>
      </c>
    </row>
    <row r="666" spans="1:45" x14ac:dyDescent="0.3">
      <c r="A666">
        <v>2025</v>
      </c>
      <c r="B666">
        <v>12</v>
      </c>
      <c r="C666" t="s">
        <v>55</v>
      </c>
      <c r="D666">
        <v>10</v>
      </c>
      <c r="E666" t="s">
        <v>36</v>
      </c>
      <c r="F666" t="s">
        <v>37</v>
      </c>
      <c r="G666" t="s">
        <v>38</v>
      </c>
      <c r="H666" t="s">
        <v>83</v>
      </c>
      <c r="I666" t="s">
        <v>57</v>
      </c>
      <c r="J666" t="s">
        <v>58</v>
      </c>
      <c r="K666" t="s">
        <v>59</v>
      </c>
      <c r="L666" t="s">
        <v>1769</v>
      </c>
      <c r="M666" t="s">
        <v>1770</v>
      </c>
      <c r="N666" t="s">
        <v>1771</v>
      </c>
      <c r="O666" t="s">
        <v>1197</v>
      </c>
      <c r="Q666" t="s">
        <v>62</v>
      </c>
      <c r="R666" t="s">
        <v>1772</v>
      </c>
      <c r="S666" t="s">
        <v>1772</v>
      </c>
      <c r="T666" t="s">
        <v>47</v>
      </c>
      <c r="U666" t="s">
        <v>105</v>
      </c>
      <c r="V666" t="s">
        <v>49</v>
      </c>
      <c r="W666" t="s">
        <v>708</v>
      </c>
      <c r="X666" t="s">
        <v>51</v>
      </c>
      <c r="Y666" t="s">
        <v>1860</v>
      </c>
      <c r="Z666" t="s">
        <v>1860</v>
      </c>
      <c r="AA666" t="s">
        <v>1861</v>
      </c>
      <c r="AB666" s="3">
        <f t="shared" si="80"/>
        <v>1</v>
      </c>
      <c r="AC666">
        <v>114.2</v>
      </c>
      <c r="AD666" s="2">
        <v>114.2</v>
      </c>
      <c r="AE666" s="2">
        <v>33.85</v>
      </c>
      <c r="AF666" s="2">
        <v>0.86</v>
      </c>
      <c r="AG666" s="2">
        <v>148.72999999999999</v>
      </c>
      <c r="AH666">
        <v>0</v>
      </c>
      <c r="AI666">
        <v>148.72999999999999</v>
      </c>
      <c r="AJ666">
        <v>0.74365000000000003</v>
      </c>
      <c r="AK666" t="s">
        <v>54</v>
      </c>
      <c r="AL666">
        <v>0.85</v>
      </c>
      <c r="AM666" s="4">
        <f t="shared" si="81"/>
        <v>148.72999999999999</v>
      </c>
      <c r="AN666" s="4">
        <f t="shared" si="82"/>
        <v>214.125</v>
      </c>
      <c r="AO666" s="4">
        <f t="shared" si="83"/>
        <v>237.892875</v>
      </c>
      <c r="AP666" s="4">
        <f t="shared" si="84"/>
        <v>346.8610875</v>
      </c>
      <c r="AQ666" s="10">
        <f t="shared" si="85"/>
        <v>258.65634299999999</v>
      </c>
      <c r="AR666" s="10">
        <f t="shared" si="86"/>
        <v>287.39306270729998</v>
      </c>
      <c r="AS666" s="10">
        <f t="shared" si="87"/>
        <v>402.67619478239999</v>
      </c>
    </row>
    <row r="667" spans="1:45" x14ac:dyDescent="0.3">
      <c r="A667">
        <v>2025</v>
      </c>
      <c r="B667">
        <v>3</v>
      </c>
      <c r="C667" t="s">
        <v>55</v>
      </c>
      <c r="D667">
        <v>10</v>
      </c>
      <c r="E667" t="s">
        <v>36</v>
      </c>
      <c r="F667" t="s">
        <v>37</v>
      </c>
      <c r="G667" t="s">
        <v>38</v>
      </c>
      <c r="H667" t="s">
        <v>83</v>
      </c>
      <c r="I667" t="s">
        <v>190</v>
      </c>
      <c r="J667" t="s">
        <v>58</v>
      </c>
      <c r="K667" t="s">
        <v>59</v>
      </c>
      <c r="M667" t="s">
        <v>209</v>
      </c>
      <c r="N667" t="s">
        <v>61</v>
      </c>
      <c r="O667" t="s">
        <v>43</v>
      </c>
      <c r="Q667" t="s">
        <v>62</v>
      </c>
      <c r="R667" t="s">
        <v>210</v>
      </c>
      <c r="S667" t="s">
        <v>211</v>
      </c>
      <c r="T667" t="s">
        <v>47</v>
      </c>
      <c r="U667" t="s">
        <v>118</v>
      </c>
      <c r="V667" t="s">
        <v>49</v>
      </c>
      <c r="W667" t="s">
        <v>119</v>
      </c>
      <c r="X667" t="s">
        <v>51</v>
      </c>
      <c r="Y667" t="s">
        <v>1066</v>
      </c>
      <c r="Z667" t="s">
        <v>1067</v>
      </c>
      <c r="AA667" t="s">
        <v>1846</v>
      </c>
      <c r="AB667" s="3">
        <f t="shared" si="80"/>
        <v>1</v>
      </c>
      <c r="AC667">
        <v>57.22</v>
      </c>
      <c r="AD667" s="2">
        <v>57.22</v>
      </c>
      <c r="AE667" s="2">
        <v>16.989999999999998</v>
      </c>
      <c r="AF667" s="2">
        <v>0.43</v>
      </c>
      <c r="AG667" s="2">
        <v>74.63</v>
      </c>
      <c r="AH667">
        <v>0</v>
      </c>
      <c r="AI667">
        <v>74.63</v>
      </c>
      <c r="AJ667">
        <v>0.37314999999999998</v>
      </c>
      <c r="AK667" t="s">
        <v>54</v>
      </c>
      <c r="AL667">
        <v>0.43</v>
      </c>
      <c r="AM667" s="4">
        <f t="shared" si="81"/>
        <v>74.63</v>
      </c>
      <c r="AN667" s="4">
        <f t="shared" si="82"/>
        <v>107.28749999999999</v>
      </c>
      <c r="AO667" s="4">
        <f t="shared" si="83"/>
        <v>119.19641249999999</v>
      </c>
      <c r="AP667" s="4">
        <f t="shared" si="84"/>
        <v>173.79502124999999</v>
      </c>
      <c r="AQ667" s="10">
        <f t="shared" si="85"/>
        <v>129.78903299999999</v>
      </c>
      <c r="AR667" s="10">
        <f t="shared" si="86"/>
        <v>144.20859456629998</v>
      </c>
      <c r="AS667" s="10">
        <f t="shared" si="87"/>
        <v>202.05556657439999</v>
      </c>
    </row>
    <row r="668" spans="1:45" x14ac:dyDescent="0.3">
      <c r="A668">
        <v>2025</v>
      </c>
      <c r="B668">
        <v>8</v>
      </c>
      <c r="C668" t="s">
        <v>55</v>
      </c>
      <c r="D668">
        <v>10</v>
      </c>
      <c r="E668" t="s">
        <v>36</v>
      </c>
      <c r="F668" t="s">
        <v>37</v>
      </c>
      <c r="G668" t="s">
        <v>38</v>
      </c>
      <c r="H668" t="s">
        <v>83</v>
      </c>
      <c r="I668" t="s">
        <v>190</v>
      </c>
      <c r="J668" t="s">
        <v>58</v>
      </c>
      <c r="K668" t="s">
        <v>59</v>
      </c>
      <c r="L668" t="s">
        <v>1194</v>
      </c>
      <c r="M668" t="s">
        <v>1195</v>
      </c>
      <c r="N668" t="s">
        <v>1196</v>
      </c>
      <c r="O668" t="s">
        <v>1197</v>
      </c>
      <c r="Q668" t="s">
        <v>62</v>
      </c>
      <c r="R668" t="s">
        <v>1198</v>
      </c>
      <c r="S668" t="s">
        <v>1198</v>
      </c>
      <c r="T668" t="s">
        <v>47</v>
      </c>
      <c r="U668" t="s">
        <v>118</v>
      </c>
      <c r="V668" t="s">
        <v>49</v>
      </c>
      <c r="W668" t="s">
        <v>714</v>
      </c>
      <c r="X668" t="s">
        <v>388</v>
      </c>
      <c r="Y668" t="s">
        <v>116</v>
      </c>
      <c r="Z668" t="s">
        <v>64</v>
      </c>
      <c r="AA668" t="s">
        <v>323</v>
      </c>
      <c r="AB668" s="3">
        <f t="shared" si="80"/>
        <v>2.9999999999999725</v>
      </c>
      <c r="AC668">
        <v>1088.51</v>
      </c>
      <c r="AD668" s="2">
        <v>362.83666666667</v>
      </c>
      <c r="AE668" s="2">
        <v>243.14</v>
      </c>
      <c r="AF668" s="2">
        <v>7.98</v>
      </c>
      <c r="AG668" s="2">
        <v>1339.62</v>
      </c>
      <c r="AH668">
        <v>0</v>
      </c>
      <c r="AI668">
        <v>446.54</v>
      </c>
      <c r="AJ668">
        <v>6.6981000000000002</v>
      </c>
      <c r="AK668" t="s">
        <v>54</v>
      </c>
      <c r="AL668">
        <v>6.61</v>
      </c>
      <c r="AM668" s="4">
        <f t="shared" si="81"/>
        <v>446.54000000000406</v>
      </c>
      <c r="AN668" s="4">
        <f t="shared" si="82"/>
        <v>680.31875000000628</v>
      </c>
      <c r="AO668" s="4">
        <f t="shared" si="83"/>
        <v>755.83413125000698</v>
      </c>
      <c r="AP668" s="4">
        <f t="shared" si="84"/>
        <v>1102.0483431250102</v>
      </c>
      <c r="AQ668" s="10">
        <f t="shared" si="85"/>
        <v>776.57771400000706</v>
      </c>
      <c r="AR668" s="10">
        <f t="shared" si="86"/>
        <v>862.85549802540788</v>
      </c>
      <c r="AS668" s="10">
        <f t="shared" si="87"/>
        <v>1208.9761851552109</v>
      </c>
    </row>
    <row r="669" spans="1:45" x14ac:dyDescent="0.3">
      <c r="A669">
        <v>2025</v>
      </c>
      <c r="B669">
        <v>12</v>
      </c>
      <c r="C669" t="s">
        <v>55</v>
      </c>
      <c r="D669">
        <v>10</v>
      </c>
      <c r="E669" t="s">
        <v>36</v>
      </c>
      <c r="F669" t="s">
        <v>37</v>
      </c>
      <c r="G669" t="s">
        <v>38</v>
      </c>
      <c r="H669" t="s">
        <v>83</v>
      </c>
      <c r="I669" t="s">
        <v>57</v>
      </c>
      <c r="J669" t="s">
        <v>58</v>
      </c>
      <c r="K669" t="s">
        <v>59</v>
      </c>
      <c r="L669" t="s">
        <v>1769</v>
      </c>
      <c r="M669" t="s">
        <v>1770</v>
      </c>
      <c r="N669" t="s">
        <v>1771</v>
      </c>
      <c r="O669" t="s">
        <v>1197</v>
      </c>
      <c r="Q669" t="s">
        <v>62</v>
      </c>
      <c r="R669" t="s">
        <v>1772</v>
      </c>
      <c r="S669" t="s">
        <v>1772</v>
      </c>
      <c r="T669" t="s">
        <v>47</v>
      </c>
      <c r="U669" t="s">
        <v>118</v>
      </c>
      <c r="V669" t="s">
        <v>49</v>
      </c>
      <c r="W669" t="s">
        <v>714</v>
      </c>
      <c r="X669" t="s">
        <v>51</v>
      </c>
      <c r="Y669" t="s">
        <v>1097</v>
      </c>
      <c r="Z669" t="s">
        <v>1097</v>
      </c>
      <c r="AA669" t="s">
        <v>323</v>
      </c>
      <c r="AB669" s="3">
        <f t="shared" si="80"/>
        <v>2</v>
      </c>
      <c r="AC669">
        <v>615.29999999999995</v>
      </c>
      <c r="AD669" s="2">
        <v>307.64999999999998</v>
      </c>
      <c r="AE669" s="2">
        <v>44.9</v>
      </c>
      <c r="AF669" s="2">
        <v>3.98</v>
      </c>
      <c r="AG669" s="2">
        <v>663.37</v>
      </c>
      <c r="AH669">
        <v>0</v>
      </c>
      <c r="AI669">
        <v>331.685</v>
      </c>
      <c r="AJ669">
        <v>3.3168500000000001</v>
      </c>
      <c r="AK669" t="s">
        <v>54</v>
      </c>
      <c r="AL669">
        <v>5.18</v>
      </c>
      <c r="AM669" s="4">
        <f t="shared" si="81"/>
        <v>331.685</v>
      </c>
      <c r="AN669" s="4">
        <f t="shared" si="82"/>
        <v>576.84375</v>
      </c>
      <c r="AO669" s="4">
        <f t="shared" si="83"/>
        <v>640.87340625000002</v>
      </c>
      <c r="AP669" s="4">
        <f t="shared" si="84"/>
        <v>934.42919062499993</v>
      </c>
      <c r="AQ669" s="10">
        <f t="shared" si="85"/>
        <v>576.83338350000008</v>
      </c>
      <c r="AR669" s="10">
        <f t="shared" si="86"/>
        <v>640.91957240685008</v>
      </c>
      <c r="AS669" s="10">
        <f t="shared" si="87"/>
        <v>898.01421143280015</v>
      </c>
    </row>
    <row r="670" spans="1:45" x14ac:dyDescent="0.3">
      <c r="A670">
        <v>2025</v>
      </c>
      <c r="B670">
        <v>8</v>
      </c>
      <c r="C670" t="s">
        <v>55</v>
      </c>
      <c r="D670">
        <v>10</v>
      </c>
      <c r="E670" t="s">
        <v>36</v>
      </c>
      <c r="F670" t="s">
        <v>37</v>
      </c>
      <c r="G670" t="s">
        <v>38</v>
      </c>
      <c r="H670" t="s">
        <v>83</v>
      </c>
      <c r="I670" t="s">
        <v>190</v>
      </c>
      <c r="J670" t="s">
        <v>58</v>
      </c>
      <c r="K670" t="s">
        <v>59</v>
      </c>
      <c r="L670" t="s">
        <v>1194</v>
      </c>
      <c r="M670" t="s">
        <v>1195</v>
      </c>
      <c r="N670" t="s">
        <v>1196</v>
      </c>
      <c r="O670" t="s">
        <v>1197</v>
      </c>
      <c r="Q670" t="s">
        <v>62</v>
      </c>
      <c r="R670" t="s">
        <v>1198</v>
      </c>
      <c r="S670" t="s">
        <v>1198</v>
      </c>
      <c r="T670" t="s">
        <v>47</v>
      </c>
      <c r="U670" t="s">
        <v>167</v>
      </c>
      <c r="V670" t="s">
        <v>49</v>
      </c>
      <c r="W670" t="s">
        <v>168</v>
      </c>
      <c r="X670" t="s">
        <v>388</v>
      </c>
      <c r="Y670" t="s">
        <v>1097</v>
      </c>
      <c r="Z670" t="s">
        <v>1097</v>
      </c>
      <c r="AA670" t="s">
        <v>323</v>
      </c>
      <c r="AB670" s="3">
        <f t="shared" si="80"/>
        <v>1</v>
      </c>
      <c r="AC670">
        <v>310.8</v>
      </c>
      <c r="AD670" s="2">
        <v>310.8</v>
      </c>
      <c r="AE670" s="2">
        <v>92.5</v>
      </c>
      <c r="AF670" s="2">
        <v>2.33</v>
      </c>
      <c r="AG670" s="2">
        <v>404.46</v>
      </c>
      <c r="AH670">
        <v>0</v>
      </c>
      <c r="AI670">
        <v>404.46</v>
      </c>
      <c r="AJ670">
        <v>2.0223</v>
      </c>
      <c r="AK670" t="s">
        <v>54</v>
      </c>
      <c r="AL670">
        <v>2.2999999999999998</v>
      </c>
      <c r="AM670" s="4">
        <f t="shared" si="81"/>
        <v>404.46</v>
      </c>
      <c r="AN670" s="4">
        <f t="shared" si="82"/>
        <v>582.75</v>
      </c>
      <c r="AO670" s="4">
        <f t="shared" si="83"/>
        <v>647.43525</v>
      </c>
      <c r="AP670" s="4">
        <f t="shared" si="84"/>
        <v>943.99672499999997</v>
      </c>
      <c r="AQ670" s="10">
        <f t="shared" si="85"/>
        <v>703.39638600000001</v>
      </c>
      <c r="AR670" s="10">
        <f t="shared" si="86"/>
        <v>781.54372448460003</v>
      </c>
      <c r="AS670" s="10">
        <f t="shared" si="87"/>
        <v>1095.0474937248</v>
      </c>
    </row>
    <row r="671" spans="1:45" x14ac:dyDescent="0.3">
      <c r="A671">
        <v>2025</v>
      </c>
      <c r="B671">
        <v>8</v>
      </c>
      <c r="C671" t="s">
        <v>55</v>
      </c>
      <c r="D671">
        <v>10</v>
      </c>
      <c r="E671" t="s">
        <v>36</v>
      </c>
      <c r="F671" t="s">
        <v>37</v>
      </c>
      <c r="G671" t="s">
        <v>38</v>
      </c>
      <c r="H671" t="s">
        <v>83</v>
      </c>
      <c r="I671" t="s">
        <v>190</v>
      </c>
      <c r="J671" t="s">
        <v>58</v>
      </c>
      <c r="K671" t="s">
        <v>59</v>
      </c>
      <c r="L671" t="s">
        <v>1194</v>
      </c>
      <c r="M671" t="s">
        <v>1195</v>
      </c>
      <c r="N671" t="s">
        <v>1196</v>
      </c>
      <c r="O671" t="s">
        <v>1197</v>
      </c>
      <c r="Q671" t="s">
        <v>62</v>
      </c>
      <c r="R671" t="s">
        <v>1198</v>
      </c>
      <c r="S671" t="s">
        <v>1198</v>
      </c>
      <c r="T671" t="s">
        <v>47</v>
      </c>
      <c r="U671" t="s">
        <v>244</v>
      </c>
      <c r="V671" t="s">
        <v>49</v>
      </c>
      <c r="W671" t="s">
        <v>90</v>
      </c>
      <c r="X671" t="s">
        <v>388</v>
      </c>
      <c r="Y671" t="s">
        <v>1419</v>
      </c>
      <c r="Z671" t="s">
        <v>1419</v>
      </c>
      <c r="AA671" t="s">
        <v>1420</v>
      </c>
      <c r="AB671" s="3">
        <f t="shared" si="80"/>
        <v>1</v>
      </c>
      <c r="AC671">
        <v>250.51</v>
      </c>
      <c r="AD671" s="2">
        <v>250.51</v>
      </c>
      <c r="AE671" s="2">
        <v>17.95</v>
      </c>
      <c r="AF671" s="2">
        <v>1.62</v>
      </c>
      <c r="AG671" s="2">
        <v>270.89999999999998</v>
      </c>
      <c r="AH671">
        <v>0</v>
      </c>
      <c r="AI671">
        <v>270.89999999999998</v>
      </c>
      <c r="AJ671">
        <v>1.3545</v>
      </c>
      <c r="AK671" t="s">
        <v>54</v>
      </c>
      <c r="AL671">
        <v>2.11</v>
      </c>
      <c r="AM671" s="4">
        <f t="shared" si="81"/>
        <v>270.89999999999998</v>
      </c>
      <c r="AN671" s="4">
        <f t="shared" si="82"/>
        <v>469.70624999999995</v>
      </c>
      <c r="AO671" s="4">
        <f t="shared" si="83"/>
        <v>521.84364374999996</v>
      </c>
      <c r="AP671" s="4">
        <f t="shared" si="84"/>
        <v>760.87715437499992</v>
      </c>
      <c r="AQ671" s="10">
        <f t="shared" si="85"/>
        <v>471.12218999999999</v>
      </c>
      <c r="AR671" s="10">
        <f t="shared" si="86"/>
        <v>523.46386530899997</v>
      </c>
      <c r="AS671" s="10">
        <f t="shared" si="87"/>
        <v>733.44302539199998</v>
      </c>
    </row>
    <row r="672" spans="1:45" x14ac:dyDescent="0.3">
      <c r="A672">
        <v>2025</v>
      </c>
      <c r="B672">
        <v>7</v>
      </c>
      <c r="C672" t="s">
        <v>55</v>
      </c>
      <c r="D672">
        <v>10</v>
      </c>
      <c r="E672" t="s">
        <v>36</v>
      </c>
      <c r="F672" t="s">
        <v>37</v>
      </c>
      <c r="G672" t="s">
        <v>38</v>
      </c>
      <c r="H672" t="s">
        <v>83</v>
      </c>
      <c r="I672" t="s">
        <v>190</v>
      </c>
      <c r="J672" t="s">
        <v>58</v>
      </c>
      <c r="K672" t="s">
        <v>41</v>
      </c>
      <c r="L672" t="s">
        <v>953</v>
      </c>
      <c r="M672" t="s">
        <v>954</v>
      </c>
      <c r="N672" t="s">
        <v>731</v>
      </c>
      <c r="O672" t="s">
        <v>36</v>
      </c>
      <c r="Q672" t="s">
        <v>62</v>
      </c>
      <c r="R672" t="s">
        <v>955</v>
      </c>
      <c r="S672" t="s">
        <v>956</v>
      </c>
      <c r="T672" t="s">
        <v>47</v>
      </c>
      <c r="U672" t="s">
        <v>1184</v>
      </c>
      <c r="V672" t="s">
        <v>49</v>
      </c>
      <c r="W672" t="s">
        <v>1185</v>
      </c>
      <c r="X672" t="s">
        <v>51</v>
      </c>
      <c r="Y672" t="s">
        <v>1271</v>
      </c>
      <c r="Z672" t="s">
        <v>1271</v>
      </c>
      <c r="AA672" t="s">
        <v>1272</v>
      </c>
      <c r="AB672" s="3">
        <f t="shared" si="80"/>
        <v>1</v>
      </c>
      <c r="AC672">
        <v>37.1</v>
      </c>
      <c r="AD672" s="2">
        <v>37.1</v>
      </c>
      <c r="AE672" s="2">
        <v>2.66</v>
      </c>
      <c r="AF672" s="2">
        <v>0.24</v>
      </c>
      <c r="AG672" s="2">
        <v>40</v>
      </c>
      <c r="AH672">
        <v>0</v>
      </c>
      <c r="AI672">
        <v>40</v>
      </c>
      <c r="AJ672">
        <v>0.2</v>
      </c>
      <c r="AK672" t="s">
        <v>54</v>
      </c>
      <c r="AL672">
        <v>0.31</v>
      </c>
      <c r="AM672" s="4">
        <f t="shared" si="81"/>
        <v>40</v>
      </c>
      <c r="AN672" s="4">
        <f t="shared" si="82"/>
        <v>69.5625</v>
      </c>
      <c r="AO672" s="4">
        <f t="shared" si="83"/>
        <v>77.283937499999993</v>
      </c>
      <c r="AP672" s="4">
        <f t="shared" si="84"/>
        <v>112.68429374999999</v>
      </c>
      <c r="AQ672" s="10">
        <f t="shared" si="85"/>
        <v>69.564000000000007</v>
      </c>
      <c r="AR672" s="10">
        <f t="shared" si="86"/>
        <v>77.292560399999999</v>
      </c>
      <c r="AS672" s="10">
        <f t="shared" si="87"/>
        <v>108.2972352</v>
      </c>
    </row>
    <row r="673" spans="1:45" x14ac:dyDescent="0.3">
      <c r="A673">
        <v>2025</v>
      </c>
      <c r="B673">
        <v>9</v>
      </c>
      <c r="C673" t="s">
        <v>55</v>
      </c>
      <c r="D673">
        <v>10</v>
      </c>
      <c r="E673" t="s">
        <v>36</v>
      </c>
      <c r="F673" t="s">
        <v>37</v>
      </c>
      <c r="G673" t="s">
        <v>38</v>
      </c>
      <c r="H673" t="s">
        <v>83</v>
      </c>
      <c r="I673" t="s">
        <v>375</v>
      </c>
      <c r="J673" t="s">
        <v>376</v>
      </c>
      <c r="K673" t="s">
        <v>59</v>
      </c>
      <c r="L673" t="s">
        <v>1483</v>
      </c>
      <c r="M673" t="s">
        <v>1484</v>
      </c>
      <c r="N673" t="s">
        <v>1485</v>
      </c>
      <c r="O673" t="s">
        <v>1197</v>
      </c>
      <c r="Q673" t="s">
        <v>62</v>
      </c>
      <c r="R673" t="s">
        <v>1486</v>
      </c>
      <c r="S673" t="s">
        <v>1486</v>
      </c>
      <c r="T673" t="s">
        <v>47</v>
      </c>
      <c r="U673" t="s">
        <v>649</v>
      </c>
      <c r="V673" t="s">
        <v>49</v>
      </c>
      <c r="W673" t="s">
        <v>928</v>
      </c>
      <c r="X673" t="s">
        <v>51</v>
      </c>
      <c r="Y673" t="s">
        <v>1186</v>
      </c>
      <c r="Z673" t="s">
        <v>1186</v>
      </c>
      <c r="AA673" t="s">
        <v>1187</v>
      </c>
      <c r="AB673" s="3">
        <f t="shared" si="80"/>
        <v>1</v>
      </c>
      <c r="AC673">
        <v>718.75</v>
      </c>
      <c r="AD673" s="2">
        <v>718.75</v>
      </c>
      <c r="AE673" s="2">
        <v>29.4</v>
      </c>
      <c r="AF673" s="2">
        <v>5.7</v>
      </c>
      <c r="AG673" s="2">
        <v>752.86</v>
      </c>
      <c r="AH673">
        <v>0</v>
      </c>
      <c r="AI673">
        <v>752.86</v>
      </c>
      <c r="AJ673">
        <v>3.7643</v>
      </c>
      <c r="AK673" t="s">
        <v>54</v>
      </c>
      <c r="AL673">
        <v>2.17</v>
      </c>
      <c r="AM673" s="4">
        <f t="shared" si="81"/>
        <v>752.86</v>
      </c>
      <c r="AN673" s="4">
        <f t="shared" si="82"/>
        <v>1347.65625</v>
      </c>
      <c r="AO673" s="4">
        <f t="shared" si="83"/>
        <v>1497.24609375</v>
      </c>
      <c r="AP673" s="4">
        <f t="shared" si="84"/>
        <v>2183.068359375</v>
      </c>
      <c r="AQ673" s="10">
        <f t="shared" si="85"/>
        <v>1309.2988260000002</v>
      </c>
      <c r="AR673" s="10">
        <f t="shared" si="86"/>
        <v>1454.7619255686002</v>
      </c>
      <c r="AS673" s="10">
        <f t="shared" si="87"/>
        <v>2038.3164123168003</v>
      </c>
    </row>
    <row r="674" spans="1:45" x14ac:dyDescent="0.3">
      <c r="A674">
        <v>2025</v>
      </c>
      <c r="B674">
        <v>11</v>
      </c>
      <c r="C674" t="s">
        <v>55</v>
      </c>
      <c r="D674">
        <v>10</v>
      </c>
      <c r="E674" t="s">
        <v>36</v>
      </c>
      <c r="F674" t="s">
        <v>37</v>
      </c>
      <c r="G674" t="s">
        <v>38</v>
      </c>
      <c r="H674" t="s">
        <v>83</v>
      </c>
      <c r="I674" t="s">
        <v>375</v>
      </c>
      <c r="J674" t="s">
        <v>376</v>
      </c>
      <c r="K674" t="s">
        <v>59</v>
      </c>
      <c r="L674" t="s">
        <v>1647</v>
      </c>
      <c r="M674" t="s">
        <v>1633</v>
      </c>
      <c r="N674" t="s">
        <v>1485</v>
      </c>
      <c r="O674" t="s">
        <v>1197</v>
      </c>
      <c r="Q674" t="s">
        <v>62</v>
      </c>
      <c r="R674" t="s">
        <v>1648</v>
      </c>
      <c r="S674" t="s">
        <v>1648</v>
      </c>
      <c r="T674" t="s">
        <v>47</v>
      </c>
      <c r="U674" t="s">
        <v>649</v>
      </c>
      <c r="V674" t="s">
        <v>49</v>
      </c>
      <c r="X674" t="s">
        <v>51</v>
      </c>
      <c r="Y674" t="s">
        <v>1178</v>
      </c>
      <c r="Z674" t="s">
        <v>1178</v>
      </c>
      <c r="AA674" t="s">
        <v>1548</v>
      </c>
      <c r="AB674" s="3">
        <f t="shared" si="80"/>
        <v>2</v>
      </c>
      <c r="AC674">
        <v>1097.7</v>
      </c>
      <c r="AD674" s="2">
        <v>548.85</v>
      </c>
      <c r="AE674" s="2">
        <v>170.15</v>
      </c>
      <c r="AF674" s="2">
        <v>7.78</v>
      </c>
      <c r="AG674" s="2">
        <v>1275</v>
      </c>
      <c r="AH674">
        <v>0</v>
      </c>
      <c r="AI674">
        <v>637.5</v>
      </c>
      <c r="AJ674">
        <v>6.375</v>
      </c>
      <c r="AK674" t="s">
        <v>54</v>
      </c>
      <c r="AL674">
        <v>7.4</v>
      </c>
      <c r="AM674" s="4">
        <f t="shared" si="81"/>
        <v>637.5</v>
      </c>
      <c r="AN674" s="4">
        <f t="shared" si="82"/>
        <v>1029.09375</v>
      </c>
      <c r="AO674" s="4">
        <f t="shared" si="83"/>
        <v>1143.32315625</v>
      </c>
      <c r="AP674" s="4">
        <f t="shared" si="84"/>
        <v>1667.028965625</v>
      </c>
      <c r="AQ674" s="10">
        <f t="shared" si="85"/>
        <v>1108.67625</v>
      </c>
      <c r="AR674" s="10">
        <f t="shared" si="86"/>
        <v>1231.8501813749999</v>
      </c>
      <c r="AS674" s="10">
        <f t="shared" si="87"/>
        <v>1725.9871859999998</v>
      </c>
    </row>
    <row r="675" spans="1:45" x14ac:dyDescent="0.3">
      <c r="A675">
        <v>2025</v>
      </c>
      <c r="B675">
        <v>4</v>
      </c>
      <c r="C675" t="s">
        <v>55</v>
      </c>
      <c r="D675">
        <v>10</v>
      </c>
      <c r="E675" t="s">
        <v>36</v>
      </c>
      <c r="F675" t="s">
        <v>37</v>
      </c>
      <c r="G675" t="s">
        <v>38</v>
      </c>
      <c r="H675" t="s">
        <v>83</v>
      </c>
      <c r="I675" t="s">
        <v>190</v>
      </c>
      <c r="J675" t="s">
        <v>58</v>
      </c>
      <c r="K675" t="s">
        <v>59</v>
      </c>
      <c r="M675" t="s">
        <v>383</v>
      </c>
      <c r="N675" t="s">
        <v>384</v>
      </c>
      <c r="O675" t="s">
        <v>36</v>
      </c>
      <c r="Q675" t="s">
        <v>62</v>
      </c>
      <c r="R675" t="s">
        <v>385</v>
      </c>
      <c r="S675" t="s">
        <v>385</v>
      </c>
      <c r="T675" t="s">
        <v>47</v>
      </c>
      <c r="U675" t="s">
        <v>649</v>
      </c>
      <c r="V675" t="s">
        <v>49</v>
      </c>
      <c r="W675" t="s">
        <v>650</v>
      </c>
      <c r="X675" t="s">
        <v>388</v>
      </c>
      <c r="Y675" t="s">
        <v>1178</v>
      </c>
      <c r="Z675" t="s">
        <v>1178</v>
      </c>
      <c r="AA675" t="s">
        <v>1548</v>
      </c>
      <c r="AB675" s="3">
        <f t="shared" si="80"/>
        <v>1</v>
      </c>
      <c r="AC675">
        <v>560.11</v>
      </c>
      <c r="AD675" s="2">
        <v>560.11</v>
      </c>
      <c r="AE675" s="2">
        <v>187.39</v>
      </c>
      <c r="AF675" s="2">
        <v>4.43</v>
      </c>
      <c r="AG675" s="2">
        <v>751.93</v>
      </c>
      <c r="AH675">
        <v>0</v>
      </c>
      <c r="AI675">
        <v>751.93</v>
      </c>
      <c r="AJ675">
        <v>3.7596500000000002</v>
      </c>
      <c r="AK675" t="s">
        <v>54</v>
      </c>
      <c r="AL675">
        <v>4.82</v>
      </c>
      <c r="AM675" s="4">
        <f t="shared" si="81"/>
        <v>751.93</v>
      </c>
      <c r="AN675" s="4">
        <f t="shared" si="82"/>
        <v>1050.20625</v>
      </c>
      <c r="AO675" s="4">
        <f t="shared" si="83"/>
        <v>1166.77914375</v>
      </c>
      <c r="AP675" s="4">
        <f t="shared" si="84"/>
        <v>1701.2291043749999</v>
      </c>
      <c r="AQ675" s="10">
        <f t="shared" si="85"/>
        <v>1307.6814629999999</v>
      </c>
      <c r="AR675" s="10">
        <f t="shared" si="86"/>
        <v>1452.9648735392998</v>
      </c>
      <c r="AS675" s="10">
        <f t="shared" si="87"/>
        <v>2035.7985015983998</v>
      </c>
    </row>
    <row r="676" spans="1:45" x14ac:dyDescent="0.3">
      <c r="A676">
        <v>2025</v>
      </c>
      <c r="B676">
        <v>7</v>
      </c>
      <c r="C676" t="s">
        <v>55</v>
      </c>
      <c r="D676">
        <v>10</v>
      </c>
      <c r="E676" t="s">
        <v>36</v>
      </c>
      <c r="F676" t="s">
        <v>37</v>
      </c>
      <c r="G676" t="s">
        <v>38</v>
      </c>
      <c r="H676" t="s">
        <v>83</v>
      </c>
      <c r="I676" t="s">
        <v>190</v>
      </c>
      <c r="J676" t="s">
        <v>58</v>
      </c>
      <c r="K676" t="s">
        <v>41</v>
      </c>
      <c r="L676" t="s">
        <v>953</v>
      </c>
      <c r="M676" t="s">
        <v>954</v>
      </c>
      <c r="N676" t="s">
        <v>731</v>
      </c>
      <c r="O676" t="s">
        <v>36</v>
      </c>
      <c r="Q676" t="s">
        <v>62</v>
      </c>
      <c r="R676" t="s">
        <v>955</v>
      </c>
      <c r="S676" t="s">
        <v>956</v>
      </c>
      <c r="T676" t="s">
        <v>47</v>
      </c>
      <c r="U676" t="s">
        <v>649</v>
      </c>
      <c r="V676" t="s">
        <v>49</v>
      </c>
      <c r="W676" t="s">
        <v>928</v>
      </c>
      <c r="X676" t="s">
        <v>51</v>
      </c>
      <c r="Y676" t="s">
        <v>651</v>
      </c>
      <c r="Z676" t="s">
        <v>651</v>
      </c>
      <c r="AA676" t="s">
        <v>652</v>
      </c>
      <c r="AB676" s="3">
        <f t="shared" si="80"/>
        <v>1</v>
      </c>
      <c r="AC676">
        <v>1794.29</v>
      </c>
      <c r="AD676" s="2">
        <v>1794.29</v>
      </c>
      <c r="AE676" s="2">
        <v>15.32</v>
      </c>
      <c r="AF676" s="2">
        <v>12.35</v>
      </c>
      <c r="AG676" s="2">
        <v>1821.96</v>
      </c>
      <c r="AH676">
        <v>0</v>
      </c>
      <c r="AI676">
        <v>1821.96</v>
      </c>
      <c r="AJ676">
        <v>9.1097999999999999</v>
      </c>
      <c r="AK676" t="s">
        <v>54</v>
      </c>
      <c r="AL676">
        <v>0.78</v>
      </c>
      <c r="AM676" s="4">
        <f t="shared" si="81"/>
        <v>1821.96</v>
      </c>
      <c r="AN676" s="4">
        <f t="shared" si="82"/>
        <v>3364.2937499999998</v>
      </c>
      <c r="AO676" s="4">
        <f t="shared" si="83"/>
        <v>3737.7303562499997</v>
      </c>
      <c r="AP676" s="4">
        <f t="shared" si="84"/>
        <v>5449.8194456249994</v>
      </c>
      <c r="AQ676" s="10">
        <f t="shared" si="85"/>
        <v>3168.5706360000004</v>
      </c>
      <c r="AR676" s="10">
        <f t="shared" si="86"/>
        <v>3520.5988336596001</v>
      </c>
      <c r="AS676" s="10">
        <f t="shared" si="87"/>
        <v>4932.8307661248009</v>
      </c>
    </row>
    <row r="677" spans="1:45" x14ac:dyDescent="0.3">
      <c r="A677">
        <v>2025</v>
      </c>
      <c r="B677">
        <v>12</v>
      </c>
      <c r="C677" t="s">
        <v>55</v>
      </c>
      <c r="D677">
        <v>10</v>
      </c>
      <c r="E677" t="s">
        <v>36</v>
      </c>
      <c r="F677" t="s">
        <v>37</v>
      </c>
      <c r="G677" t="s">
        <v>38</v>
      </c>
      <c r="H677" t="s">
        <v>236</v>
      </c>
      <c r="I677" t="s">
        <v>57</v>
      </c>
      <c r="J677" t="s">
        <v>58</v>
      </c>
      <c r="K677" t="s">
        <v>59</v>
      </c>
      <c r="L677" t="s">
        <v>1769</v>
      </c>
      <c r="M677" t="s">
        <v>1770</v>
      </c>
      <c r="N677" t="s">
        <v>1771</v>
      </c>
      <c r="O677" t="s">
        <v>1197</v>
      </c>
      <c r="Q677" t="s">
        <v>62</v>
      </c>
      <c r="R677" t="s">
        <v>1772</v>
      </c>
      <c r="S677" t="s">
        <v>1772</v>
      </c>
      <c r="T677" t="s">
        <v>47</v>
      </c>
      <c r="U677" t="s">
        <v>356</v>
      </c>
      <c r="V677" t="s">
        <v>49</v>
      </c>
      <c r="W677" t="s">
        <v>357</v>
      </c>
      <c r="X677" t="s">
        <v>51</v>
      </c>
      <c r="Y677" t="s">
        <v>1178</v>
      </c>
      <c r="Z677" t="s">
        <v>1178</v>
      </c>
      <c r="AA677" t="s">
        <v>1179</v>
      </c>
      <c r="AB677" s="3">
        <f t="shared" si="80"/>
        <v>1</v>
      </c>
      <c r="AC677">
        <v>678.41</v>
      </c>
      <c r="AD677" s="2">
        <v>678.41</v>
      </c>
      <c r="AE677" s="2">
        <v>29.4</v>
      </c>
      <c r="AF677" s="2">
        <v>4.72</v>
      </c>
      <c r="AG677" s="2">
        <v>712.17</v>
      </c>
      <c r="AH677">
        <v>0</v>
      </c>
      <c r="AI677">
        <v>712.17</v>
      </c>
      <c r="AJ677">
        <v>3.5608499999999998</v>
      </c>
      <c r="AK677" t="s">
        <v>54</v>
      </c>
      <c r="AL677">
        <v>2.17</v>
      </c>
      <c r="AM677" s="4">
        <f t="shared" si="81"/>
        <v>712.17</v>
      </c>
      <c r="AN677" s="4">
        <f t="shared" si="82"/>
        <v>1272.01875</v>
      </c>
      <c r="AO677" s="4">
        <f t="shared" si="83"/>
        <v>1413.2128312499999</v>
      </c>
      <c r="AP677" s="4">
        <f t="shared" si="84"/>
        <v>2060.5431731249996</v>
      </c>
      <c r="AQ677" s="10">
        <f t="shared" si="85"/>
        <v>1238.5348469999999</v>
      </c>
      <c r="AR677" s="10">
        <f t="shared" si="86"/>
        <v>1376.1360685016998</v>
      </c>
      <c r="AS677" s="10">
        <f t="shared" si="87"/>
        <v>1928.1510498095997</v>
      </c>
    </row>
    <row r="678" spans="1:45" x14ac:dyDescent="0.3">
      <c r="A678">
        <v>2025</v>
      </c>
      <c r="B678">
        <v>4</v>
      </c>
      <c r="C678" t="s">
        <v>55</v>
      </c>
      <c r="D678">
        <v>10</v>
      </c>
      <c r="E678" t="s">
        <v>36</v>
      </c>
      <c r="F678" t="s">
        <v>37</v>
      </c>
      <c r="G678" t="s">
        <v>38</v>
      </c>
      <c r="H678" t="s">
        <v>83</v>
      </c>
      <c r="I678" t="s">
        <v>190</v>
      </c>
      <c r="J678" t="s">
        <v>58</v>
      </c>
      <c r="K678" t="s">
        <v>59</v>
      </c>
      <c r="M678" t="s">
        <v>383</v>
      </c>
      <c r="N678" t="s">
        <v>384</v>
      </c>
      <c r="O678" t="s">
        <v>36</v>
      </c>
      <c r="Q678" t="s">
        <v>62</v>
      </c>
      <c r="R678" t="s">
        <v>385</v>
      </c>
      <c r="S678" t="s">
        <v>385</v>
      </c>
      <c r="T678" t="s">
        <v>47</v>
      </c>
      <c r="U678" t="s">
        <v>645</v>
      </c>
      <c r="V678" t="s">
        <v>49</v>
      </c>
      <c r="W678" t="s">
        <v>646</v>
      </c>
      <c r="X678" t="s">
        <v>388</v>
      </c>
      <c r="Y678" t="s">
        <v>610</v>
      </c>
      <c r="Z678" t="s">
        <v>610</v>
      </c>
      <c r="AA678" t="s">
        <v>1913</v>
      </c>
      <c r="AB678" s="3">
        <f t="shared" si="80"/>
        <v>1</v>
      </c>
      <c r="AC678">
        <v>175.27</v>
      </c>
      <c r="AD678" s="2">
        <v>175.27</v>
      </c>
      <c r="AE678" s="2">
        <v>52.3</v>
      </c>
      <c r="AF678" s="2">
        <v>1.32</v>
      </c>
      <c r="AG678" s="2">
        <v>228.62</v>
      </c>
      <c r="AH678">
        <v>0</v>
      </c>
      <c r="AI678">
        <v>228.62</v>
      </c>
      <c r="AJ678">
        <v>1.1431</v>
      </c>
      <c r="AK678" t="s">
        <v>54</v>
      </c>
      <c r="AL678">
        <v>1.3</v>
      </c>
      <c r="AM678" s="4">
        <f t="shared" si="81"/>
        <v>228.62</v>
      </c>
      <c r="AN678" s="4">
        <f t="shared" si="82"/>
        <v>328.63125000000002</v>
      </c>
      <c r="AO678" s="4">
        <f t="shared" si="83"/>
        <v>365.10931875</v>
      </c>
      <c r="AP678" s="4">
        <f t="shared" si="84"/>
        <v>532.34976187500001</v>
      </c>
      <c r="AQ678" s="10">
        <f t="shared" si="85"/>
        <v>397.59304200000003</v>
      </c>
      <c r="AR678" s="10">
        <f t="shared" si="86"/>
        <v>441.76562896620004</v>
      </c>
      <c r="AS678" s="10">
        <f t="shared" si="87"/>
        <v>618.97284778560004</v>
      </c>
    </row>
    <row r="679" spans="1:45" x14ac:dyDescent="0.3">
      <c r="A679">
        <v>2025</v>
      </c>
      <c r="B679">
        <v>11</v>
      </c>
      <c r="C679" t="s">
        <v>55</v>
      </c>
      <c r="D679">
        <v>10</v>
      </c>
      <c r="E679" t="s">
        <v>36</v>
      </c>
      <c r="F679" t="s">
        <v>37</v>
      </c>
      <c r="G679" t="s">
        <v>38</v>
      </c>
      <c r="H679" t="s">
        <v>83</v>
      </c>
      <c r="I679" t="s">
        <v>375</v>
      </c>
      <c r="J679" t="s">
        <v>376</v>
      </c>
      <c r="K679" t="s">
        <v>51</v>
      </c>
      <c r="L679" t="s">
        <v>1622</v>
      </c>
      <c r="M679" t="s">
        <v>1623</v>
      </c>
      <c r="N679" t="s">
        <v>1485</v>
      </c>
      <c r="O679" t="s">
        <v>1197</v>
      </c>
      <c r="Q679" t="s">
        <v>62</v>
      </c>
      <c r="R679" t="s">
        <v>1624</v>
      </c>
      <c r="S679" t="s">
        <v>1624</v>
      </c>
      <c r="T679" t="s">
        <v>47</v>
      </c>
      <c r="U679" t="s">
        <v>114</v>
      </c>
      <c r="V679" t="s">
        <v>49</v>
      </c>
      <c r="W679" t="s">
        <v>710</v>
      </c>
      <c r="X679" t="s">
        <v>51</v>
      </c>
      <c r="Y679" t="s">
        <v>647</v>
      </c>
      <c r="Z679" t="s">
        <v>647</v>
      </c>
      <c r="AA679" t="s">
        <v>648</v>
      </c>
      <c r="AB679" s="3">
        <f t="shared" si="80"/>
        <v>1</v>
      </c>
      <c r="AC679">
        <v>5814.24</v>
      </c>
      <c r="AD679" s="2">
        <v>5814.24</v>
      </c>
      <c r="AE679" s="2">
        <v>15.32</v>
      </c>
      <c r="AF679" s="2">
        <v>40.090000000000003</v>
      </c>
      <c r="AG679" s="2">
        <v>5869.66</v>
      </c>
      <c r="AH679">
        <v>0</v>
      </c>
      <c r="AI679">
        <v>5869.66</v>
      </c>
      <c r="AJ679">
        <v>29.348299999999998</v>
      </c>
      <c r="AK679" t="s">
        <v>54</v>
      </c>
      <c r="AL679">
        <v>0.78</v>
      </c>
      <c r="AM679" s="4">
        <f t="shared" si="81"/>
        <v>5869.66</v>
      </c>
      <c r="AN679" s="4">
        <f t="shared" si="82"/>
        <v>10901.699999999999</v>
      </c>
      <c r="AO679" s="4">
        <f t="shared" si="83"/>
        <v>12111.788699999999</v>
      </c>
      <c r="AP679" s="4">
        <f t="shared" si="84"/>
        <v>17659.663829999998</v>
      </c>
      <c r="AQ679" s="10">
        <f t="shared" si="85"/>
        <v>10207.925706</v>
      </c>
      <c r="AR679" s="10">
        <f t="shared" si="86"/>
        <v>11342.026251936601</v>
      </c>
      <c r="AS679" s="10">
        <f t="shared" si="87"/>
        <v>15891.698739100799</v>
      </c>
    </row>
    <row r="680" spans="1:45" x14ac:dyDescent="0.3">
      <c r="A680">
        <v>2025</v>
      </c>
      <c r="B680">
        <v>6</v>
      </c>
      <c r="C680" t="s">
        <v>55</v>
      </c>
      <c r="D680">
        <v>10</v>
      </c>
      <c r="E680" t="s">
        <v>36</v>
      </c>
      <c r="F680" t="s">
        <v>37</v>
      </c>
      <c r="G680" t="s">
        <v>38</v>
      </c>
      <c r="H680" t="s">
        <v>622</v>
      </c>
      <c r="I680" t="s">
        <v>190</v>
      </c>
      <c r="J680" t="s">
        <v>58</v>
      </c>
      <c r="K680" t="s">
        <v>59</v>
      </c>
      <c r="M680" t="s">
        <v>730</v>
      </c>
      <c r="N680" t="s">
        <v>731</v>
      </c>
      <c r="O680" t="s">
        <v>36</v>
      </c>
      <c r="Q680" t="s">
        <v>62</v>
      </c>
      <c r="R680" t="s">
        <v>732</v>
      </c>
      <c r="S680" t="s">
        <v>732</v>
      </c>
      <c r="T680" t="s">
        <v>47</v>
      </c>
      <c r="U680" t="s">
        <v>649</v>
      </c>
      <c r="V680" t="s">
        <v>49</v>
      </c>
      <c r="W680" t="s">
        <v>928</v>
      </c>
      <c r="X680" t="s">
        <v>686</v>
      </c>
      <c r="Y680" t="s">
        <v>1074</v>
      </c>
      <c r="Z680" t="s">
        <v>1075</v>
      </c>
      <c r="AA680" t="s">
        <v>1692</v>
      </c>
      <c r="AB680" s="3">
        <f t="shared" si="80"/>
        <v>1</v>
      </c>
      <c r="AC680">
        <v>283.67</v>
      </c>
      <c r="AD680" s="2">
        <v>283.67</v>
      </c>
      <c r="AE680" s="2">
        <v>39.72</v>
      </c>
      <c r="AF680" s="2">
        <v>1.96</v>
      </c>
      <c r="AG680" s="2">
        <v>325.35000000000002</v>
      </c>
      <c r="AH680">
        <v>0</v>
      </c>
      <c r="AI680">
        <v>325.35000000000002</v>
      </c>
      <c r="AJ680">
        <v>1.6267499999999999</v>
      </c>
      <c r="AK680" t="s">
        <v>54</v>
      </c>
      <c r="AL680">
        <v>1.49</v>
      </c>
      <c r="AM680" s="4">
        <f t="shared" si="81"/>
        <v>325.35000000000002</v>
      </c>
      <c r="AN680" s="4">
        <f t="shared" si="82"/>
        <v>531.88125000000002</v>
      </c>
      <c r="AO680" s="4">
        <f t="shared" si="83"/>
        <v>590.92006875000004</v>
      </c>
      <c r="AP680" s="4">
        <f t="shared" si="84"/>
        <v>861.59443687499993</v>
      </c>
      <c r="AQ680" s="10">
        <f t="shared" si="85"/>
        <v>565.81618500000002</v>
      </c>
      <c r="AR680" s="10">
        <f t="shared" si="86"/>
        <v>628.67836315349996</v>
      </c>
      <c r="AS680" s="10">
        <f t="shared" si="87"/>
        <v>880.86263680800005</v>
      </c>
    </row>
    <row r="681" spans="1:45" x14ac:dyDescent="0.3">
      <c r="A681">
        <v>2025</v>
      </c>
      <c r="B681">
        <v>4</v>
      </c>
      <c r="C681" t="s">
        <v>55</v>
      </c>
      <c r="D681">
        <v>10</v>
      </c>
      <c r="E681" t="s">
        <v>36</v>
      </c>
      <c r="F681" t="s">
        <v>37</v>
      </c>
      <c r="G681" t="s">
        <v>38</v>
      </c>
      <c r="H681" t="s">
        <v>622</v>
      </c>
      <c r="I681" t="s">
        <v>190</v>
      </c>
      <c r="J681" t="s">
        <v>58</v>
      </c>
      <c r="K681" t="s">
        <v>59</v>
      </c>
      <c r="M681" t="s">
        <v>383</v>
      </c>
      <c r="N681" t="s">
        <v>384</v>
      </c>
      <c r="O681" t="s">
        <v>36</v>
      </c>
      <c r="Q681" t="s">
        <v>62</v>
      </c>
      <c r="R681" t="s">
        <v>385</v>
      </c>
      <c r="S681" t="s">
        <v>385</v>
      </c>
      <c r="T681" t="s">
        <v>47</v>
      </c>
      <c r="U681" t="s">
        <v>649</v>
      </c>
      <c r="V681" t="s">
        <v>49</v>
      </c>
      <c r="W681" t="s">
        <v>650</v>
      </c>
      <c r="X681" t="s">
        <v>388</v>
      </c>
      <c r="Y681" t="s">
        <v>933</v>
      </c>
      <c r="Z681" t="s">
        <v>933</v>
      </c>
      <c r="AA681" t="s">
        <v>934</v>
      </c>
      <c r="AB681" s="3">
        <f t="shared" si="80"/>
        <v>1</v>
      </c>
      <c r="AC681">
        <v>654.30999999999995</v>
      </c>
      <c r="AD681" s="2">
        <v>654.30999999999995</v>
      </c>
      <c r="AE681" s="2">
        <v>138.34</v>
      </c>
      <c r="AF681" s="2">
        <v>4.84</v>
      </c>
      <c r="AG681" s="2">
        <v>797.49</v>
      </c>
      <c r="AH681">
        <v>0</v>
      </c>
      <c r="AI681">
        <v>797.49</v>
      </c>
      <c r="AJ681">
        <v>3.9874499999999999</v>
      </c>
      <c r="AK681" t="s">
        <v>54</v>
      </c>
      <c r="AL681">
        <v>4.7300000000000004</v>
      </c>
      <c r="AM681" s="4">
        <f t="shared" si="81"/>
        <v>797.49</v>
      </c>
      <c r="AN681" s="4">
        <f t="shared" si="82"/>
        <v>1226.83125</v>
      </c>
      <c r="AO681" s="4">
        <f t="shared" si="83"/>
        <v>1363.0095187499999</v>
      </c>
      <c r="AP681" s="4">
        <f t="shared" si="84"/>
        <v>1987.3439418749997</v>
      </c>
      <c r="AQ681" s="10">
        <f t="shared" si="85"/>
        <v>1386.914859</v>
      </c>
      <c r="AR681" s="10">
        <f t="shared" si="86"/>
        <v>1541.0010998348998</v>
      </c>
      <c r="AS681" s="10">
        <f t="shared" si="87"/>
        <v>2159.1490524912001</v>
      </c>
    </row>
    <row r="682" spans="1:45" x14ac:dyDescent="0.3">
      <c r="A682">
        <v>2025</v>
      </c>
      <c r="B682">
        <v>9</v>
      </c>
      <c r="C682" t="s">
        <v>55</v>
      </c>
      <c r="D682">
        <v>10</v>
      </c>
      <c r="E682" t="s">
        <v>36</v>
      </c>
      <c r="F682" t="s">
        <v>37</v>
      </c>
      <c r="G682" t="s">
        <v>38</v>
      </c>
      <c r="H682" t="s">
        <v>622</v>
      </c>
      <c r="I682" t="s">
        <v>375</v>
      </c>
      <c r="J682" t="s">
        <v>376</v>
      </c>
      <c r="K682" t="s">
        <v>41</v>
      </c>
      <c r="L682" t="s">
        <v>1503</v>
      </c>
      <c r="M682" t="s">
        <v>1504</v>
      </c>
      <c r="N682" t="s">
        <v>377</v>
      </c>
      <c r="O682" t="s">
        <v>1197</v>
      </c>
      <c r="Q682" t="s">
        <v>62</v>
      </c>
      <c r="R682" t="s">
        <v>1505</v>
      </c>
      <c r="S682" t="s">
        <v>1505</v>
      </c>
      <c r="T682" t="s">
        <v>47</v>
      </c>
      <c r="U682" t="s">
        <v>649</v>
      </c>
      <c r="V682" t="s">
        <v>49</v>
      </c>
      <c r="W682" t="s">
        <v>928</v>
      </c>
      <c r="X682" t="s">
        <v>388</v>
      </c>
      <c r="Y682" t="s">
        <v>653</v>
      </c>
      <c r="Z682" t="s">
        <v>653</v>
      </c>
      <c r="AA682" t="s">
        <v>654</v>
      </c>
      <c r="AB682" s="3">
        <f t="shared" si="80"/>
        <v>2</v>
      </c>
      <c r="AC682">
        <v>1194.4000000000001</v>
      </c>
      <c r="AD682" s="2">
        <v>597.20000000000005</v>
      </c>
      <c r="AE682" s="2">
        <v>30.65</v>
      </c>
      <c r="AF682" s="2">
        <v>8.17</v>
      </c>
      <c r="AG682" s="2">
        <v>1233.21</v>
      </c>
      <c r="AH682">
        <v>0</v>
      </c>
      <c r="AI682">
        <v>616.60500000000002</v>
      </c>
      <c r="AJ682">
        <v>6.1660500000000003</v>
      </c>
      <c r="AK682" t="s">
        <v>54</v>
      </c>
      <c r="AL682">
        <v>1.56</v>
      </c>
      <c r="AM682" s="4">
        <f t="shared" si="81"/>
        <v>616.60500000000002</v>
      </c>
      <c r="AN682" s="4">
        <f t="shared" si="82"/>
        <v>1119.75</v>
      </c>
      <c r="AO682" s="4">
        <f t="shared" si="83"/>
        <v>1244.04225</v>
      </c>
      <c r="AP682" s="4">
        <f t="shared" si="84"/>
        <v>1813.8830249999999</v>
      </c>
      <c r="AQ682" s="10">
        <f t="shared" si="85"/>
        <v>1072.3377555000002</v>
      </c>
      <c r="AR682" s="10">
        <f t="shared" si="86"/>
        <v>1191.4744801360503</v>
      </c>
      <c r="AS682" s="10">
        <f t="shared" si="87"/>
        <v>1669.4154177624002</v>
      </c>
    </row>
    <row r="683" spans="1:45" x14ac:dyDescent="0.3">
      <c r="A683">
        <v>2025</v>
      </c>
      <c r="B683">
        <v>10</v>
      </c>
      <c r="C683" t="s">
        <v>55</v>
      </c>
      <c r="D683">
        <v>10</v>
      </c>
      <c r="E683" t="s">
        <v>36</v>
      </c>
      <c r="F683" t="s">
        <v>37</v>
      </c>
      <c r="G683" t="s">
        <v>38</v>
      </c>
      <c r="H683" t="s">
        <v>622</v>
      </c>
      <c r="I683" t="s">
        <v>375</v>
      </c>
      <c r="J683" t="s">
        <v>376</v>
      </c>
      <c r="K683" t="s">
        <v>59</v>
      </c>
      <c r="L683" t="s">
        <v>1549</v>
      </c>
      <c r="M683" t="s">
        <v>1550</v>
      </c>
      <c r="N683" t="s">
        <v>1551</v>
      </c>
      <c r="O683" t="s">
        <v>1197</v>
      </c>
      <c r="Q683" t="s">
        <v>62</v>
      </c>
      <c r="R683" t="s">
        <v>1552</v>
      </c>
      <c r="S683" t="s">
        <v>1552</v>
      </c>
      <c r="T683" t="s">
        <v>47</v>
      </c>
      <c r="U683" t="s">
        <v>649</v>
      </c>
      <c r="V683" t="s">
        <v>49</v>
      </c>
      <c r="W683" t="s">
        <v>928</v>
      </c>
      <c r="X683" t="s">
        <v>51</v>
      </c>
      <c r="Y683" t="s">
        <v>1545</v>
      </c>
      <c r="Z683" t="s">
        <v>1545</v>
      </c>
      <c r="AA683" t="s">
        <v>654</v>
      </c>
      <c r="AB683" s="3">
        <f t="shared" si="80"/>
        <v>2</v>
      </c>
      <c r="AC683">
        <v>990.34</v>
      </c>
      <c r="AD683" s="2">
        <v>495.17</v>
      </c>
      <c r="AE683" s="2">
        <v>360.8</v>
      </c>
      <c r="AF683" s="2">
        <v>8.2899999999999991</v>
      </c>
      <c r="AG683" s="2">
        <v>1358.71</v>
      </c>
      <c r="AH683">
        <v>0</v>
      </c>
      <c r="AI683">
        <v>679.35500000000002</v>
      </c>
      <c r="AJ683">
        <v>6.7935499999999998</v>
      </c>
      <c r="AK683" t="s">
        <v>54</v>
      </c>
      <c r="AL683">
        <v>4.45</v>
      </c>
      <c r="AM683" s="4">
        <f t="shared" si="81"/>
        <v>679.35500000000002</v>
      </c>
      <c r="AN683" s="4">
        <f t="shared" si="82"/>
        <v>928.44375000000002</v>
      </c>
      <c r="AO683" s="4">
        <f t="shared" si="83"/>
        <v>1031.50100625</v>
      </c>
      <c r="AP683" s="4">
        <f t="shared" si="84"/>
        <v>1503.986030625</v>
      </c>
      <c r="AQ683" s="10">
        <f t="shared" si="85"/>
        <v>1181.4662805</v>
      </c>
      <c r="AR683" s="10">
        <f t="shared" si="86"/>
        <v>1312.72718426355</v>
      </c>
      <c r="AS683" s="10">
        <f t="shared" si="87"/>
        <v>1839.3067054824</v>
      </c>
    </row>
    <row r="684" spans="1:45" x14ac:dyDescent="0.3">
      <c r="A684">
        <v>2025</v>
      </c>
      <c r="B684">
        <v>6</v>
      </c>
      <c r="C684" t="s">
        <v>55</v>
      </c>
      <c r="D684">
        <v>10</v>
      </c>
      <c r="E684" t="s">
        <v>36</v>
      </c>
      <c r="F684" t="s">
        <v>37</v>
      </c>
      <c r="G684" t="s">
        <v>38</v>
      </c>
      <c r="H684" t="s">
        <v>101</v>
      </c>
      <c r="I684" t="s">
        <v>190</v>
      </c>
      <c r="J684" t="s">
        <v>58</v>
      </c>
      <c r="K684" t="s">
        <v>59</v>
      </c>
      <c r="M684" t="s">
        <v>730</v>
      </c>
      <c r="N684" t="s">
        <v>731</v>
      </c>
      <c r="O684" t="s">
        <v>36</v>
      </c>
      <c r="Q684" t="s">
        <v>62</v>
      </c>
      <c r="R684" t="s">
        <v>732</v>
      </c>
      <c r="S684" t="s">
        <v>732</v>
      </c>
      <c r="T684" t="s">
        <v>47</v>
      </c>
      <c r="U684" t="s">
        <v>167</v>
      </c>
      <c r="V684" t="s">
        <v>49</v>
      </c>
      <c r="W684" t="s">
        <v>168</v>
      </c>
      <c r="X684" t="s">
        <v>686</v>
      </c>
      <c r="Y684" t="s">
        <v>1545</v>
      </c>
      <c r="Z684" t="s">
        <v>1545</v>
      </c>
      <c r="AA684" t="s">
        <v>654</v>
      </c>
      <c r="AB684" s="3">
        <f t="shared" si="80"/>
        <v>1</v>
      </c>
      <c r="AC684">
        <v>500.61</v>
      </c>
      <c r="AD684" s="2">
        <v>500.61</v>
      </c>
      <c r="AE684" s="2">
        <v>228.82</v>
      </c>
      <c r="AF684" s="2">
        <v>4.46</v>
      </c>
      <c r="AG684" s="2">
        <v>733.9</v>
      </c>
      <c r="AH684">
        <v>0</v>
      </c>
      <c r="AI684">
        <v>733.9</v>
      </c>
      <c r="AJ684">
        <v>3.6695000000000002</v>
      </c>
      <c r="AK684" t="s">
        <v>54</v>
      </c>
      <c r="AL684">
        <v>10.36</v>
      </c>
      <c r="AM684" s="4">
        <f t="shared" si="81"/>
        <v>733.9</v>
      </c>
      <c r="AN684" s="4">
        <f t="shared" si="82"/>
        <v>938.64375000000007</v>
      </c>
      <c r="AO684" s="4">
        <f t="shared" si="83"/>
        <v>1042.8332062500001</v>
      </c>
      <c r="AP684" s="4">
        <f t="shared" si="84"/>
        <v>1520.509010625</v>
      </c>
      <c r="AQ684" s="10">
        <f t="shared" si="85"/>
        <v>1276.3254899999999</v>
      </c>
      <c r="AR684" s="10">
        <f t="shared" si="86"/>
        <v>1418.125251939</v>
      </c>
      <c r="AS684" s="10">
        <f t="shared" si="87"/>
        <v>1986.9835228319998</v>
      </c>
    </row>
    <row r="685" spans="1:45" x14ac:dyDescent="0.3">
      <c r="A685">
        <v>2025</v>
      </c>
      <c r="B685">
        <v>6</v>
      </c>
      <c r="C685" t="s">
        <v>55</v>
      </c>
      <c r="D685">
        <v>10</v>
      </c>
      <c r="E685" t="s">
        <v>36</v>
      </c>
      <c r="F685" t="s">
        <v>37</v>
      </c>
      <c r="G685" t="s">
        <v>38</v>
      </c>
      <c r="H685" t="s">
        <v>101</v>
      </c>
      <c r="I685" t="s">
        <v>190</v>
      </c>
      <c r="J685" t="s">
        <v>58</v>
      </c>
      <c r="K685" t="s">
        <v>59</v>
      </c>
      <c r="M685" t="s">
        <v>730</v>
      </c>
      <c r="N685" t="s">
        <v>731</v>
      </c>
      <c r="O685" t="s">
        <v>36</v>
      </c>
      <c r="Q685" t="s">
        <v>62</v>
      </c>
      <c r="R685" t="s">
        <v>732</v>
      </c>
      <c r="S685" t="s">
        <v>732</v>
      </c>
      <c r="T685" t="s">
        <v>47</v>
      </c>
      <c r="U685" t="s">
        <v>167</v>
      </c>
      <c r="V685" t="s">
        <v>49</v>
      </c>
      <c r="W685" t="s">
        <v>168</v>
      </c>
      <c r="X685" t="s">
        <v>686</v>
      </c>
      <c r="Y685" t="s">
        <v>572</v>
      </c>
      <c r="Z685" t="s">
        <v>572</v>
      </c>
      <c r="AA685" t="s">
        <v>866</v>
      </c>
      <c r="AB685" s="3">
        <f t="shared" si="80"/>
        <v>10</v>
      </c>
      <c r="AC685">
        <v>235.3</v>
      </c>
      <c r="AD685" s="2">
        <v>23.53</v>
      </c>
      <c r="AE685" s="2">
        <v>49.75</v>
      </c>
      <c r="AF685" s="2">
        <v>1.74</v>
      </c>
      <c r="AG685" s="2">
        <v>286.79000000000002</v>
      </c>
      <c r="AH685">
        <v>0</v>
      </c>
      <c r="AI685">
        <v>28.678999999999998</v>
      </c>
      <c r="AJ685">
        <v>1.4339500000000001</v>
      </c>
      <c r="AK685" t="s">
        <v>54</v>
      </c>
      <c r="AL685">
        <v>1.7</v>
      </c>
      <c r="AM685" s="4">
        <f t="shared" si="81"/>
        <v>28.679000000000002</v>
      </c>
      <c r="AN685" s="4">
        <f t="shared" si="82"/>
        <v>44.118750000000006</v>
      </c>
      <c r="AO685" s="4">
        <f t="shared" si="83"/>
        <v>49.015931250000008</v>
      </c>
      <c r="AP685" s="4">
        <f t="shared" si="84"/>
        <v>71.467963125000011</v>
      </c>
      <c r="AQ685" s="10">
        <f t="shared" si="85"/>
        <v>49.875648900000009</v>
      </c>
      <c r="AR685" s="10">
        <f t="shared" si="86"/>
        <v>55.416833492790012</v>
      </c>
      <c r="AS685" s="10">
        <f t="shared" si="87"/>
        <v>77.646410207520006</v>
      </c>
    </row>
    <row r="686" spans="1:45" x14ac:dyDescent="0.3">
      <c r="A686">
        <v>2025</v>
      </c>
      <c r="B686">
        <v>10</v>
      </c>
      <c r="C686" t="s">
        <v>55</v>
      </c>
      <c r="D686">
        <v>10</v>
      </c>
      <c r="E686" t="s">
        <v>36</v>
      </c>
      <c r="F686" t="s">
        <v>37</v>
      </c>
      <c r="G686" t="s">
        <v>38</v>
      </c>
      <c r="H686" t="s">
        <v>101</v>
      </c>
      <c r="I686" t="s">
        <v>375</v>
      </c>
      <c r="J686" t="s">
        <v>376</v>
      </c>
      <c r="K686" t="s">
        <v>59</v>
      </c>
      <c r="L686" t="s">
        <v>1549</v>
      </c>
      <c r="M686" t="s">
        <v>1550</v>
      </c>
      <c r="N686" t="s">
        <v>1551</v>
      </c>
      <c r="O686" t="s">
        <v>1197</v>
      </c>
      <c r="Q686" t="s">
        <v>62</v>
      </c>
      <c r="R686" t="s">
        <v>1552</v>
      </c>
      <c r="S686" t="s">
        <v>1552</v>
      </c>
      <c r="T686" t="s">
        <v>47</v>
      </c>
      <c r="U686" t="s">
        <v>247</v>
      </c>
      <c r="V686" t="s">
        <v>49</v>
      </c>
      <c r="W686" t="s">
        <v>248</v>
      </c>
      <c r="X686" t="s">
        <v>51</v>
      </c>
      <c r="Y686" t="s">
        <v>572</v>
      </c>
      <c r="Z686" t="s">
        <v>572</v>
      </c>
      <c r="AA686" t="s">
        <v>866</v>
      </c>
      <c r="AB686" s="3">
        <f t="shared" si="80"/>
        <v>30.000000000000423</v>
      </c>
      <c r="AC686">
        <v>705.91</v>
      </c>
      <c r="AD686" s="2">
        <v>23.530333333333001</v>
      </c>
      <c r="AE686" s="2">
        <v>149.25</v>
      </c>
      <c r="AF686" s="2">
        <v>5.22</v>
      </c>
      <c r="AG686" s="2">
        <v>860.38</v>
      </c>
      <c r="AH686">
        <v>0</v>
      </c>
      <c r="AI686">
        <v>28.679333333332998</v>
      </c>
      <c r="AJ686">
        <v>4.3018999999999998</v>
      </c>
      <c r="AK686" t="s">
        <v>54</v>
      </c>
      <c r="AL686">
        <v>5.0999999999999996</v>
      </c>
      <c r="AM686" s="4">
        <f t="shared" si="81"/>
        <v>28.679333333332931</v>
      </c>
      <c r="AN686" s="4">
        <f t="shared" si="82"/>
        <v>44.11937499999938</v>
      </c>
      <c r="AO686" s="4">
        <f t="shared" si="83"/>
        <v>49.016625624999314</v>
      </c>
      <c r="AP686" s="4">
        <f t="shared" si="84"/>
        <v>71.468975562498997</v>
      </c>
      <c r="AQ686" s="10">
        <f t="shared" si="85"/>
        <v>49.876228599999301</v>
      </c>
      <c r="AR686" s="10">
        <f t="shared" si="86"/>
        <v>55.417477597459225</v>
      </c>
      <c r="AS686" s="10">
        <f t="shared" si="87"/>
        <v>77.647312684478905</v>
      </c>
    </row>
    <row r="687" spans="1:45" x14ac:dyDescent="0.3">
      <c r="A687">
        <v>2025</v>
      </c>
      <c r="B687">
        <v>11</v>
      </c>
      <c r="C687" t="s">
        <v>55</v>
      </c>
      <c r="D687">
        <v>10</v>
      </c>
      <c r="E687" t="s">
        <v>36</v>
      </c>
      <c r="F687" t="s">
        <v>37</v>
      </c>
      <c r="G687" t="s">
        <v>38</v>
      </c>
      <c r="H687" t="s">
        <v>101</v>
      </c>
      <c r="I687" t="s">
        <v>375</v>
      </c>
      <c r="J687" t="s">
        <v>376</v>
      </c>
      <c r="K687" t="s">
        <v>51</v>
      </c>
      <c r="L687" t="s">
        <v>1622</v>
      </c>
      <c r="M687" t="s">
        <v>1623</v>
      </c>
      <c r="N687" t="s">
        <v>1485</v>
      </c>
      <c r="O687" t="s">
        <v>1197</v>
      </c>
      <c r="Q687" t="s">
        <v>62</v>
      </c>
      <c r="R687" t="s">
        <v>1624</v>
      </c>
      <c r="S687" t="s">
        <v>1624</v>
      </c>
      <c r="T687" t="s">
        <v>47</v>
      </c>
      <c r="U687" t="s">
        <v>247</v>
      </c>
      <c r="V687" t="s">
        <v>49</v>
      </c>
      <c r="W687" t="s">
        <v>248</v>
      </c>
      <c r="X687" t="s">
        <v>51</v>
      </c>
      <c r="Y687" t="s">
        <v>1560</v>
      </c>
      <c r="Z687" t="s">
        <v>1560</v>
      </c>
      <c r="AA687" t="s">
        <v>1561</v>
      </c>
      <c r="AB687" s="3">
        <f t="shared" si="80"/>
        <v>2</v>
      </c>
      <c r="AC687">
        <v>104.45</v>
      </c>
      <c r="AD687" s="2">
        <v>52.225000000000001</v>
      </c>
      <c r="AE687" s="2">
        <v>47.74</v>
      </c>
      <c r="AF687" s="2">
        <v>0.93</v>
      </c>
      <c r="AG687" s="2">
        <v>153.13</v>
      </c>
      <c r="AH687">
        <v>0</v>
      </c>
      <c r="AI687">
        <v>76.564999999999998</v>
      </c>
      <c r="AJ687">
        <v>0.76565000000000005</v>
      </c>
      <c r="AK687" t="s">
        <v>54</v>
      </c>
      <c r="AL687">
        <v>2.16</v>
      </c>
      <c r="AM687" s="4">
        <f t="shared" si="81"/>
        <v>76.564999999999998</v>
      </c>
      <c r="AN687" s="4">
        <f t="shared" si="82"/>
        <v>97.921875</v>
      </c>
      <c r="AO687" s="4">
        <f t="shared" si="83"/>
        <v>108.791203125</v>
      </c>
      <c r="AP687" s="4">
        <f t="shared" si="84"/>
        <v>158.6236453125</v>
      </c>
      <c r="AQ687" s="10">
        <f t="shared" si="85"/>
        <v>133.1541915</v>
      </c>
      <c r="AR687" s="10">
        <f t="shared" si="86"/>
        <v>147.94762217565</v>
      </c>
      <c r="AS687" s="10">
        <f t="shared" si="87"/>
        <v>207.29444532719998</v>
      </c>
    </row>
    <row r="688" spans="1:45" x14ac:dyDescent="0.3">
      <c r="A688">
        <v>2025</v>
      </c>
      <c r="B688">
        <v>4</v>
      </c>
      <c r="C688" t="s">
        <v>55</v>
      </c>
      <c r="D688">
        <v>10</v>
      </c>
      <c r="E688" t="s">
        <v>36</v>
      </c>
      <c r="F688" t="s">
        <v>37</v>
      </c>
      <c r="G688" t="s">
        <v>38</v>
      </c>
      <c r="H688" t="s">
        <v>101</v>
      </c>
      <c r="I688" t="s">
        <v>190</v>
      </c>
      <c r="J688" t="s">
        <v>58</v>
      </c>
      <c r="K688" t="s">
        <v>59</v>
      </c>
      <c r="M688" t="s">
        <v>383</v>
      </c>
      <c r="N688" t="s">
        <v>384</v>
      </c>
      <c r="O688" t="s">
        <v>36</v>
      </c>
      <c r="Q688" t="s">
        <v>62</v>
      </c>
      <c r="R688" t="s">
        <v>385</v>
      </c>
      <c r="S688" t="s">
        <v>385</v>
      </c>
      <c r="T688" t="s">
        <v>47</v>
      </c>
      <c r="U688" t="s">
        <v>559</v>
      </c>
      <c r="V688" t="s">
        <v>49</v>
      </c>
      <c r="W688" t="s">
        <v>560</v>
      </c>
      <c r="X688" t="s">
        <v>388</v>
      </c>
      <c r="Y688" t="s">
        <v>1653</v>
      </c>
      <c r="Z688" t="s">
        <v>1653</v>
      </c>
      <c r="AA688" t="s">
        <v>1561</v>
      </c>
      <c r="AB688" s="3">
        <f t="shared" si="80"/>
        <v>4</v>
      </c>
      <c r="AC688">
        <v>203.43</v>
      </c>
      <c r="AD688" s="2">
        <v>50.857500000000002</v>
      </c>
      <c r="AE688" s="2">
        <v>28.49</v>
      </c>
      <c r="AF688" s="2">
        <v>1.41</v>
      </c>
      <c r="AG688" s="2">
        <v>233.32</v>
      </c>
      <c r="AH688">
        <v>0</v>
      </c>
      <c r="AI688">
        <v>58.33</v>
      </c>
      <c r="AJ688">
        <v>1.1666000000000001</v>
      </c>
      <c r="AK688" t="s">
        <v>54</v>
      </c>
      <c r="AL688">
        <v>1.55</v>
      </c>
      <c r="AM688" s="4">
        <f t="shared" si="81"/>
        <v>58.33</v>
      </c>
      <c r="AN688" s="4">
        <f t="shared" si="82"/>
        <v>95.357812500000009</v>
      </c>
      <c r="AO688" s="4">
        <f t="shared" si="83"/>
        <v>105.94252968750001</v>
      </c>
      <c r="AP688" s="4">
        <f t="shared" si="84"/>
        <v>154.47012046875</v>
      </c>
      <c r="AQ688" s="10">
        <f t="shared" si="85"/>
        <v>101.441703</v>
      </c>
      <c r="AR688" s="10">
        <f t="shared" si="86"/>
        <v>112.71187620330001</v>
      </c>
      <c r="AS688" s="10">
        <f t="shared" si="87"/>
        <v>157.92444323040002</v>
      </c>
    </row>
    <row r="689" spans="1:45" x14ac:dyDescent="0.3">
      <c r="A689">
        <v>2025</v>
      </c>
      <c r="B689">
        <v>4</v>
      </c>
      <c r="C689" t="s">
        <v>55</v>
      </c>
      <c r="D689">
        <v>10</v>
      </c>
      <c r="E689" t="s">
        <v>36</v>
      </c>
      <c r="F689" t="s">
        <v>37</v>
      </c>
      <c r="G689" t="s">
        <v>38</v>
      </c>
      <c r="H689" t="s">
        <v>101</v>
      </c>
      <c r="I689" t="s">
        <v>375</v>
      </c>
      <c r="J689" t="s">
        <v>376</v>
      </c>
      <c r="K689" t="s">
        <v>59</v>
      </c>
      <c r="M689">
        <v>2503061</v>
      </c>
      <c r="N689" t="s">
        <v>377</v>
      </c>
      <c r="O689" t="s">
        <v>36</v>
      </c>
      <c r="Q689" t="s">
        <v>62</v>
      </c>
      <c r="R689" t="s">
        <v>378</v>
      </c>
      <c r="S689" t="s">
        <v>378</v>
      </c>
      <c r="T689" t="s">
        <v>47</v>
      </c>
      <c r="U689" t="s">
        <v>167</v>
      </c>
      <c r="V689" t="s">
        <v>49</v>
      </c>
      <c r="W689" t="s">
        <v>168</v>
      </c>
      <c r="X689" t="s">
        <v>51</v>
      </c>
      <c r="Y689" t="s">
        <v>561</v>
      </c>
      <c r="Z689" t="s">
        <v>561</v>
      </c>
      <c r="AA689" t="s">
        <v>562</v>
      </c>
      <c r="AB689" s="3">
        <f t="shared" si="80"/>
        <v>20</v>
      </c>
      <c r="AC689">
        <v>687.16</v>
      </c>
      <c r="AD689" s="2">
        <v>34.357999999999997</v>
      </c>
      <c r="AE689" s="2">
        <v>306.49</v>
      </c>
      <c r="AF689" s="2">
        <v>3.97</v>
      </c>
      <c r="AG689" s="2">
        <v>997.61</v>
      </c>
      <c r="AH689">
        <v>0</v>
      </c>
      <c r="AI689">
        <v>49.880499999999998</v>
      </c>
      <c r="AJ689">
        <v>4.9880500000000003</v>
      </c>
      <c r="AK689" t="s">
        <v>54</v>
      </c>
      <c r="AL689">
        <v>15.6</v>
      </c>
      <c r="AM689" s="4">
        <f t="shared" si="81"/>
        <v>49.880499999999998</v>
      </c>
      <c r="AN689" s="4">
        <f t="shared" si="82"/>
        <v>64.421250000000001</v>
      </c>
      <c r="AO689" s="4">
        <f t="shared" si="83"/>
        <v>71.572008749999995</v>
      </c>
      <c r="AP689" s="4">
        <f t="shared" si="84"/>
        <v>104.355982875</v>
      </c>
      <c r="AQ689" s="10">
        <f t="shared" si="85"/>
        <v>86.747177550000004</v>
      </c>
      <c r="AR689" s="10">
        <f t="shared" si="86"/>
        <v>96.384788975805009</v>
      </c>
      <c r="AS689" s="10">
        <f t="shared" si="87"/>
        <v>135.04800600984001</v>
      </c>
    </row>
    <row r="690" spans="1:45" x14ac:dyDescent="0.3">
      <c r="A690">
        <v>2025</v>
      </c>
      <c r="B690">
        <v>5</v>
      </c>
      <c r="C690" t="s">
        <v>55</v>
      </c>
      <c r="D690">
        <v>10</v>
      </c>
      <c r="E690" t="s">
        <v>36</v>
      </c>
      <c r="F690" t="s">
        <v>37</v>
      </c>
      <c r="G690" t="s">
        <v>38</v>
      </c>
      <c r="H690" t="s">
        <v>101</v>
      </c>
      <c r="I690" t="s">
        <v>190</v>
      </c>
      <c r="J690" t="s">
        <v>58</v>
      </c>
      <c r="K690" t="s">
        <v>59</v>
      </c>
      <c r="M690" t="s">
        <v>682</v>
      </c>
      <c r="N690" t="s">
        <v>384</v>
      </c>
      <c r="O690" t="s">
        <v>36</v>
      </c>
      <c r="Q690" t="s">
        <v>62</v>
      </c>
      <c r="R690" t="s">
        <v>683</v>
      </c>
      <c r="S690" t="s">
        <v>683</v>
      </c>
      <c r="T690" t="s">
        <v>47</v>
      </c>
      <c r="U690" t="s">
        <v>167</v>
      </c>
      <c r="V690" t="s">
        <v>49</v>
      </c>
      <c r="W690" t="s">
        <v>168</v>
      </c>
      <c r="X690" t="s">
        <v>686</v>
      </c>
      <c r="Y690" t="s">
        <v>572</v>
      </c>
      <c r="Z690" t="s">
        <v>572</v>
      </c>
      <c r="AA690" t="s">
        <v>562</v>
      </c>
      <c r="AB690" s="3">
        <f t="shared" si="80"/>
        <v>14.999999999999837</v>
      </c>
      <c r="AC690">
        <v>461.02</v>
      </c>
      <c r="AD690" s="2">
        <v>30.734666666667</v>
      </c>
      <c r="AE690" s="2">
        <v>226.31</v>
      </c>
      <c r="AF690" s="2">
        <v>3.09</v>
      </c>
      <c r="AG690" s="2">
        <v>690.42</v>
      </c>
      <c r="AH690">
        <v>0</v>
      </c>
      <c r="AI690">
        <v>46.027999999999999</v>
      </c>
      <c r="AJ690">
        <v>3.4521000000000002</v>
      </c>
      <c r="AK690" t="s">
        <v>54</v>
      </c>
      <c r="AL690">
        <v>10.8</v>
      </c>
      <c r="AM690" s="4">
        <f t="shared" si="81"/>
        <v>46.028000000000496</v>
      </c>
      <c r="AN690" s="4">
        <f t="shared" si="82"/>
        <v>57.627500000000623</v>
      </c>
      <c r="AO690" s="4">
        <f t="shared" si="83"/>
        <v>64.024152500000696</v>
      </c>
      <c r="AP690" s="4">
        <f t="shared" si="84"/>
        <v>93.350787250001005</v>
      </c>
      <c r="AQ690" s="10">
        <f t="shared" si="85"/>
        <v>80.04729480000087</v>
      </c>
      <c r="AR690" s="10">
        <f t="shared" si="86"/>
        <v>88.94054925228096</v>
      </c>
      <c r="AS690" s="10">
        <f t="shared" si="87"/>
        <v>124.61762854464135</v>
      </c>
    </row>
    <row r="691" spans="1:45" x14ac:dyDescent="0.3">
      <c r="A691">
        <v>2025</v>
      </c>
      <c r="B691">
        <v>7</v>
      </c>
      <c r="C691" t="s">
        <v>55</v>
      </c>
      <c r="D691">
        <v>10</v>
      </c>
      <c r="E691" t="s">
        <v>36</v>
      </c>
      <c r="F691" t="s">
        <v>37</v>
      </c>
      <c r="G691" t="s">
        <v>38</v>
      </c>
      <c r="H691" t="s">
        <v>101</v>
      </c>
      <c r="I691" t="s">
        <v>190</v>
      </c>
      <c r="J691" t="s">
        <v>58</v>
      </c>
      <c r="K691" t="s">
        <v>41</v>
      </c>
      <c r="L691" t="s">
        <v>953</v>
      </c>
      <c r="M691" t="s">
        <v>954</v>
      </c>
      <c r="N691" t="s">
        <v>731</v>
      </c>
      <c r="O691" t="s">
        <v>36</v>
      </c>
      <c r="Q691" t="s">
        <v>62</v>
      </c>
      <c r="R691" t="s">
        <v>955</v>
      </c>
      <c r="S691" t="s">
        <v>956</v>
      </c>
      <c r="T691" t="s">
        <v>47</v>
      </c>
      <c r="U691" t="s">
        <v>167</v>
      </c>
      <c r="V691" t="s">
        <v>49</v>
      </c>
      <c r="W691" t="s">
        <v>168</v>
      </c>
      <c r="X691" t="s">
        <v>51</v>
      </c>
      <c r="Y691" t="s">
        <v>726</v>
      </c>
      <c r="Z691" t="s">
        <v>726</v>
      </c>
      <c r="AA691" t="s">
        <v>562</v>
      </c>
      <c r="AB691" s="3">
        <f t="shared" si="80"/>
        <v>7.0000000000000533</v>
      </c>
      <c r="AC691">
        <v>258.2</v>
      </c>
      <c r="AD691" s="2">
        <v>36.885714285714002</v>
      </c>
      <c r="AE691" s="2">
        <v>663.77</v>
      </c>
      <c r="AF691" s="2">
        <v>1.54</v>
      </c>
      <c r="AG691" s="2">
        <v>923.32</v>
      </c>
      <c r="AH691">
        <v>0</v>
      </c>
      <c r="AI691">
        <v>131.90285714286</v>
      </c>
      <c r="AJ691">
        <v>4.6166</v>
      </c>
      <c r="AK691" t="s">
        <v>54</v>
      </c>
      <c r="AL691">
        <v>21.78</v>
      </c>
      <c r="AM691" s="4">
        <f t="shared" si="81"/>
        <v>131.90285714285613</v>
      </c>
      <c r="AN691" s="4">
        <f t="shared" si="82"/>
        <v>69.160714285713752</v>
      </c>
      <c r="AO691" s="4">
        <f t="shared" si="83"/>
        <v>76.837553571427975</v>
      </c>
      <c r="AP691" s="4">
        <f t="shared" si="84"/>
        <v>112.0334410714277</v>
      </c>
      <c r="AQ691" s="10">
        <f t="shared" si="85"/>
        <v>229.39225885714112</v>
      </c>
      <c r="AR691" s="10">
        <f t="shared" si="86"/>
        <v>254.87773881616948</v>
      </c>
      <c r="AS691" s="10">
        <f t="shared" si="87"/>
        <v>357.11786858879731</v>
      </c>
    </row>
    <row r="692" spans="1:45" x14ac:dyDescent="0.3">
      <c r="A692">
        <v>2025</v>
      </c>
      <c r="B692">
        <v>10</v>
      </c>
      <c r="C692" t="s">
        <v>55</v>
      </c>
      <c r="D692">
        <v>10</v>
      </c>
      <c r="E692" t="s">
        <v>36</v>
      </c>
      <c r="F692" t="s">
        <v>37</v>
      </c>
      <c r="G692" t="s">
        <v>38</v>
      </c>
      <c r="H692" t="s">
        <v>101</v>
      </c>
      <c r="I692" t="s">
        <v>375</v>
      </c>
      <c r="J692" t="s">
        <v>376</v>
      </c>
      <c r="K692" t="s">
        <v>59</v>
      </c>
      <c r="L692" t="s">
        <v>1549</v>
      </c>
      <c r="M692" t="s">
        <v>1550</v>
      </c>
      <c r="N692" t="s">
        <v>1551</v>
      </c>
      <c r="O692" t="s">
        <v>1197</v>
      </c>
      <c r="Q692" t="s">
        <v>62</v>
      </c>
      <c r="R692" t="s">
        <v>1552</v>
      </c>
      <c r="S692" t="s">
        <v>1552</v>
      </c>
      <c r="T692" t="s">
        <v>47</v>
      </c>
      <c r="U692" t="s">
        <v>167</v>
      </c>
      <c r="V692" t="s">
        <v>49</v>
      </c>
      <c r="W692" t="s">
        <v>168</v>
      </c>
      <c r="X692" t="s">
        <v>51</v>
      </c>
      <c r="Y692" t="s">
        <v>1138</v>
      </c>
      <c r="Z692" t="s">
        <v>1138</v>
      </c>
      <c r="AA692" t="s">
        <v>562</v>
      </c>
      <c r="AB692" s="3">
        <f t="shared" si="80"/>
        <v>20</v>
      </c>
      <c r="AC692">
        <v>527.1</v>
      </c>
      <c r="AD692" s="2">
        <v>26.355</v>
      </c>
      <c r="AE692" s="2">
        <v>580.83000000000004</v>
      </c>
      <c r="AF692" s="2">
        <v>3.24</v>
      </c>
      <c r="AG692" s="2">
        <v>1111.1600000000001</v>
      </c>
      <c r="AH692">
        <v>0</v>
      </c>
      <c r="AI692">
        <v>55.558</v>
      </c>
      <c r="AJ692">
        <v>5.5557999999999996</v>
      </c>
      <c r="AK692" t="s">
        <v>54</v>
      </c>
      <c r="AL692">
        <v>43.48</v>
      </c>
      <c r="AM692" s="4">
        <f t="shared" si="81"/>
        <v>55.558000000000007</v>
      </c>
      <c r="AN692" s="4">
        <f t="shared" si="82"/>
        <v>49.415624999999999</v>
      </c>
      <c r="AO692" s="4">
        <f t="shared" si="83"/>
        <v>54.900759375</v>
      </c>
      <c r="AP692" s="4">
        <f t="shared" si="84"/>
        <v>80.048370937499996</v>
      </c>
      <c r="AQ692" s="10">
        <f t="shared" si="85"/>
        <v>96.620917800000015</v>
      </c>
      <c r="AR692" s="10">
        <f t="shared" si="86"/>
        <v>107.35550176758001</v>
      </c>
      <c r="AS692" s="10">
        <f t="shared" si="87"/>
        <v>150.41944483104001</v>
      </c>
    </row>
    <row r="693" spans="1:45" x14ac:dyDescent="0.3">
      <c r="A693">
        <v>2025</v>
      </c>
      <c r="B693">
        <v>11</v>
      </c>
      <c r="C693" t="s">
        <v>55</v>
      </c>
      <c r="D693">
        <v>10</v>
      </c>
      <c r="E693" t="s">
        <v>36</v>
      </c>
      <c r="F693" t="s">
        <v>37</v>
      </c>
      <c r="G693" t="s">
        <v>38</v>
      </c>
      <c r="H693" t="s">
        <v>101</v>
      </c>
      <c r="I693" t="s">
        <v>190</v>
      </c>
      <c r="J693" t="s">
        <v>58</v>
      </c>
      <c r="K693" t="s">
        <v>59</v>
      </c>
      <c r="L693" t="s">
        <v>1629</v>
      </c>
      <c r="M693" t="s">
        <v>1630</v>
      </c>
      <c r="N693" t="s">
        <v>1485</v>
      </c>
      <c r="O693" t="s">
        <v>1197</v>
      </c>
      <c r="Q693" t="s">
        <v>62</v>
      </c>
      <c r="R693" t="s">
        <v>1631</v>
      </c>
      <c r="S693" t="s">
        <v>1631</v>
      </c>
      <c r="T693" t="s">
        <v>47</v>
      </c>
      <c r="U693" t="s">
        <v>167</v>
      </c>
      <c r="V693" t="s">
        <v>49</v>
      </c>
      <c r="W693" t="s">
        <v>168</v>
      </c>
      <c r="X693" t="s">
        <v>1578</v>
      </c>
      <c r="Y693" t="s">
        <v>1138</v>
      </c>
      <c r="Z693" t="s">
        <v>1138</v>
      </c>
      <c r="AA693" t="s">
        <v>562</v>
      </c>
      <c r="AB693" s="3">
        <f t="shared" si="80"/>
        <v>10</v>
      </c>
      <c r="AC693">
        <v>245.36</v>
      </c>
      <c r="AD693" s="2">
        <v>24.536000000000001</v>
      </c>
      <c r="AE693" s="2">
        <v>112.16</v>
      </c>
      <c r="AF693" s="2">
        <v>2.19</v>
      </c>
      <c r="AG693" s="2">
        <v>359.7</v>
      </c>
      <c r="AH693">
        <v>0</v>
      </c>
      <c r="AI693">
        <v>35.97</v>
      </c>
      <c r="AJ693">
        <v>1.7985</v>
      </c>
      <c r="AK693" t="s">
        <v>54</v>
      </c>
      <c r="AL693">
        <v>5.8</v>
      </c>
      <c r="AM693" s="4">
        <f t="shared" si="81"/>
        <v>35.97</v>
      </c>
      <c r="AN693" s="4">
        <f t="shared" si="82"/>
        <v>46.005000000000003</v>
      </c>
      <c r="AO693" s="4">
        <f t="shared" si="83"/>
        <v>51.111555000000003</v>
      </c>
      <c r="AP693" s="4">
        <f t="shared" si="84"/>
        <v>74.5234995</v>
      </c>
      <c r="AQ693" s="10">
        <f t="shared" si="85"/>
        <v>62.555427000000002</v>
      </c>
      <c r="AR693" s="10">
        <f t="shared" si="86"/>
        <v>69.505334939700006</v>
      </c>
      <c r="AS693" s="10">
        <f t="shared" si="87"/>
        <v>97.386288753599999</v>
      </c>
    </row>
    <row r="694" spans="1:45" x14ac:dyDescent="0.3">
      <c r="A694">
        <v>2025</v>
      </c>
      <c r="B694">
        <v>12</v>
      </c>
      <c r="C694" t="s">
        <v>55</v>
      </c>
      <c r="D694">
        <v>10</v>
      </c>
      <c r="E694" t="s">
        <v>36</v>
      </c>
      <c r="F694" t="s">
        <v>37</v>
      </c>
      <c r="G694" t="s">
        <v>38</v>
      </c>
      <c r="H694" t="s">
        <v>101</v>
      </c>
      <c r="I694" t="s">
        <v>57</v>
      </c>
      <c r="J694" t="s">
        <v>58</v>
      </c>
      <c r="K694" t="s">
        <v>59</v>
      </c>
      <c r="L694" t="s">
        <v>1769</v>
      </c>
      <c r="M694" t="s">
        <v>1770</v>
      </c>
      <c r="N694" t="s">
        <v>1771</v>
      </c>
      <c r="O694" t="s">
        <v>1197</v>
      </c>
      <c r="Q694" t="s">
        <v>62</v>
      </c>
      <c r="R694" t="s">
        <v>1772</v>
      </c>
      <c r="S694" t="s">
        <v>1772</v>
      </c>
      <c r="T694" t="s">
        <v>47</v>
      </c>
      <c r="U694" t="s">
        <v>167</v>
      </c>
      <c r="V694" t="s">
        <v>49</v>
      </c>
      <c r="W694" t="s">
        <v>168</v>
      </c>
      <c r="X694" t="s">
        <v>51</v>
      </c>
      <c r="Y694" t="s">
        <v>1138</v>
      </c>
      <c r="Z694" t="s">
        <v>1138</v>
      </c>
      <c r="AA694" t="s">
        <v>562</v>
      </c>
      <c r="AB694" s="3">
        <f t="shared" si="80"/>
        <v>1</v>
      </c>
      <c r="AC694">
        <v>24.88</v>
      </c>
      <c r="AD694" s="2">
        <v>24.88</v>
      </c>
      <c r="AE694" s="2">
        <v>6.48</v>
      </c>
      <c r="AF694" s="2">
        <v>0.19</v>
      </c>
      <c r="AG694" s="2">
        <v>31.55</v>
      </c>
      <c r="AH694">
        <v>0</v>
      </c>
      <c r="AI694">
        <v>31.55</v>
      </c>
      <c r="AJ694">
        <v>0.15775</v>
      </c>
      <c r="AK694" t="s">
        <v>54</v>
      </c>
      <c r="AL694">
        <v>0.31</v>
      </c>
      <c r="AM694" s="4">
        <f t="shared" si="81"/>
        <v>31.55</v>
      </c>
      <c r="AN694" s="4">
        <f t="shared" si="82"/>
        <v>46.65</v>
      </c>
      <c r="AO694" s="4">
        <f t="shared" si="83"/>
        <v>51.828150000000001</v>
      </c>
      <c r="AP694" s="4">
        <f t="shared" si="84"/>
        <v>75.56833499999999</v>
      </c>
      <c r="AQ694" s="10">
        <f t="shared" si="85"/>
        <v>54.868605000000002</v>
      </c>
      <c r="AR694" s="10">
        <f t="shared" si="86"/>
        <v>60.964507015500004</v>
      </c>
      <c r="AS694" s="10">
        <f t="shared" si="87"/>
        <v>85.419444264000006</v>
      </c>
    </row>
    <row r="695" spans="1:45" x14ac:dyDescent="0.3">
      <c r="A695">
        <v>2025</v>
      </c>
      <c r="B695">
        <v>3</v>
      </c>
      <c r="C695" t="s">
        <v>55</v>
      </c>
      <c r="D695">
        <v>10</v>
      </c>
      <c r="E695" t="s">
        <v>36</v>
      </c>
      <c r="F695" t="s">
        <v>37</v>
      </c>
      <c r="G695" t="s">
        <v>38</v>
      </c>
      <c r="H695" t="s">
        <v>101</v>
      </c>
      <c r="I695" t="s">
        <v>190</v>
      </c>
      <c r="J695" t="s">
        <v>58</v>
      </c>
      <c r="K695" t="s">
        <v>59</v>
      </c>
      <c r="M695" t="s">
        <v>213</v>
      </c>
      <c r="N695" t="s">
        <v>61</v>
      </c>
      <c r="O695" t="s">
        <v>43</v>
      </c>
      <c r="Q695" t="s">
        <v>62</v>
      </c>
      <c r="R695" t="s">
        <v>214</v>
      </c>
      <c r="S695" t="s">
        <v>215</v>
      </c>
      <c r="T695" t="s">
        <v>47</v>
      </c>
      <c r="U695" t="s">
        <v>157</v>
      </c>
      <c r="V695" t="s">
        <v>49</v>
      </c>
      <c r="W695" t="s">
        <v>158</v>
      </c>
      <c r="X695" t="s">
        <v>51</v>
      </c>
      <c r="Y695" t="s">
        <v>1138</v>
      </c>
      <c r="Z695" t="s">
        <v>1138</v>
      </c>
      <c r="AA695" t="s">
        <v>562</v>
      </c>
      <c r="AB695" s="3">
        <f t="shared" si="80"/>
        <v>20</v>
      </c>
      <c r="AC695">
        <v>499.85</v>
      </c>
      <c r="AD695" s="2">
        <v>24.9925</v>
      </c>
      <c r="AE695" s="2">
        <v>148.38999999999999</v>
      </c>
      <c r="AF695" s="2">
        <v>3.75</v>
      </c>
      <c r="AG695" s="2">
        <v>651.98</v>
      </c>
      <c r="AH695">
        <v>0</v>
      </c>
      <c r="AI695">
        <v>32.598999999999997</v>
      </c>
      <c r="AJ695">
        <v>3.2599</v>
      </c>
      <c r="AK695" t="s">
        <v>54</v>
      </c>
      <c r="AL695">
        <v>3.72</v>
      </c>
      <c r="AM695" s="4">
        <f t="shared" si="81"/>
        <v>32.599000000000004</v>
      </c>
      <c r="AN695" s="4">
        <f t="shared" si="82"/>
        <v>46.860937499999999</v>
      </c>
      <c r="AO695" s="4">
        <f t="shared" si="83"/>
        <v>52.062501562499996</v>
      </c>
      <c r="AP695" s="4">
        <f t="shared" si="84"/>
        <v>75.910032656249996</v>
      </c>
      <c r="AQ695" s="10">
        <f t="shared" si="85"/>
        <v>56.692920900000011</v>
      </c>
      <c r="AR695" s="10">
        <f t="shared" si="86"/>
        <v>62.991504411990014</v>
      </c>
      <c r="AS695" s="10">
        <f t="shared" si="87"/>
        <v>88.259539257120011</v>
      </c>
    </row>
    <row r="696" spans="1:45" x14ac:dyDescent="0.3">
      <c r="A696">
        <v>2025</v>
      </c>
      <c r="B696">
        <v>9</v>
      </c>
      <c r="C696" t="s">
        <v>55</v>
      </c>
      <c r="D696">
        <v>10</v>
      </c>
      <c r="E696" t="s">
        <v>36</v>
      </c>
      <c r="F696" t="s">
        <v>37</v>
      </c>
      <c r="G696" t="s">
        <v>38</v>
      </c>
      <c r="H696" t="s">
        <v>101</v>
      </c>
      <c r="I696" t="s">
        <v>375</v>
      </c>
      <c r="J696" t="s">
        <v>376</v>
      </c>
      <c r="K696" t="s">
        <v>59</v>
      </c>
      <c r="L696" t="s">
        <v>1483</v>
      </c>
      <c r="M696" t="s">
        <v>1484</v>
      </c>
      <c r="N696" t="s">
        <v>1485</v>
      </c>
      <c r="O696" t="s">
        <v>1197</v>
      </c>
      <c r="Q696" t="s">
        <v>62</v>
      </c>
      <c r="R696" t="s">
        <v>1486</v>
      </c>
      <c r="S696" t="s">
        <v>1486</v>
      </c>
      <c r="T696" t="s">
        <v>47</v>
      </c>
      <c r="U696" t="s">
        <v>157</v>
      </c>
      <c r="V696" t="s">
        <v>49</v>
      </c>
      <c r="W696" t="s">
        <v>158</v>
      </c>
      <c r="X696" t="s">
        <v>51</v>
      </c>
      <c r="Y696" t="s">
        <v>344</v>
      </c>
      <c r="Z696" t="s">
        <v>64</v>
      </c>
      <c r="AA696" t="s">
        <v>345</v>
      </c>
      <c r="AB696" s="3">
        <f t="shared" si="80"/>
        <v>4</v>
      </c>
      <c r="AC696">
        <v>512.9</v>
      </c>
      <c r="AD696" s="2">
        <v>128.22499999999999</v>
      </c>
      <c r="AE696" s="2">
        <v>107.63</v>
      </c>
      <c r="AF696" s="2">
        <v>3.8</v>
      </c>
      <c r="AG696" s="2">
        <v>624.33000000000004</v>
      </c>
      <c r="AH696">
        <v>0</v>
      </c>
      <c r="AI696">
        <v>156.08250000000001</v>
      </c>
      <c r="AJ696">
        <v>3.1216499999999998</v>
      </c>
      <c r="AK696" t="s">
        <v>54</v>
      </c>
      <c r="AL696">
        <v>7.78</v>
      </c>
      <c r="AM696" s="4">
        <f t="shared" si="81"/>
        <v>156.08250000000001</v>
      </c>
      <c r="AN696" s="4">
        <f t="shared" si="82"/>
        <v>240.421875</v>
      </c>
      <c r="AO696" s="4">
        <f t="shared" si="83"/>
        <v>267.10870312499998</v>
      </c>
      <c r="AP696" s="4">
        <f t="shared" si="84"/>
        <v>389.45939531249996</v>
      </c>
      <c r="AQ696" s="10">
        <f t="shared" si="85"/>
        <v>271.44307575000005</v>
      </c>
      <c r="AR696" s="10">
        <f t="shared" si="86"/>
        <v>301.60040146582503</v>
      </c>
      <c r="AS696" s="10">
        <f t="shared" si="87"/>
        <v>422.58258032760006</v>
      </c>
    </row>
    <row r="697" spans="1:45" x14ac:dyDescent="0.3">
      <c r="A697">
        <v>2025</v>
      </c>
      <c r="B697">
        <v>9</v>
      </c>
      <c r="C697" t="s">
        <v>55</v>
      </c>
      <c r="D697">
        <v>10</v>
      </c>
      <c r="E697" t="s">
        <v>36</v>
      </c>
      <c r="F697" t="s">
        <v>37</v>
      </c>
      <c r="G697" t="s">
        <v>38</v>
      </c>
      <c r="H697" t="s">
        <v>101</v>
      </c>
      <c r="I697" t="s">
        <v>375</v>
      </c>
      <c r="J697" t="s">
        <v>376</v>
      </c>
      <c r="K697" t="s">
        <v>41</v>
      </c>
      <c r="L697" t="s">
        <v>1503</v>
      </c>
      <c r="M697" t="s">
        <v>1504</v>
      </c>
      <c r="N697" t="s">
        <v>377</v>
      </c>
      <c r="O697" t="s">
        <v>1197</v>
      </c>
      <c r="Q697" t="s">
        <v>62</v>
      </c>
      <c r="R697" t="s">
        <v>1505</v>
      </c>
      <c r="S697" t="s">
        <v>1505</v>
      </c>
      <c r="T697" t="s">
        <v>47</v>
      </c>
      <c r="U697" t="s">
        <v>649</v>
      </c>
      <c r="V697" t="s">
        <v>49</v>
      </c>
      <c r="W697" t="s">
        <v>928</v>
      </c>
      <c r="X697" t="s">
        <v>388</v>
      </c>
      <c r="Y697" t="s">
        <v>1531</v>
      </c>
      <c r="Z697" t="s">
        <v>1531</v>
      </c>
      <c r="AA697" t="s">
        <v>345</v>
      </c>
      <c r="AB697" s="3">
        <f t="shared" si="80"/>
        <v>2</v>
      </c>
      <c r="AC697">
        <v>239.89</v>
      </c>
      <c r="AD697" s="2">
        <v>119.94499999999999</v>
      </c>
      <c r="AE697" s="2">
        <v>37.22</v>
      </c>
      <c r="AF697" s="2">
        <v>1.7</v>
      </c>
      <c r="AG697" s="2">
        <v>278.81</v>
      </c>
      <c r="AH697">
        <v>0</v>
      </c>
      <c r="AI697">
        <v>139.405</v>
      </c>
      <c r="AJ697">
        <v>1.39405</v>
      </c>
      <c r="AK697" t="s">
        <v>54</v>
      </c>
      <c r="AL697">
        <v>1.54</v>
      </c>
      <c r="AM697" s="4">
        <f t="shared" si="81"/>
        <v>139.405</v>
      </c>
      <c r="AN697" s="4">
        <f t="shared" si="82"/>
        <v>224.89687499999999</v>
      </c>
      <c r="AO697" s="4">
        <f t="shared" si="83"/>
        <v>249.860428125</v>
      </c>
      <c r="AP697" s="4">
        <f t="shared" si="84"/>
        <v>364.31044781249994</v>
      </c>
      <c r="AQ697" s="10">
        <f t="shared" si="85"/>
        <v>242.43923550000002</v>
      </c>
      <c r="AR697" s="10">
        <f t="shared" si="86"/>
        <v>269.37423456405003</v>
      </c>
      <c r="AS697" s="10">
        <f t="shared" si="87"/>
        <v>377.42940182640001</v>
      </c>
    </row>
    <row r="698" spans="1:45" x14ac:dyDescent="0.3">
      <c r="A698">
        <v>2025</v>
      </c>
      <c r="B698">
        <v>6</v>
      </c>
      <c r="C698" t="s">
        <v>55</v>
      </c>
      <c r="D698">
        <v>10</v>
      </c>
      <c r="E698" t="s">
        <v>36</v>
      </c>
      <c r="F698" t="s">
        <v>37</v>
      </c>
      <c r="G698" t="s">
        <v>38</v>
      </c>
      <c r="H698" t="s">
        <v>83</v>
      </c>
      <c r="I698" t="s">
        <v>190</v>
      </c>
      <c r="J698" t="s">
        <v>58</v>
      </c>
      <c r="K698" t="s">
        <v>59</v>
      </c>
      <c r="M698" t="s">
        <v>730</v>
      </c>
      <c r="N698" t="s">
        <v>731</v>
      </c>
      <c r="O698" t="s">
        <v>36</v>
      </c>
      <c r="Q698" t="s">
        <v>62</v>
      </c>
      <c r="R698" t="s">
        <v>732</v>
      </c>
      <c r="S698" t="s">
        <v>732</v>
      </c>
      <c r="T698" t="s">
        <v>47</v>
      </c>
      <c r="U698" t="s">
        <v>223</v>
      </c>
      <c r="V698" t="s">
        <v>49</v>
      </c>
      <c r="W698" t="s">
        <v>224</v>
      </c>
      <c r="X698" t="s">
        <v>686</v>
      </c>
      <c r="Y698" t="s">
        <v>1546</v>
      </c>
      <c r="Z698" t="s">
        <v>1546</v>
      </c>
      <c r="AA698" t="s">
        <v>1547</v>
      </c>
      <c r="AB698" s="3">
        <f t="shared" si="80"/>
        <v>1</v>
      </c>
      <c r="AC698">
        <v>249.55</v>
      </c>
      <c r="AD698" s="2">
        <v>249.55</v>
      </c>
      <c r="AE698" s="2">
        <v>90.74</v>
      </c>
      <c r="AF698" s="2">
        <v>2.9</v>
      </c>
      <c r="AG698" s="2">
        <v>342.39</v>
      </c>
      <c r="AH698">
        <v>0</v>
      </c>
      <c r="AI698">
        <v>342.39</v>
      </c>
      <c r="AJ698">
        <v>1.7119500000000001</v>
      </c>
      <c r="AK698" t="s">
        <v>54</v>
      </c>
      <c r="AL698">
        <v>2.23</v>
      </c>
      <c r="AM698" s="4">
        <f t="shared" si="81"/>
        <v>342.39</v>
      </c>
      <c r="AN698" s="4">
        <f t="shared" si="82"/>
        <v>467.90625</v>
      </c>
      <c r="AO698" s="4">
        <f t="shared" si="83"/>
        <v>519.84384375000002</v>
      </c>
      <c r="AP698" s="4">
        <f t="shared" si="84"/>
        <v>757.96133437499998</v>
      </c>
      <c r="AQ698" s="10">
        <f t="shared" si="85"/>
        <v>595.45044900000005</v>
      </c>
      <c r="AR698" s="10">
        <f t="shared" si="86"/>
        <v>661.60499388390008</v>
      </c>
      <c r="AS698" s="10">
        <f t="shared" si="87"/>
        <v>926.99725900320004</v>
      </c>
    </row>
    <row r="699" spans="1:45" x14ac:dyDescent="0.3">
      <c r="A699">
        <v>2025</v>
      </c>
      <c r="B699">
        <v>6</v>
      </c>
      <c r="C699" t="s">
        <v>55</v>
      </c>
      <c r="D699">
        <v>10</v>
      </c>
      <c r="E699" t="s">
        <v>36</v>
      </c>
      <c r="F699" t="s">
        <v>37</v>
      </c>
      <c r="G699" t="s">
        <v>38</v>
      </c>
      <c r="H699" t="s">
        <v>341</v>
      </c>
      <c r="I699" t="s">
        <v>190</v>
      </c>
      <c r="J699" t="s">
        <v>58</v>
      </c>
      <c r="K699" t="s">
        <v>59</v>
      </c>
      <c r="M699" t="s">
        <v>730</v>
      </c>
      <c r="N699" t="s">
        <v>731</v>
      </c>
      <c r="O699" t="s">
        <v>36</v>
      </c>
      <c r="Q699" t="s">
        <v>62</v>
      </c>
      <c r="R699" t="s">
        <v>732</v>
      </c>
      <c r="S699" t="s">
        <v>732</v>
      </c>
      <c r="T699" t="s">
        <v>47</v>
      </c>
      <c r="U699" t="s">
        <v>898</v>
      </c>
      <c r="V699" t="s">
        <v>49</v>
      </c>
      <c r="W699" t="s">
        <v>899</v>
      </c>
      <c r="X699" t="s">
        <v>686</v>
      </c>
      <c r="Y699" t="s">
        <v>748</v>
      </c>
      <c r="Z699" t="s">
        <v>748</v>
      </c>
      <c r="AA699" t="s">
        <v>749</v>
      </c>
      <c r="AB699" s="3">
        <f t="shared" si="80"/>
        <v>0.44999999999999951</v>
      </c>
      <c r="AC699">
        <v>43.96</v>
      </c>
      <c r="AD699" s="2">
        <v>97.688888888888997</v>
      </c>
      <c r="AE699" s="2">
        <v>9.3000000000000007</v>
      </c>
      <c r="AF699" s="2">
        <v>0.33</v>
      </c>
      <c r="AG699" s="2">
        <v>53.58</v>
      </c>
      <c r="AH699">
        <v>0</v>
      </c>
      <c r="AI699">
        <v>119.06666666667</v>
      </c>
      <c r="AJ699">
        <v>0.26790000000000003</v>
      </c>
      <c r="AK699" t="s">
        <v>54</v>
      </c>
      <c r="AL699">
        <v>0.32</v>
      </c>
      <c r="AM699" s="4">
        <f t="shared" si="81"/>
        <v>119.06666666666679</v>
      </c>
      <c r="AN699" s="4">
        <f t="shared" si="82"/>
        <v>183.16666666666686</v>
      </c>
      <c r="AO699" s="4">
        <f t="shared" si="83"/>
        <v>203.49816666666686</v>
      </c>
      <c r="AP699" s="4">
        <f t="shared" si="84"/>
        <v>296.71168333333361</v>
      </c>
      <c r="AQ699" s="10">
        <f t="shared" si="85"/>
        <v>207.06884000000022</v>
      </c>
      <c r="AR699" s="10">
        <f t="shared" si="86"/>
        <v>230.07418812400024</v>
      </c>
      <c r="AS699" s="10">
        <f t="shared" si="87"/>
        <v>322.36477011200031</v>
      </c>
    </row>
    <row r="700" spans="1:45" x14ac:dyDescent="0.3">
      <c r="A700">
        <v>2025</v>
      </c>
      <c r="B700">
        <v>6</v>
      </c>
      <c r="C700" t="s">
        <v>55</v>
      </c>
      <c r="D700">
        <v>10</v>
      </c>
      <c r="E700" t="s">
        <v>36</v>
      </c>
      <c r="F700" t="s">
        <v>37</v>
      </c>
      <c r="G700" t="s">
        <v>38</v>
      </c>
      <c r="H700" t="s">
        <v>101</v>
      </c>
      <c r="I700" t="s">
        <v>190</v>
      </c>
      <c r="J700" t="s">
        <v>58</v>
      </c>
      <c r="K700" t="s">
        <v>59</v>
      </c>
      <c r="M700" t="s">
        <v>730</v>
      </c>
      <c r="N700" t="s">
        <v>731</v>
      </c>
      <c r="O700" t="s">
        <v>36</v>
      </c>
      <c r="Q700" t="s">
        <v>62</v>
      </c>
      <c r="R700" t="s">
        <v>732</v>
      </c>
      <c r="S700" t="s">
        <v>732</v>
      </c>
      <c r="T700" t="s">
        <v>47</v>
      </c>
      <c r="U700" t="s">
        <v>898</v>
      </c>
      <c r="V700" t="s">
        <v>49</v>
      </c>
      <c r="W700" t="s">
        <v>899</v>
      </c>
      <c r="X700" t="s">
        <v>686</v>
      </c>
      <c r="Y700" t="s">
        <v>904</v>
      </c>
      <c r="Z700" t="s">
        <v>904</v>
      </c>
      <c r="AA700" t="s">
        <v>905</v>
      </c>
      <c r="AB700" s="3">
        <f t="shared" si="80"/>
        <v>1</v>
      </c>
      <c r="AC700">
        <v>100.17</v>
      </c>
      <c r="AD700" s="2">
        <v>100.17</v>
      </c>
      <c r="AE700" s="2">
        <v>21.18</v>
      </c>
      <c r="AF700" s="2">
        <v>0.74</v>
      </c>
      <c r="AG700" s="2">
        <v>122.9</v>
      </c>
      <c r="AH700">
        <v>0</v>
      </c>
      <c r="AI700">
        <v>122.9</v>
      </c>
      <c r="AJ700">
        <v>0.61450000000000005</v>
      </c>
      <c r="AK700" t="s">
        <v>54</v>
      </c>
      <c r="AL700">
        <v>0.72</v>
      </c>
      <c r="AM700" s="4">
        <f t="shared" si="81"/>
        <v>122.9</v>
      </c>
      <c r="AN700" s="4">
        <f t="shared" si="82"/>
        <v>187.81874999999999</v>
      </c>
      <c r="AO700" s="4">
        <f t="shared" si="83"/>
        <v>208.66663124999999</v>
      </c>
      <c r="AP700" s="4">
        <f t="shared" si="84"/>
        <v>304.24759312499998</v>
      </c>
      <c r="AQ700" s="10">
        <f t="shared" si="85"/>
        <v>213.73539000000002</v>
      </c>
      <c r="AR700" s="10">
        <f t="shared" si="86"/>
        <v>237.48139182900002</v>
      </c>
      <c r="AS700" s="10">
        <f t="shared" si="87"/>
        <v>332.74325515200002</v>
      </c>
    </row>
    <row r="701" spans="1:45" x14ac:dyDescent="0.3">
      <c r="A701">
        <v>2025</v>
      </c>
      <c r="B701">
        <v>10</v>
      </c>
      <c r="C701" t="s">
        <v>55</v>
      </c>
      <c r="D701">
        <v>10</v>
      </c>
      <c r="E701" t="s">
        <v>36</v>
      </c>
      <c r="F701" t="s">
        <v>37</v>
      </c>
      <c r="G701" t="s">
        <v>38</v>
      </c>
      <c r="H701" t="s">
        <v>101</v>
      </c>
      <c r="I701" t="s">
        <v>375</v>
      </c>
      <c r="J701" t="s">
        <v>376</v>
      </c>
      <c r="K701" t="s">
        <v>59</v>
      </c>
      <c r="L701" t="s">
        <v>1549</v>
      </c>
      <c r="M701" t="s">
        <v>1550</v>
      </c>
      <c r="N701" t="s">
        <v>1551</v>
      </c>
      <c r="O701" t="s">
        <v>1197</v>
      </c>
      <c r="Q701" t="s">
        <v>62</v>
      </c>
      <c r="R701" t="s">
        <v>1552</v>
      </c>
      <c r="S701" t="s">
        <v>1552</v>
      </c>
      <c r="T701" t="s">
        <v>47</v>
      </c>
      <c r="U701" t="s">
        <v>453</v>
      </c>
      <c r="V701" t="s">
        <v>49</v>
      </c>
      <c r="W701" t="s">
        <v>1289</v>
      </c>
      <c r="X701" t="s">
        <v>51</v>
      </c>
      <c r="Y701" t="s">
        <v>906</v>
      </c>
      <c r="Z701" t="s">
        <v>906</v>
      </c>
      <c r="AA701" t="s">
        <v>907</v>
      </c>
      <c r="AB701" s="3">
        <f t="shared" si="80"/>
        <v>1</v>
      </c>
      <c r="AC701">
        <v>61.18</v>
      </c>
      <c r="AD701" s="2">
        <v>61.18</v>
      </c>
      <c r="AE701" s="2">
        <v>12.94</v>
      </c>
      <c r="AF701" s="2">
        <v>0.45</v>
      </c>
      <c r="AG701" s="2">
        <v>74.569999999999993</v>
      </c>
      <c r="AH701">
        <v>0</v>
      </c>
      <c r="AI701">
        <v>74.569999999999993</v>
      </c>
      <c r="AJ701">
        <v>0.37285000000000001</v>
      </c>
      <c r="AK701" t="s">
        <v>54</v>
      </c>
      <c r="AL701">
        <v>0.44</v>
      </c>
      <c r="AM701" s="4">
        <f t="shared" si="81"/>
        <v>74.569999999999993</v>
      </c>
      <c r="AN701" s="4">
        <f t="shared" si="82"/>
        <v>114.71250000000001</v>
      </c>
      <c r="AO701" s="4">
        <f t="shared" si="83"/>
        <v>127.4455875</v>
      </c>
      <c r="AP701" s="4">
        <f t="shared" si="84"/>
        <v>185.82277875</v>
      </c>
      <c r="AQ701" s="10">
        <f t="shared" si="85"/>
        <v>129.684687</v>
      </c>
      <c r="AR701" s="10">
        <f t="shared" si="86"/>
        <v>144.09265572569998</v>
      </c>
      <c r="AS701" s="10">
        <f t="shared" si="87"/>
        <v>201.89312072159998</v>
      </c>
    </row>
    <row r="702" spans="1:45" x14ac:dyDescent="0.3">
      <c r="A702">
        <v>2025</v>
      </c>
      <c r="B702">
        <v>4</v>
      </c>
      <c r="C702" t="s">
        <v>55</v>
      </c>
      <c r="D702">
        <v>10</v>
      </c>
      <c r="E702" t="s">
        <v>36</v>
      </c>
      <c r="F702" t="s">
        <v>37</v>
      </c>
      <c r="G702" t="s">
        <v>38</v>
      </c>
      <c r="H702" t="s">
        <v>101</v>
      </c>
      <c r="I702" t="s">
        <v>375</v>
      </c>
      <c r="J702" t="s">
        <v>376</v>
      </c>
      <c r="K702" t="s">
        <v>59</v>
      </c>
      <c r="M702">
        <v>2503061</v>
      </c>
      <c r="N702" t="s">
        <v>377</v>
      </c>
      <c r="O702" t="s">
        <v>36</v>
      </c>
      <c r="Q702" t="s">
        <v>62</v>
      </c>
      <c r="R702" t="s">
        <v>378</v>
      </c>
      <c r="S702" t="s">
        <v>378</v>
      </c>
      <c r="T702" t="s">
        <v>47</v>
      </c>
      <c r="U702" t="s">
        <v>157</v>
      </c>
      <c r="V702" t="s">
        <v>49</v>
      </c>
      <c r="W702" t="s">
        <v>158</v>
      </c>
      <c r="X702" t="s">
        <v>51</v>
      </c>
      <c r="Y702" t="s">
        <v>1562</v>
      </c>
      <c r="Z702" t="s">
        <v>1562</v>
      </c>
      <c r="AA702" t="s">
        <v>1563</v>
      </c>
      <c r="AB702" s="3">
        <f t="shared" si="80"/>
        <v>1</v>
      </c>
      <c r="AC702">
        <v>101.73</v>
      </c>
      <c r="AD702" s="2">
        <v>101.73</v>
      </c>
      <c r="AE702" s="2">
        <v>46.51</v>
      </c>
      <c r="AF702" s="2">
        <v>0.91</v>
      </c>
      <c r="AG702" s="2">
        <v>149.13999999999999</v>
      </c>
      <c r="AH702">
        <v>0</v>
      </c>
      <c r="AI702">
        <v>149.13999999999999</v>
      </c>
      <c r="AJ702">
        <v>0.74570000000000003</v>
      </c>
      <c r="AK702" t="s">
        <v>54</v>
      </c>
      <c r="AL702">
        <v>2.11</v>
      </c>
      <c r="AM702" s="4">
        <f t="shared" si="81"/>
        <v>149.13999999999999</v>
      </c>
      <c r="AN702" s="4">
        <f t="shared" si="82"/>
        <v>190.74375000000001</v>
      </c>
      <c r="AO702" s="4">
        <f t="shared" si="83"/>
        <v>211.91630624999999</v>
      </c>
      <c r="AP702" s="4">
        <f t="shared" si="84"/>
        <v>308.98580062499997</v>
      </c>
      <c r="AQ702" s="10">
        <f t="shared" si="85"/>
        <v>259.36937399999999</v>
      </c>
      <c r="AR702" s="10">
        <f t="shared" si="86"/>
        <v>288.18531145139997</v>
      </c>
      <c r="AS702" s="10">
        <f t="shared" si="87"/>
        <v>403.78624144319997</v>
      </c>
    </row>
    <row r="703" spans="1:45" x14ac:dyDescent="0.3">
      <c r="A703">
        <v>2025</v>
      </c>
      <c r="B703">
        <v>5</v>
      </c>
      <c r="C703" t="s">
        <v>55</v>
      </c>
      <c r="D703">
        <v>10</v>
      </c>
      <c r="E703" t="s">
        <v>36</v>
      </c>
      <c r="F703" t="s">
        <v>37</v>
      </c>
      <c r="G703" t="s">
        <v>38</v>
      </c>
      <c r="H703" t="s">
        <v>101</v>
      </c>
      <c r="I703" t="s">
        <v>190</v>
      </c>
      <c r="J703" t="s">
        <v>58</v>
      </c>
      <c r="K703" t="s">
        <v>59</v>
      </c>
      <c r="M703" t="s">
        <v>682</v>
      </c>
      <c r="N703" t="s">
        <v>384</v>
      </c>
      <c r="O703" t="s">
        <v>36</v>
      </c>
      <c r="Q703" t="s">
        <v>62</v>
      </c>
      <c r="R703" t="s">
        <v>683</v>
      </c>
      <c r="S703" t="s">
        <v>683</v>
      </c>
      <c r="T703" t="s">
        <v>47</v>
      </c>
      <c r="U703" t="s">
        <v>157</v>
      </c>
      <c r="V703" t="s">
        <v>49</v>
      </c>
      <c r="W703" t="s">
        <v>158</v>
      </c>
      <c r="X703" t="s">
        <v>686</v>
      </c>
      <c r="Y703" t="s">
        <v>346</v>
      </c>
      <c r="Z703" t="s">
        <v>346</v>
      </c>
      <c r="AA703" t="s">
        <v>531</v>
      </c>
      <c r="AB703" s="3">
        <f t="shared" si="80"/>
        <v>10</v>
      </c>
      <c r="AC703">
        <v>906.85</v>
      </c>
      <c r="AD703" s="2">
        <v>90.685000000000002</v>
      </c>
      <c r="AE703" s="2">
        <v>150.87</v>
      </c>
      <c r="AF703" s="2">
        <v>6.36</v>
      </c>
      <c r="AG703" s="2">
        <v>1064.08</v>
      </c>
      <c r="AH703">
        <v>0</v>
      </c>
      <c r="AI703">
        <v>106.408</v>
      </c>
      <c r="AJ703">
        <v>5.3204000000000002</v>
      </c>
      <c r="AK703" t="s">
        <v>54</v>
      </c>
      <c r="AL703">
        <v>7.2</v>
      </c>
      <c r="AM703" s="4">
        <f t="shared" si="81"/>
        <v>106.40799999999999</v>
      </c>
      <c r="AN703" s="4">
        <f t="shared" si="82"/>
        <v>170.03437500000001</v>
      </c>
      <c r="AO703" s="4">
        <f t="shared" si="83"/>
        <v>188.908190625</v>
      </c>
      <c r="AP703" s="4">
        <f t="shared" si="84"/>
        <v>275.43868406249999</v>
      </c>
      <c r="AQ703" s="10">
        <f t="shared" si="85"/>
        <v>185.0541528</v>
      </c>
      <c r="AR703" s="10">
        <f t="shared" si="86"/>
        <v>205.61366917607998</v>
      </c>
      <c r="AS703" s="10">
        <f t="shared" si="87"/>
        <v>288.09230507903999</v>
      </c>
    </row>
    <row r="704" spans="1:45" x14ac:dyDescent="0.3">
      <c r="A704">
        <v>2025</v>
      </c>
      <c r="B704">
        <v>9</v>
      </c>
      <c r="C704" t="s">
        <v>55</v>
      </c>
      <c r="D704">
        <v>10</v>
      </c>
      <c r="E704" t="s">
        <v>36</v>
      </c>
      <c r="F704" t="s">
        <v>37</v>
      </c>
      <c r="G704" t="s">
        <v>38</v>
      </c>
      <c r="H704" t="s">
        <v>101</v>
      </c>
      <c r="I704" t="s">
        <v>375</v>
      </c>
      <c r="J704" t="s">
        <v>376</v>
      </c>
      <c r="K704" t="s">
        <v>59</v>
      </c>
      <c r="L704" t="s">
        <v>1483</v>
      </c>
      <c r="M704" t="s">
        <v>1484</v>
      </c>
      <c r="N704" t="s">
        <v>1485</v>
      </c>
      <c r="O704" t="s">
        <v>1197</v>
      </c>
      <c r="Q704" t="s">
        <v>62</v>
      </c>
      <c r="R704" t="s">
        <v>1486</v>
      </c>
      <c r="S704" t="s">
        <v>1486</v>
      </c>
      <c r="T704" t="s">
        <v>47</v>
      </c>
      <c r="U704" t="s">
        <v>157</v>
      </c>
      <c r="V704" t="s">
        <v>49</v>
      </c>
      <c r="W704" t="s">
        <v>158</v>
      </c>
      <c r="X704" t="s">
        <v>51</v>
      </c>
      <c r="Y704" t="s">
        <v>346</v>
      </c>
      <c r="Z704" t="s">
        <v>346</v>
      </c>
      <c r="AA704" t="s">
        <v>531</v>
      </c>
      <c r="AB704" s="3">
        <f t="shared" si="80"/>
        <v>2</v>
      </c>
      <c r="AC704">
        <v>166.83</v>
      </c>
      <c r="AD704" s="2">
        <v>83.415000000000006</v>
      </c>
      <c r="AE704" s="2">
        <v>189.64</v>
      </c>
      <c r="AF704" s="2">
        <v>1.34</v>
      </c>
      <c r="AG704" s="2">
        <v>357.82</v>
      </c>
      <c r="AH704">
        <v>0</v>
      </c>
      <c r="AI704">
        <v>178.91</v>
      </c>
      <c r="AJ704">
        <v>1.7890999999999999</v>
      </c>
      <c r="AK704" t="s">
        <v>54</v>
      </c>
      <c r="AL704">
        <v>6.22</v>
      </c>
      <c r="AM704" s="4">
        <f t="shared" si="81"/>
        <v>178.91</v>
      </c>
      <c r="AN704" s="4">
        <f t="shared" si="82"/>
        <v>156.40312500000002</v>
      </c>
      <c r="AO704" s="4">
        <f t="shared" si="83"/>
        <v>173.76387187500001</v>
      </c>
      <c r="AP704" s="4">
        <f t="shared" si="84"/>
        <v>253.35742218750002</v>
      </c>
      <c r="AQ704" s="10">
        <f t="shared" si="85"/>
        <v>311.142381</v>
      </c>
      <c r="AR704" s="10">
        <f t="shared" si="86"/>
        <v>345.71029952909998</v>
      </c>
      <c r="AS704" s="10">
        <f t="shared" si="87"/>
        <v>484.38645874079998</v>
      </c>
    </row>
    <row r="705" spans="1:45" x14ac:dyDescent="0.3">
      <c r="A705">
        <v>2025</v>
      </c>
      <c r="B705">
        <v>9</v>
      </c>
      <c r="C705" t="s">
        <v>55</v>
      </c>
      <c r="D705">
        <v>10</v>
      </c>
      <c r="E705" t="s">
        <v>36</v>
      </c>
      <c r="F705" t="s">
        <v>37</v>
      </c>
      <c r="G705" t="s">
        <v>38</v>
      </c>
      <c r="H705" t="s">
        <v>101</v>
      </c>
      <c r="I705" t="s">
        <v>375</v>
      </c>
      <c r="J705" t="s">
        <v>376</v>
      </c>
      <c r="K705" t="s">
        <v>41</v>
      </c>
      <c r="L705" t="s">
        <v>1503</v>
      </c>
      <c r="M705" t="s">
        <v>1504</v>
      </c>
      <c r="N705" t="s">
        <v>377</v>
      </c>
      <c r="O705" t="s">
        <v>1197</v>
      </c>
      <c r="Q705" t="s">
        <v>62</v>
      </c>
      <c r="R705" t="s">
        <v>1505</v>
      </c>
      <c r="S705" t="s">
        <v>1505</v>
      </c>
      <c r="T705" t="s">
        <v>47</v>
      </c>
      <c r="U705" t="s">
        <v>157</v>
      </c>
      <c r="V705" t="s">
        <v>49</v>
      </c>
      <c r="W705" t="s">
        <v>158</v>
      </c>
      <c r="X705" t="s">
        <v>388</v>
      </c>
      <c r="Y705" t="s">
        <v>1107</v>
      </c>
      <c r="Z705" t="s">
        <v>1108</v>
      </c>
      <c r="AA705" t="s">
        <v>531</v>
      </c>
      <c r="AB705" s="3">
        <f t="shared" si="80"/>
        <v>8</v>
      </c>
      <c r="AC705">
        <v>597.32000000000005</v>
      </c>
      <c r="AD705" s="2">
        <v>74.665000000000006</v>
      </c>
      <c r="AE705" s="2">
        <v>92.57</v>
      </c>
      <c r="AF705" s="2">
        <v>4.2300000000000004</v>
      </c>
      <c r="AG705" s="2">
        <v>694.12</v>
      </c>
      <c r="AH705">
        <v>0</v>
      </c>
      <c r="AI705">
        <v>86.765000000000001</v>
      </c>
      <c r="AJ705">
        <v>3.4706000000000001</v>
      </c>
      <c r="AK705" t="s">
        <v>54</v>
      </c>
      <c r="AL705">
        <v>3.83</v>
      </c>
      <c r="AM705" s="4">
        <f t="shared" si="81"/>
        <v>86.765000000000001</v>
      </c>
      <c r="AN705" s="4">
        <f t="shared" si="82"/>
        <v>139.99687500000002</v>
      </c>
      <c r="AO705" s="4">
        <f t="shared" si="83"/>
        <v>155.53652812500002</v>
      </c>
      <c r="AP705" s="4">
        <f t="shared" si="84"/>
        <v>226.78093781250001</v>
      </c>
      <c r="AQ705" s="10">
        <f t="shared" si="85"/>
        <v>150.8930115</v>
      </c>
      <c r="AR705" s="10">
        <f t="shared" si="86"/>
        <v>167.65722507765</v>
      </c>
      <c r="AS705" s="10">
        <f t="shared" si="87"/>
        <v>234.9102403032</v>
      </c>
    </row>
    <row r="706" spans="1:45" x14ac:dyDescent="0.3">
      <c r="A706">
        <v>2025</v>
      </c>
      <c r="B706">
        <v>10</v>
      </c>
      <c r="C706" t="s">
        <v>55</v>
      </c>
      <c r="D706">
        <v>10</v>
      </c>
      <c r="E706" t="s">
        <v>36</v>
      </c>
      <c r="F706" t="s">
        <v>37</v>
      </c>
      <c r="G706" t="s">
        <v>38</v>
      </c>
      <c r="H706" t="s">
        <v>101</v>
      </c>
      <c r="I706" t="s">
        <v>375</v>
      </c>
      <c r="J706" t="s">
        <v>376</v>
      </c>
      <c r="K706" t="s">
        <v>59</v>
      </c>
      <c r="L706" t="s">
        <v>1549</v>
      </c>
      <c r="M706" t="s">
        <v>1550</v>
      </c>
      <c r="N706" t="s">
        <v>1551</v>
      </c>
      <c r="O706" t="s">
        <v>1197</v>
      </c>
      <c r="Q706" t="s">
        <v>62</v>
      </c>
      <c r="R706" t="s">
        <v>1552</v>
      </c>
      <c r="S706" t="s">
        <v>1552</v>
      </c>
      <c r="T706" t="s">
        <v>47</v>
      </c>
      <c r="U706" t="s">
        <v>157</v>
      </c>
      <c r="V706" t="s">
        <v>49</v>
      </c>
      <c r="W706" t="s">
        <v>158</v>
      </c>
      <c r="X706" t="s">
        <v>51</v>
      </c>
      <c r="Y706" t="s">
        <v>1107</v>
      </c>
      <c r="Z706" t="s">
        <v>1108</v>
      </c>
      <c r="AA706" t="s">
        <v>531</v>
      </c>
      <c r="AB706" s="3">
        <f t="shared" si="80"/>
        <v>10</v>
      </c>
      <c r="AC706">
        <v>742.45</v>
      </c>
      <c r="AD706" s="2">
        <v>74.245000000000005</v>
      </c>
      <c r="AE706" s="2">
        <v>269.97000000000003</v>
      </c>
      <c r="AF706" s="2">
        <v>6.22</v>
      </c>
      <c r="AG706" s="2">
        <v>1018.63</v>
      </c>
      <c r="AH706">
        <v>0</v>
      </c>
      <c r="AI706">
        <v>101.863</v>
      </c>
      <c r="AJ706">
        <v>5.0931499999999996</v>
      </c>
      <c r="AK706" t="s">
        <v>54</v>
      </c>
      <c r="AL706">
        <v>22.25</v>
      </c>
      <c r="AM706" s="4">
        <f t="shared" si="81"/>
        <v>101.863</v>
      </c>
      <c r="AN706" s="4">
        <f t="shared" si="82"/>
        <v>139.20937500000002</v>
      </c>
      <c r="AO706" s="4">
        <f t="shared" si="83"/>
        <v>154.66161562500002</v>
      </c>
      <c r="AP706" s="4">
        <f t="shared" si="84"/>
        <v>225.50526656250003</v>
      </c>
      <c r="AQ706" s="10">
        <f t="shared" si="85"/>
        <v>177.14994330000002</v>
      </c>
      <c r="AR706" s="10">
        <f t="shared" si="86"/>
        <v>196.83130200063002</v>
      </c>
      <c r="AS706" s="10">
        <f t="shared" si="87"/>
        <v>275.78703172944</v>
      </c>
    </row>
    <row r="707" spans="1:45" x14ac:dyDescent="0.3">
      <c r="A707">
        <v>2025</v>
      </c>
      <c r="B707">
        <v>10</v>
      </c>
      <c r="C707" t="s">
        <v>55</v>
      </c>
      <c r="D707">
        <v>10</v>
      </c>
      <c r="E707" t="s">
        <v>36</v>
      </c>
      <c r="F707" t="s">
        <v>37</v>
      </c>
      <c r="G707" t="s">
        <v>38</v>
      </c>
      <c r="H707" t="s">
        <v>341</v>
      </c>
      <c r="I707" t="s">
        <v>375</v>
      </c>
      <c r="J707" t="s">
        <v>376</v>
      </c>
      <c r="K707" t="s">
        <v>59</v>
      </c>
      <c r="L707" t="s">
        <v>1549</v>
      </c>
      <c r="M707" t="s">
        <v>1550</v>
      </c>
      <c r="N707" t="s">
        <v>1551</v>
      </c>
      <c r="O707" t="s">
        <v>1197</v>
      </c>
      <c r="Q707" t="s">
        <v>62</v>
      </c>
      <c r="R707" t="s">
        <v>1552</v>
      </c>
      <c r="S707" t="s">
        <v>1552</v>
      </c>
      <c r="T707" t="s">
        <v>47</v>
      </c>
      <c r="U707" t="s">
        <v>102</v>
      </c>
      <c r="V707" t="s">
        <v>49</v>
      </c>
      <c r="W707" t="s">
        <v>805</v>
      </c>
      <c r="X707" t="s">
        <v>51</v>
      </c>
      <c r="Y707" t="s">
        <v>1107</v>
      </c>
      <c r="Z707" t="s">
        <v>1108</v>
      </c>
      <c r="AA707" t="s">
        <v>531</v>
      </c>
      <c r="AB707" s="3">
        <f t="shared" ref="AB707:AB770" si="88">SUM(AC707/AD707)</f>
        <v>10</v>
      </c>
      <c r="AC707">
        <v>750.62</v>
      </c>
      <c r="AD707" s="2">
        <v>75.061999999999998</v>
      </c>
      <c r="AE707" s="2">
        <v>343.1</v>
      </c>
      <c r="AF707" s="2">
        <v>6.69</v>
      </c>
      <c r="AG707" s="2">
        <v>1100.4100000000001</v>
      </c>
      <c r="AH707">
        <v>0</v>
      </c>
      <c r="AI707">
        <v>110.041</v>
      </c>
      <c r="AJ707">
        <v>5.5020499999999997</v>
      </c>
      <c r="AK707" t="s">
        <v>54</v>
      </c>
      <c r="AL707">
        <v>15.54</v>
      </c>
      <c r="AM707" s="4">
        <f t="shared" ref="AM707:AM770" si="89">SUM(AG707/AB707)</f>
        <v>110.04100000000001</v>
      </c>
      <c r="AN707" s="4">
        <f t="shared" ref="AN707:AN770" si="90">SUM(AD707*1.875)</f>
        <v>140.74125000000001</v>
      </c>
      <c r="AO707" s="4">
        <f t="shared" si="83"/>
        <v>156.36352875</v>
      </c>
      <c r="AP707" s="4">
        <f t="shared" si="84"/>
        <v>227.98675087499998</v>
      </c>
      <c r="AQ707" s="10">
        <f t="shared" si="85"/>
        <v>191.37230310000004</v>
      </c>
      <c r="AR707" s="10">
        <f t="shared" si="86"/>
        <v>212.63376597441004</v>
      </c>
      <c r="AS707" s="10">
        <f t="shared" si="87"/>
        <v>297.92840146608006</v>
      </c>
    </row>
    <row r="708" spans="1:45" x14ac:dyDescent="0.3">
      <c r="A708">
        <v>2025</v>
      </c>
      <c r="B708">
        <v>10</v>
      </c>
      <c r="C708" t="s">
        <v>55</v>
      </c>
      <c r="D708">
        <v>10</v>
      </c>
      <c r="E708" t="s">
        <v>36</v>
      </c>
      <c r="F708" t="s">
        <v>37</v>
      </c>
      <c r="G708" t="s">
        <v>38</v>
      </c>
      <c r="H708" t="s">
        <v>101</v>
      </c>
      <c r="I708" t="s">
        <v>375</v>
      </c>
      <c r="J708" t="s">
        <v>376</v>
      </c>
      <c r="K708" t="s">
        <v>59</v>
      </c>
      <c r="L708" t="s">
        <v>1549</v>
      </c>
      <c r="M708" t="s">
        <v>1550</v>
      </c>
      <c r="N708" t="s">
        <v>1551</v>
      </c>
      <c r="O708" t="s">
        <v>1197</v>
      </c>
      <c r="Q708" t="s">
        <v>62</v>
      </c>
      <c r="R708" t="s">
        <v>1552</v>
      </c>
      <c r="S708" t="s">
        <v>1552</v>
      </c>
      <c r="T708" t="s">
        <v>47</v>
      </c>
      <c r="U708" t="s">
        <v>157</v>
      </c>
      <c r="V708" t="s">
        <v>49</v>
      </c>
      <c r="W708" t="s">
        <v>158</v>
      </c>
      <c r="X708" t="s">
        <v>51</v>
      </c>
      <c r="Y708" t="s">
        <v>1573</v>
      </c>
      <c r="Z708" t="s">
        <v>1573</v>
      </c>
      <c r="AA708" t="s">
        <v>1574</v>
      </c>
      <c r="AB708" s="3">
        <f t="shared" si="88"/>
        <v>1</v>
      </c>
      <c r="AC708">
        <v>537.98</v>
      </c>
      <c r="AD708" s="2">
        <v>537.98</v>
      </c>
      <c r="AE708" s="2">
        <v>245.91</v>
      </c>
      <c r="AF708" s="2">
        <v>4.8</v>
      </c>
      <c r="AG708" s="2">
        <v>788.69</v>
      </c>
      <c r="AH708">
        <v>0</v>
      </c>
      <c r="AI708">
        <v>788.69</v>
      </c>
      <c r="AJ708">
        <v>3.9434499999999999</v>
      </c>
      <c r="AK708" t="s">
        <v>54</v>
      </c>
      <c r="AL708">
        <v>11.14</v>
      </c>
      <c r="AM708" s="4">
        <f t="shared" si="89"/>
        <v>788.69</v>
      </c>
      <c r="AN708" s="4">
        <f t="shared" si="90"/>
        <v>1008.7125000000001</v>
      </c>
      <c r="AO708" s="4">
        <f t="shared" ref="AO708:AO771" si="91">SUM(AN708)*1.111</f>
        <v>1120.6795875</v>
      </c>
      <c r="AP708" s="4">
        <f t="shared" ref="AP708:AP771" si="92">SUM(AN708)*1.6199</f>
        <v>1634.0133787500001</v>
      </c>
      <c r="AQ708" s="10">
        <f t="shared" ref="AQ708:AQ735" si="93">SUM(AM708)*1.7391</f>
        <v>1371.6107790000001</v>
      </c>
      <c r="AR708" s="10">
        <f t="shared" ref="AR708:AR736" si="94">SUM(AQ708)*1.1111</f>
        <v>1523.9967365469001</v>
      </c>
      <c r="AS708" s="10">
        <f t="shared" ref="AS708:AS735" si="95">SUM(AQ708)*1.5568</f>
        <v>2135.3236607471999</v>
      </c>
    </row>
    <row r="709" spans="1:45" x14ac:dyDescent="0.3">
      <c r="A709">
        <v>2025</v>
      </c>
      <c r="B709">
        <v>8</v>
      </c>
      <c r="C709" t="s">
        <v>55</v>
      </c>
      <c r="D709">
        <v>10</v>
      </c>
      <c r="E709" t="s">
        <v>36</v>
      </c>
      <c r="F709" t="s">
        <v>37</v>
      </c>
      <c r="G709" t="s">
        <v>38</v>
      </c>
      <c r="H709" t="s">
        <v>101</v>
      </c>
      <c r="I709" t="s">
        <v>190</v>
      </c>
      <c r="J709" t="s">
        <v>58</v>
      </c>
      <c r="K709" t="s">
        <v>59</v>
      </c>
      <c r="L709" t="s">
        <v>1194</v>
      </c>
      <c r="M709" t="s">
        <v>1195</v>
      </c>
      <c r="N709" t="s">
        <v>1196</v>
      </c>
      <c r="O709" t="s">
        <v>1197</v>
      </c>
      <c r="Q709" t="s">
        <v>62</v>
      </c>
      <c r="R709" t="s">
        <v>1198</v>
      </c>
      <c r="S709" t="s">
        <v>1198</v>
      </c>
      <c r="T709" t="s">
        <v>47</v>
      </c>
      <c r="U709" t="s">
        <v>157</v>
      </c>
      <c r="V709" t="s">
        <v>49</v>
      </c>
      <c r="W709" t="s">
        <v>158</v>
      </c>
      <c r="X709" t="s">
        <v>388</v>
      </c>
      <c r="Y709" t="s">
        <v>1590</v>
      </c>
      <c r="Z709" t="s">
        <v>1590</v>
      </c>
      <c r="AA709" t="s">
        <v>1591</v>
      </c>
      <c r="AB709" s="3">
        <f t="shared" si="88"/>
        <v>1</v>
      </c>
      <c r="AC709">
        <v>254.93</v>
      </c>
      <c r="AD709" s="2">
        <v>254.93</v>
      </c>
      <c r="AE709" s="2">
        <v>116.53</v>
      </c>
      <c r="AF709" s="2">
        <v>2.27</v>
      </c>
      <c r="AG709" s="2">
        <v>373.73</v>
      </c>
      <c r="AH709">
        <v>0</v>
      </c>
      <c r="AI709">
        <v>373.73</v>
      </c>
      <c r="AJ709">
        <v>1.8686499999999999</v>
      </c>
      <c r="AK709" t="s">
        <v>54</v>
      </c>
      <c r="AL709">
        <v>5.28</v>
      </c>
      <c r="AM709" s="4">
        <f t="shared" si="89"/>
        <v>373.73</v>
      </c>
      <c r="AN709" s="4">
        <f t="shared" si="90"/>
        <v>477.99375000000003</v>
      </c>
      <c r="AO709" s="4">
        <f t="shared" si="91"/>
        <v>531.05105624999999</v>
      </c>
      <c r="AP709" s="4">
        <f t="shared" si="92"/>
        <v>774.30207562500004</v>
      </c>
      <c r="AQ709" s="10">
        <f t="shared" si="93"/>
        <v>649.95384300000012</v>
      </c>
      <c r="AR709" s="10">
        <f t="shared" si="94"/>
        <v>722.16371495730016</v>
      </c>
      <c r="AS709" s="10">
        <f t="shared" si="95"/>
        <v>1011.8481427824001</v>
      </c>
    </row>
    <row r="710" spans="1:45" x14ac:dyDescent="0.3">
      <c r="A710">
        <v>2025</v>
      </c>
      <c r="B710">
        <v>3</v>
      </c>
      <c r="C710" t="s">
        <v>55</v>
      </c>
      <c r="D710">
        <v>10</v>
      </c>
      <c r="E710" t="s">
        <v>36</v>
      </c>
      <c r="F710" t="s">
        <v>37</v>
      </c>
      <c r="G710" t="s">
        <v>38</v>
      </c>
      <c r="H710" t="s">
        <v>83</v>
      </c>
      <c r="I710" t="s">
        <v>190</v>
      </c>
      <c r="J710" t="s">
        <v>58</v>
      </c>
      <c r="K710" t="s">
        <v>59</v>
      </c>
      <c r="M710" t="s">
        <v>209</v>
      </c>
      <c r="N710" t="s">
        <v>61</v>
      </c>
      <c r="O710" t="s">
        <v>43</v>
      </c>
      <c r="Q710" t="s">
        <v>62</v>
      </c>
      <c r="R710" t="s">
        <v>210</v>
      </c>
      <c r="S710" t="s">
        <v>211</v>
      </c>
      <c r="T710" t="s">
        <v>47</v>
      </c>
      <c r="U710" t="s">
        <v>223</v>
      </c>
      <c r="V710" t="s">
        <v>49</v>
      </c>
      <c r="W710" t="s">
        <v>224</v>
      </c>
      <c r="X710" t="s">
        <v>51</v>
      </c>
      <c r="Y710" t="s">
        <v>1378</v>
      </c>
      <c r="Z710" t="s">
        <v>1378</v>
      </c>
      <c r="AA710" t="s">
        <v>1379</v>
      </c>
      <c r="AB710" s="3">
        <f t="shared" si="88"/>
        <v>1</v>
      </c>
      <c r="AC710">
        <v>324.39999999999998</v>
      </c>
      <c r="AD710" s="2">
        <v>324.39999999999998</v>
      </c>
      <c r="AE710" s="2">
        <v>23.25</v>
      </c>
      <c r="AF710" s="2">
        <v>2.1</v>
      </c>
      <c r="AG710" s="2">
        <v>349.75</v>
      </c>
      <c r="AH710">
        <v>0</v>
      </c>
      <c r="AI710">
        <v>349.75</v>
      </c>
      <c r="AJ710">
        <v>1.74875</v>
      </c>
      <c r="AK710" t="s">
        <v>54</v>
      </c>
      <c r="AL710">
        <v>2.73</v>
      </c>
      <c r="AM710" s="4">
        <f t="shared" si="89"/>
        <v>349.75</v>
      </c>
      <c r="AN710" s="4">
        <f t="shared" si="90"/>
        <v>608.25</v>
      </c>
      <c r="AO710" s="4">
        <f t="shared" si="91"/>
        <v>675.76575000000003</v>
      </c>
      <c r="AP710" s="4">
        <f t="shared" si="92"/>
        <v>985.30417499999999</v>
      </c>
      <c r="AQ710" s="10">
        <f t="shared" si="93"/>
        <v>608.250225</v>
      </c>
      <c r="AR710" s="10">
        <f t="shared" si="94"/>
        <v>675.82682499750001</v>
      </c>
      <c r="AS710" s="10">
        <f t="shared" si="95"/>
        <v>946.92395027999999</v>
      </c>
    </row>
    <row r="711" spans="1:45" x14ac:dyDescent="0.3">
      <c r="A711">
        <v>2025</v>
      </c>
      <c r="B711">
        <v>11</v>
      </c>
      <c r="C711" t="s">
        <v>55</v>
      </c>
      <c r="D711">
        <v>10</v>
      </c>
      <c r="E711" t="s">
        <v>36</v>
      </c>
      <c r="F711" t="s">
        <v>37</v>
      </c>
      <c r="G711" t="s">
        <v>38</v>
      </c>
      <c r="H711" t="s">
        <v>83</v>
      </c>
      <c r="I711" t="s">
        <v>375</v>
      </c>
      <c r="J711" t="s">
        <v>376</v>
      </c>
      <c r="K711" t="s">
        <v>51</v>
      </c>
      <c r="L711" t="s">
        <v>1622</v>
      </c>
      <c r="M711" t="s">
        <v>1623</v>
      </c>
      <c r="N711" t="s">
        <v>1485</v>
      </c>
      <c r="O711" t="s">
        <v>1197</v>
      </c>
      <c r="Q711" t="s">
        <v>62</v>
      </c>
      <c r="R711" t="s">
        <v>1624</v>
      </c>
      <c r="S711" t="s">
        <v>1624</v>
      </c>
      <c r="T711" t="s">
        <v>47</v>
      </c>
      <c r="U711" t="s">
        <v>220</v>
      </c>
      <c r="V711" t="s">
        <v>49</v>
      </c>
      <c r="W711" t="s">
        <v>218</v>
      </c>
      <c r="X711" t="s">
        <v>51</v>
      </c>
      <c r="Y711" t="s">
        <v>225</v>
      </c>
      <c r="Z711" t="s">
        <v>64</v>
      </c>
      <c r="AA711" t="s">
        <v>229</v>
      </c>
      <c r="AB711" s="3">
        <f t="shared" si="88"/>
        <v>2</v>
      </c>
      <c r="AC711">
        <v>68.069999999999993</v>
      </c>
      <c r="AD711" s="2">
        <v>34.034999999999997</v>
      </c>
      <c r="AE711" s="2">
        <v>15.21</v>
      </c>
      <c r="AF711" s="2">
        <v>0.5</v>
      </c>
      <c r="AG711" s="2">
        <v>83.78</v>
      </c>
      <c r="AH711">
        <v>0</v>
      </c>
      <c r="AI711">
        <v>41.89</v>
      </c>
      <c r="AJ711">
        <v>0.41889999999999999</v>
      </c>
      <c r="AK711" t="s">
        <v>54</v>
      </c>
      <c r="AL711">
        <v>4.4000000000000004</v>
      </c>
      <c r="AM711" s="4">
        <f t="shared" si="89"/>
        <v>41.89</v>
      </c>
      <c r="AN711" s="4">
        <f t="shared" si="90"/>
        <v>63.815624999999997</v>
      </c>
      <c r="AO711" s="4">
        <f t="shared" si="91"/>
        <v>70.899159374999996</v>
      </c>
      <c r="AP711" s="4">
        <f t="shared" si="92"/>
        <v>103.37493093749998</v>
      </c>
      <c r="AQ711" s="10">
        <f t="shared" si="93"/>
        <v>72.850898999999998</v>
      </c>
      <c r="AR711" s="10">
        <f t="shared" si="94"/>
        <v>80.944633878899992</v>
      </c>
      <c r="AS711" s="10">
        <f t="shared" si="95"/>
        <v>113.4142795632</v>
      </c>
    </row>
    <row r="712" spans="1:45" x14ac:dyDescent="0.3">
      <c r="A712">
        <v>2025</v>
      </c>
      <c r="B712">
        <v>7</v>
      </c>
      <c r="C712" t="s">
        <v>55</v>
      </c>
      <c r="D712">
        <v>10</v>
      </c>
      <c r="E712" t="s">
        <v>36</v>
      </c>
      <c r="F712" t="s">
        <v>37</v>
      </c>
      <c r="G712" t="s">
        <v>38</v>
      </c>
      <c r="H712" t="s">
        <v>341</v>
      </c>
      <c r="I712" t="s">
        <v>190</v>
      </c>
      <c r="J712" t="s">
        <v>58</v>
      </c>
      <c r="K712" t="s">
        <v>41</v>
      </c>
      <c r="L712" t="s">
        <v>953</v>
      </c>
      <c r="M712" t="s">
        <v>954</v>
      </c>
      <c r="N712" t="s">
        <v>731</v>
      </c>
      <c r="O712" t="s">
        <v>36</v>
      </c>
      <c r="Q712" t="s">
        <v>62</v>
      </c>
      <c r="R712" t="s">
        <v>955</v>
      </c>
      <c r="S712" t="s">
        <v>956</v>
      </c>
      <c r="T712" t="s">
        <v>47</v>
      </c>
      <c r="U712" t="s">
        <v>898</v>
      </c>
      <c r="V712" t="s">
        <v>49</v>
      </c>
      <c r="W712" t="s">
        <v>899</v>
      </c>
      <c r="X712" t="s">
        <v>51</v>
      </c>
      <c r="Y712" t="s">
        <v>1645</v>
      </c>
      <c r="Z712" t="s">
        <v>1645</v>
      </c>
      <c r="AA712" t="s">
        <v>229</v>
      </c>
      <c r="AB712" s="3">
        <f t="shared" si="88"/>
        <v>2</v>
      </c>
      <c r="AC712">
        <v>44.51</v>
      </c>
      <c r="AD712" s="2">
        <v>22.254999999999999</v>
      </c>
      <c r="AE712" s="2">
        <v>6.23</v>
      </c>
      <c r="AF712" s="2">
        <v>0.31</v>
      </c>
      <c r="AG712" s="2">
        <v>51.5</v>
      </c>
      <c r="AH712">
        <v>0</v>
      </c>
      <c r="AI712">
        <v>25.75</v>
      </c>
      <c r="AJ712">
        <v>0.25750000000000001</v>
      </c>
      <c r="AK712" t="s">
        <v>54</v>
      </c>
      <c r="AL712">
        <v>0.23</v>
      </c>
      <c r="AM712" s="4">
        <f t="shared" si="89"/>
        <v>25.75</v>
      </c>
      <c r="AN712" s="4">
        <f t="shared" si="90"/>
        <v>41.728124999999999</v>
      </c>
      <c r="AO712" s="4">
        <f t="shared" si="91"/>
        <v>46.359946874999999</v>
      </c>
      <c r="AP712" s="4">
        <f t="shared" si="92"/>
        <v>67.595389687499988</v>
      </c>
      <c r="AQ712" s="10">
        <f t="shared" si="93"/>
        <v>44.781825000000005</v>
      </c>
      <c r="AR712" s="10">
        <f t="shared" si="94"/>
        <v>49.757085757500008</v>
      </c>
      <c r="AS712" s="10">
        <f t="shared" si="95"/>
        <v>69.716345160000003</v>
      </c>
    </row>
    <row r="713" spans="1:45" x14ac:dyDescent="0.3">
      <c r="A713">
        <v>2025</v>
      </c>
      <c r="B713">
        <v>10</v>
      </c>
      <c r="C713" t="s">
        <v>55</v>
      </c>
      <c r="D713">
        <v>10</v>
      </c>
      <c r="E713" t="s">
        <v>36</v>
      </c>
      <c r="F713" t="s">
        <v>37</v>
      </c>
      <c r="G713" t="s">
        <v>38</v>
      </c>
      <c r="H713" t="s">
        <v>341</v>
      </c>
      <c r="I713" t="s">
        <v>375</v>
      </c>
      <c r="J713" t="s">
        <v>376</v>
      </c>
      <c r="K713" t="s">
        <v>59</v>
      </c>
      <c r="L713" t="s">
        <v>1549</v>
      </c>
      <c r="M713" t="s">
        <v>1550</v>
      </c>
      <c r="N713" t="s">
        <v>1551</v>
      </c>
      <c r="O713" t="s">
        <v>1197</v>
      </c>
      <c r="Q713" t="s">
        <v>62</v>
      </c>
      <c r="R713" t="s">
        <v>1552</v>
      </c>
      <c r="S713" t="s">
        <v>1552</v>
      </c>
      <c r="T713" t="s">
        <v>47</v>
      </c>
      <c r="U713" t="s">
        <v>898</v>
      </c>
      <c r="V713" t="s">
        <v>49</v>
      </c>
      <c r="W713" t="s">
        <v>899</v>
      </c>
      <c r="X713" t="s">
        <v>51</v>
      </c>
      <c r="Y713" t="s">
        <v>1155</v>
      </c>
      <c r="Z713" t="s">
        <v>1155</v>
      </c>
      <c r="AA713" t="s">
        <v>1156</v>
      </c>
      <c r="AB713" s="3">
        <f t="shared" si="88"/>
        <v>1</v>
      </c>
      <c r="AC713">
        <v>100.77</v>
      </c>
      <c r="AD713" s="2">
        <v>100.77</v>
      </c>
      <c r="AE713" s="2">
        <v>29.4</v>
      </c>
      <c r="AF713" s="2">
        <v>0.69</v>
      </c>
      <c r="AG713" s="2">
        <v>130.5</v>
      </c>
      <c r="AH713">
        <v>0</v>
      </c>
      <c r="AI713">
        <v>130.5</v>
      </c>
      <c r="AJ713">
        <v>0.65249999999999997</v>
      </c>
      <c r="AK713" t="s">
        <v>54</v>
      </c>
      <c r="AL713">
        <v>2.17</v>
      </c>
      <c r="AM713" s="4">
        <f t="shared" si="89"/>
        <v>130.5</v>
      </c>
      <c r="AN713" s="4">
        <f t="shared" si="90"/>
        <v>188.94374999999999</v>
      </c>
      <c r="AO713" s="4">
        <f t="shared" si="91"/>
        <v>209.91650625</v>
      </c>
      <c r="AP713" s="4">
        <f t="shared" si="92"/>
        <v>306.06998062499997</v>
      </c>
      <c r="AQ713" s="10">
        <f t="shared" si="93"/>
        <v>226.95255</v>
      </c>
      <c r="AR713" s="10">
        <f t="shared" si="94"/>
        <v>252.16697830499999</v>
      </c>
      <c r="AS713" s="10">
        <f t="shared" si="95"/>
        <v>353.31972983999998</v>
      </c>
    </row>
    <row r="714" spans="1:45" x14ac:dyDescent="0.3">
      <c r="A714">
        <v>2025</v>
      </c>
      <c r="B714">
        <v>7</v>
      </c>
      <c r="C714" t="s">
        <v>55</v>
      </c>
      <c r="D714">
        <v>10</v>
      </c>
      <c r="E714" t="s">
        <v>36</v>
      </c>
      <c r="F714" t="s">
        <v>37</v>
      </c>
      <c r="G714" t="s">
        <v>38</v>
      </c>
      <c r="H714" t="s">
        <v>101</v>
      </c>
      <c r="I714" t="s">
        <v>190</v>
      </c>
      <c r="J714" t="s">
        <v>58</v>
      </c>
      <c r="K714" t="s">
        <v>41</v>
      </c>
      <c r="L714" t="s">
        <v>953</v>
      </c>
      <c r="M714" t="s">
        <v>954</v>
      </c>
      <c r="N714" t="s">
        <v>731</v>
      </c>
      <c r="O714" t="s">
        <v>36</v>
      </c>
      <c r="Q714" t="s">
        <v>62</v>
      </c>
      <c r="R714" t="s">
        <v>955</v>
      </c>
      <c r="S714" t="s">
        <v>956</v>
      </c>
      <c r="T714" t="s">
        <v>47</v>
      </c>
      <c r="U714" t="s">
        <v>898</v>
      </c>
      <c r="V714" t="s">
        <v>49</v>
      </c>
      <c r="W714" t="s">
        <v>899</v>
      </c>
      <c r="X714" t="s">
        <v>51</v>
      </c>
      <c r="Y714" t="s">
        <v>1155</v>
      </c>
      <c r="Z714" t="s">
        <v>1155</v>
      </c>
      <c r="AA714" t="s">
        <v>1606</v>
      </c>
      <c r="AB714" s="3">
        <f t="shared" si="88"/>
        <v>1</v>
      </c>
      <c r="AC714">
        <v>156.47</v>
      </c>
      <c r="AD714" s="2">
        <v>156.47</v>
      </c>
      <c r="AE714" s="2">
        <v>71.53</v>
      </c>
      <c r="AF714" s="2">
        <v>1.4</v>
      </c>
      <c r="AG714" s="2">
        <v>229.39</v>
      </c>
      <c r="AH714">
        <v>0</v>
      </c>
      <c r="AI714">
        <v>229.39</v>
      </c>
      <c r="AJ714">
        <v>1.1469499999999999</v>
      </c>
      <c r="AK714" t="s">
        <v>54</v>
      </c>
      <c r="AL714">
        <v>3.24</v>
      </c>
      <c r="AM714" s="4">
        <f t="shared" si="89"/>
        <v>229.39</v>
      </c>
      <c r="AN714" s="4">
        <f t="shared" si="90"/>
        <v>293.38125000000002</v>
      </c>
      <c r="AO714" s="4">
        <f t="shared" si="91"/>
        <v>325.94656875000004</v>
      </c>
      <c r="AP714" s="4">
        <f t="shared" si="92"/>
        <v>475.24828687500002</v>
      </c>
      <c r="AQ714" s="10">
        <f t="shared" si="93"/>
        <v>398.93214899999998</v>
      </c>
      <c r="AR714" s="10">
        <f t="shared" si="94"/>
        <v>443.25351075389995</v>
      </c>
      <c r="AS714" s="10">
        <f t="shared" si="95"/>
        <v>621.05756956319999</v>
      </c>
    </row>
    <row r="715" spans="1:45" x14ac:dyDescent="0.3">
      <c r="A715">
        <v>2025</v>
      </c>
      <c r="B715">
        <v>10</v>
      </c>
      <c r="C715" t="s">
        <v>55</v>
      </c>
      <c r="D715">
        <v>10</v>
      </c>
      <c r="E715" t="s">
        <v>36</v>
      </c>
      <c r="F715" t="s">
        <v>37</v>
      </c>
      <c r="G715" t="s">
        <v>38</v>
      </c>
      <c r="H715" t="s">
        <v>101</v>
      </c>
      <c r="I715" t="s">
        <v>375</v>
      </c>
      <c r="J715" t="s">
        <v>376</v>
      </c>
      <c r="K715" t="s">
        <v>59</v>
      </c>
      <c r="L715" t="s">
        <v>1549</v>
      </c>
      <c r="M715" t="s">
        <v>1550</v>
      </c>
      <c r="N715" t="s">
        <v>1551</v>
      </c>
      <c r="O715" t="s">
        <v>1197</v>
      </c>
      <c r="Q715" t="s">
        <v>62</v>
      </c>
      <c r="R715" t="s">
        <v>1552</v>
      </c>
      <c r="S715" t="s">
        <v>1552</v>
      </c>
      <c r="T715" t="s">
        <v>47</v>
      </c>
      <c r="U715" t="s">
        <v>898</v>
      </c>
      <c r="V715" t="s">
        <v>49</v>
      </c>
      <c r="W715" t="s">
        <v>899</v>
      </c>
      <c r="X715" t="s">
        <v>51</v>
      </c>
      <c r="Y715" t="s">
        <v>1157</v>
      </c>
      <c r="Z715" t="s">
        <v>1157</v>
      </c>
      <c r="AA715" t="s">
        <v>1158</v>
      </c>
      <c r="AB715" s="3">
        <f t="shared" si="88"/>
        <v>1</v>
      </c>
      <c r="AC715">
        <v>62.91</v>
      </c>
      <c r="AD715" s="2">
        <v>62.91</v>
      </c>
      <c r="AE715" s="2">
        <v>29.4</v>
      </c>
      <c r="AF715" s="2">
        <v>0.42</v>
      </c>
      <c r="AG715" s="2">
        <v>92.37</v>
      </c>
      <c r="AH715">
        <v>0</v>
      </c>
      <c r="AI715">
        <v>92.37</v>
      </c>
      <c r="AJ715">
        <v>0.46184999999999998</v>
      </c>
      <c r="AK715" t="s">
        <v>54</v>
      </c>
      <c r="AL715">
        <v>2.17</v>
      </c>
      <c r="AM715" s="4">
        <f t="shared" si="89"/>
        <v>92.37</v>
      </c>
      <c r="AN715" s="4">
        <f t="shared" si="90"/>
        <v>117.95625</v>
      </c>
      <c r="AO715" s="4">
        <f t="shared" si="91"/>
        <v>131.04939375000001</v>
      </c>
      <c r="AP715" s="4">
        <f t="shared" si="92"/>
        <v>191.07732937499998</v>
      </c>
      <c r="AQ715" s="10">
        <f t="shared" si="93"/>
        <v>160.64066700000001</v>
      </c>
      <c r="AR715" s="10">
        <f t="shared" si="94"/>
        <v>178.48784510370001</v>
      </c>
      <c r="AS715" s="10">
        <f t="shared" si="95"/>
        <v>250.08539038559999</v>
      </c>
    </row>
    <row r="716" spans="1:45" x14ac:dyDescent="0.3">
      <c r="A716">
        <v>2025</v>
      </c>
      <c r="B716">
        <v>12</v>
      </c>
      <c r="C716" t="s">
        <v>55</v>
      </c>
      <c r="D716">
        <v>10</v>
      </c>
      <c r="E716" t="s">
        <v>36</v>
      </c>
      <c r="F716" t="s">
        <v>37</v>
      </c>
      <c r="G716" t="s">
        <v>38</v>
      </c>
      <c r="H716" t="s">
        <v>39</v>
      </c>
      <c r="I716" t="s">
        <v>57</v>
      </c>
      <c r="J716" t="s">
        <v>58</v>
      </c>
      <c r="K716" t="s">
        <v>59</v>
      </c>
      <c r="L716" t="s">
        <v>1769</v>
      </c>
      <c r="M716" t="s">
        <v>1770</v>
      </c>
      <c r="N716" t="s">
        <v>1771</v>
      </c>
      <c r="O716" t="s">
        <v>1197</v>
      </c>
      <c r="Q716" t="s">
        <v>62</v>
      </c>
      <c r="R716" t="s">
        <v>1772</v>
      </c>
      <c r="S716" t="s">
        <v>1772</v>
      </c>
      <c r="T716" t="s">
        <v>47</v>
      </c>
      <c r="U716" t="s">
        <v>223</v>
      </c>
      <c r="V716" t="s">
        <v>49</v>
      </c>
      <c r="W716" t="s">
        <v>224</v>
      </c>
      <c r="X716" t="s">
        <v>51</v>
      </c>
      <c r="Y716" t="s">
        <v>1157</v>
      </c>
      <c r="Z716" t="s">
        <v>1157</v>
      </c>
      <c r="AA716" t="s">
        <v>1158</v>
      </c>
      <c r="AB716" s="3">
        <f t="shared" si="88"/>
        <v>1</v>
      </c>
      <c r="AC716">
        <v>64</v>
      </c>
      <c r="AD716" s="2">
        <v>64</v>
      </c>
      <c r="AE716" s="2">
        <v>29.26</v>
      </c>
      <c r="AF716" s="2">
        <v>0.56999999999999995</v>
      </c>
      <c r="AG716" s="2">
        <v>93.83</v>
      </c>
      <c r="AH716">
        <v>0</v>
      </c>
      <c r="AI716">
        <v>93.83</v>
      </c>
      <c r="AJ716">
        <v>0.46915000000000001</v>
      </c>
      <c r="AK716" t="s">
        <v>54</v>
      </c>
      <c r="AL716">
        <v>1.33</v>
      </c>
      <c r="AM716" s="4">
        <f t="shared" si="89"/>
        <v>93.83</v>
      </c>
      <c r="AN716" s="4">
        <f t="shared" si="90"/>
        <v>120</v>
      </c>
      <c r="AO716" s="4">
        <f t="shared" si="91"/>
        <v>133.32</v>
      </c>
      <c r="AP716" s="4">
        <f t="shared" si="92"/>
        <v>194.38799999999998</v>
      </c>
      <c r="AQ716" s="10">
        <f t="shared" si="93"/>
        <v>163.17975300000001</v>
      </c>
      <c r="AR716" s="10">
        <f t="shared" si="94"/>
        <v>181.3090235583</v>
      </c>
      <c r="AS716" s="10">
        <f t="shared" si="95"/>
        <v>254.03823947040001</v>
      </c>
    </row>
    <row r="717" spans="1:45" x14ac:dyDescent="0.3">
      <c r="A717">
        <v>2025</v>
      </c>
      <c r="B717">
        <v>3</v>
      </c>
      <c r="C717" t="s">
        <v>55</v>
      </c>
      <c r="D717">
        <v>10</v>
      </c>
      <c r="E717" t="s">
        <v>36</v>
      </c>
      <c r="F717" t="s">
        <v>37</v>
      </c>
      <c r="G717" t="s">
        <v>38</v>
      </c>
      <c r="H717" t="s">
        <v>39</v>
      </c>
      <c r="I717" t="s">
        <v>190</v>
      </c>
      <c r="J717" t="s">
        <v>58</v>
      </c>
      <c r="K717" t="s">
        <v>59</v>
      </c>
      <c r="M717" t="s">
        <v>209</v>
      </c>
      <c r="N717" t="s">
        <v>61</v>
      </c>
      <c r="O717" t="s">
        <v>43</v>
      </c>
      <c r="Q717" t="s">
        <v>62</v>
      </c>
      <c r="R717" t="s">
        <v>210</v>
      </c>
      <c r="S717" t="s">
        <v>211</v>
      </c>
      <c r="T717" t="s">
        <v>47</v>
      </c>
      <c r="U717" t="s">
        <v>223</v>
      </c>
      <c r="V717" t="s">
        <v>49</v>
      </c>
      <c r="W717" t="s">
        <v>224</v>
      </c>
      <c r="X717" t="s">
        <v>51</v>
      </c>
      <c r="Y717" t="s">
        <v>1491</v>
      </c>
      <c r="Z717" t="s">
        <v>1491</v>
      </c>
      <c r="AA717" t="s">
        <v>1789</v>
      </c>
      <c r="AB717" s="3">
        <f t="shared" si="88"/>
        <v>4</v>
      </c>
      <c r="AC717">
        <v>69.459999999999994</v>
      </c>
      <c r="AD717" s="2">
        <v>17.364999999999998</v>
      </c>
      <c r="AE717" s="2">
        <v>20.62</v>
      </c>
      <c r="AF717" s="2">
        <v>0.52</v>
      </c>
      <c r="AG717" s="2">
        <v>90.61</v>
      </c>
      <c r="AH717">
        <v>0</v>
      </c>
      <c r="AI717">
        <v>22.6525</v>
      </c>
      <c r="AJ717">
        <v>0.45305000000000001</v>
      </c>
      <c r="AK717" t="s">
        <v>54</v>
      </c>
      <c r="AL717">
        <v>0.52</v>
      </c>
      <c r="AM717" s="4">
        <f t="shared" si="89"/>
        <v>22.6525</v>
      </c>
      <c r="AN717" s="4">
        <f t="shared" si="90"/>
        <v>32.559374999999996</v>
      </c>
      <c r="AO717" s="4">
        <f t="shared" si="91"/>
        <v>36.173465624999992</v>
      </c>
      <c r="AP717" s="4">
        <f t="shared" si="92"/>
        <v>52.74293156249999</v>
      </c>
      <c r="AQ717" s="10">
        <f t="shared" si="93"/>
        <v>39.394962750000005</v>
      </c>
      <c r="AR717" s="10">
        <f t="shared" si="94"/>
        <v>43.771743111525005</v>
      </c>
      <c r="AS717" s="10">
        <f t="shared" si="95"/>
        <v>61.330078009200008</v>
      </c>
    </row>
    <row r="718" spans="1:45" x14ac:dyDescent="0.3">
      <c r="A718">
        <v>2025</v>
      </c>
      <c r="B718">
        <v>8</v>
      </c>
      <c r="C718" t="s">
        <v>55</v>
      </c>
      <c r="D718">
        <v>10</v>
      </c>
      <c r="E718" t="s">
        <v>36</v>
      </c>
      <c r="F718" t="s">
        <v>37</v>
      </c>
      <c r="G718" t="s">
        <v>38</v>
      </c>
      <c r="H718" t="s">
        <v>39</v>
      </c>
      <c r="I718" t="s">
        <v>190</v>
      </c>
      <c r="J718" t="s">
        <v>58</v>
      </c>
      <c r="K718" t="s">
        <v>59</v>
      </c>
      <c r="L718" t="s">
        <v>1194</v>
      </c>
      <c r="M718" t="s">
        <v>1195</v>
      </c>
      <c r="N718" t="s">
        <v>1196</v>
      </c>
      <c r="O718" t="s">
        <v>1197</v>
      </c>
      <c r="Q718" t="s">
        <v>62</v>
      </c>
      <c r="R718" t="s">
        <v>1198</v>
      </c>
      <c r="S718" t="s">
        <v>1198</v>
      </c>
      <c r="T718" t="s">
        <v>47</v>
      </c>
      <c r="U718" t="s">
        <v>223</v>
      </c>
      <c r="V718" t="s">
        <v>49</v>
      </c>
      <c r="W718" t="s">
        <v>224</v>
      </c>
      <c r="X718" t="s">
        <v>388</v>
      </c>
      <c r="Y718" t="s">
        <v>225</v>
      </c>
      <c r="Z718" t="s">
        <v>64</v>
      </c>
      <c r="AA718" t="s">
        <v>228</v>
      </c>
      <c r="AB718" s="3">
        <f t="shared" si="88"/>
        <v>2</v>
      </c>
      <c r="AC718">
        <v>48.1</v>
      </c>
      <c r="AD718" s="2">
        <v>24.05</v>
      </c>
      <c r="AE718" s="2">
        <v>10.74</v>
      </c>
      <c r="AF718" s="2">
        <v>0.35</v>
      </c>
      <c r="AG718" s="2">
        <v>59.2</v>
      </c>
      <c r="AH718">
        <v>0</v>
      </c>
      <c r="AI718">
        <v>29.6</v>
      </c>
      <c r="AJ718">
        <v>0.29599999999999999</v>
      </c>
      <c r="AK718" t="s">
        <v>54</v>
      </c>
      <c r="AL718">
        <v>4.4000000000000004</v>
      </c>
      <c r="AM718" s="4">
        <f t="shared" si="89"/>
        <v>29.6</v>
      </c>
      <c r="AN718" s="4">
        <f t="shared" si="90"/>
        <v>45.09375</v>
      </c>
      <c r="AO718" s="4">
        <f t="shared" si="91"/>
        <v>50.09915625</v>
      </c>
      <c r="AP718" s="4">
        <f t="shared" si="92"/>
        <v>73.047365624999998</v>
      </c>
      <c r="AQ718" s="10">
        <f t="shared" si="93"/>
        <v>51.477360000000004</v>
      </c>
      <c r="AR718" s="10">
        <f t="shared" si="94"/>
        <v>57.196494696000002</v>
      </c>
      <c r="AS718" s="10">
        <f t="shared" si="95"/>
        <v>80.139954048000007</v>
      </c>
    </row>
    <row r="719" spans="1:45" x14ac:dyDescent="0.3">
      <c r="A719">
        <v>2025</v>
      </c>
      <c r="B719">
        <v>9</v>
      </c>
      <c r="C719" t="s">
        <v>55</v>
      </c>
      <c r="D719">
        <v>10</v>
      </c>
      <c r="E719" t="s">
        <v>36</v>
      </c>
      <c r="F719" t="s">
        <v>37</v>
      </c>
      <c r="G719" t="s">
        <v>38</v>
      </c>
      <c r="H719" t="s">
        <v>39</v>
      </c>
      <c r="I719" t="s">
        <v>375</v>
      </c>
      <c r="J719" t="s">
        <v>376</v>
      </c>
      <c r="K719" t="s">
        <v>59</v>
      </c>
      <c r="L719" t="s">
        <v>1483</v>
      </c>
      <c r="M719" t="s">
        <v>1484</v>
      </c>
      <c r="N719" t="s">
        <v>1485</v>
      </c>
      <c r="O719" t="s">
        <v>1197</v>
      </c>
      <c r="Q719" t="s">
        <v>62</v>
      </c>
      <c r="R719" t="s">
        <v>1486</v>
      </c>
      <c r="S719" t="s">
        <v>1486</v>
      </c>
      <c r="T719" t="s">
        <v>47</v>
      </c>
      <c r="U719" t="s">
        <v>223</v>
      </c>
      <c r="V719" t="s">
        <v>49</v>
      </c>
      <c r="W719" t="s">
        <v>224</v>
      </c>
      <c r="X719" t="s">
        <v>51</v>
      </c>
      <c r="Y719" t="s">
        <v>1239</v>
      </c>
      <c r="Z719" t="s">
        <v>1239</v>
      </c>
      <c r="AA719" t="s">
        <v>228</v>
      </c>
      <c r="AB719" s="3">
        <f t="shared" si="88"/>
        <v>5</v>
      </c>
      <c r="AC719">
        <v>94.47</v>
      </c>
      <c r="AD719" s="2">
        <v>18.893999999999998</v>
      </c>
      <c r="AE719" s="2">
        <v>6.77</v>
      </c>
      <c r="AF719" s="2">
        <v>0.61</v>
      </c>
      <c r="AG719" s="2">
        <v>101.85</v>
      </c>
      <c r="AH719">
        <v>0</v>
      </c>
      <c r="AI719">
        <v>20.37</v>
      </c>
      <c r="AJ719">
        <v>0.50924999999999998</v>
      </c>
      <c r="AK719" t="s">
        <v>54</v>
      </c>
      <c r="AL719">
        <v>0.8</v>
      </c>
      <c r="AM719" s="4">
        <f t="shared" si="89"/>
        <v>20.369999999999997</v>
      </c>
      <c r="AN719" s="4">
        <f t="shared" si="90"/>
        <v>35.426249999999996</v>
      </c>
      <c r="AO719" s="4">
        <f t="shared" si="91"/>
        <v>39.358563749999995</v>
      </c>
      <c r="AP719" s="4">
        <f t="shared" si="92"/>
        <v>57.386982374999988</v>
      </c>
      <c r="AQ719" s="10">
        <f t="shared" si="93"/>
        <v>35.425466999999998</v>
      </c>
      <c r="AR719" s="10">
        <f t="shared" si="94"/>
        <v>39.361236383699996</v>
      </c>
      <c r="AS719" s="10">
        <f t="shared" si="95"/>
        <v>55.150367025599998</v>
      </c>
    </row>
    <row r="720" spans="1:45" x14ac:dyDescent="0.3">
      <c r="A720">
        <v>2025</v>
      </c>
      <c r="B720">
        <v>3</v>
      </c>
      <c r="C720" t="s">
        <v>55</v>
      </c>
      <c r="D720">
        <v>10</v>
      </c>
      <c r="E720" t="s">
        <v>36</v>
      </c>
      <c r="F720" t="s">
        <v>37</v>
      </c>
      <c r="G720" t="s">
        <v>38</v>
      </c>
      <c r="H720" t="s">
        <v>39</v>
      </c>
      <c r="I720" t="s">
        <v>190</v>
      </c>
      <c r="J720" t="s">
        <v>58</v>
      </c>
      <c r="K720" t="s">
        <v>59</v>
      </c>
      <c r="M720" t="s">
        <v>209</v>
      </c>
      <c r="N720" t="s">
        <v>61</v>
      </c>
      <c r="O720" t="s">
        <v>43</v>
      </c>
      <c r="Q720" t="s">
        <v>62</v>
      </c>
      <c r="R720" t="s">
        <v>210</v>
      </c>
      <c r="S720" t="s">
        <v>211</v>
      </c>
      <c r="T720" t="s">
        <v>47</v>
      </c>
      <c r="U720" t="s">
        <v>223</v>
      </c>
      <c r="V720" t="s">
        <v>49</v>
      </c>
      <c r="W720" t="s">
        <v>224</v>
      </c>
      <c r="X720" t="s">
        <v>51</v>
      </c>
      <c r="Y720" t="s">
        <v>1491</v>
      </c>
      <c r="Z720" t="s">
        <v>1491</v>
      </c>
      <c r="AA720" t="s">
        <v>228</v>
      </c>
      <c r="AB720" s="3">
        <f t="shared" si="88"/>
        <v>8</v>
      </c>
      <c r="AC720">
        <v>148.78</v>
      </c>
      <c r="AD720" s="2">
        <v>18.5975</v>
      </c>
      <c r="AE720" s="2">
        <v>22.96</v>
      </c>
      <c r="AF720" s="2">
        <v>1.5</v>
      </c>
      <c r="AG720" s="2">
        <v>172.79</v>
      </c>
      <c r="AH720">
        <v>0</v>
      </c>
      <c r="AI720">
        <v>21.598749999999999</v>
      </c>
      <c r="AJ720">
        <v>0.86395</v>
      </c>
      <c r="AK720" t="s">
        <v>54</v>
      </c>
      <c r="AL720">
        <v>0.95</v>
      </c>
      <c r="AM720" s="4">
        <f t="shared" si="89"/>
        <v>21.598749999999999</v>
      </c>
      <c r="AN720" s="4">
        <f t="shared" si="90"/>
        <v>34.870312499999997</v>
      </c>
      <c r="AO720" s="4">
        <f t="shared" si="91"/>
        <v>38.740917187499996</v>
      </c>
      <c r="AP720" s="4">
        <f t="shared" si="92"/>
        <v>56.486419218749994</v>
      </c>
      <c r="AQ720" s="10">
        <f t="shared" si="93"/>
        <v>37.562386125000003</v>
      </c>
      <c r="AR720" s="10">
        <f t="shared" si="94"/>
        <v>41.7355672234875</v>
      </c>
      <c r="AS720" s="10">
        <f t="shared" si="95"/>
        <v>58.477122719400001</v>
      </c>
    </row>
    <row r="721" spans="1:45" x14ac:dyDescent="0.3">
      <c r="A721">
        <v>2025</v>
      </c>
      <c r="B721">
        <v>3</v>
      </c>
      <c r="C721" t="s">
        <v>55</v>
      </c>
      <c r="D721">
        <v>10</v>
      </c>
      <c r="E721" t="s">
        <v>36</v>
      </c>
      <c r="F721" t="s">
        <v>37</v>
      </c>
      <c r="G721" t="s">
        <v>38</v>
      </c>
      <c r="H721" t="s">
        <v>78</v>
      </c>
      <c r="I721" t="s">
        <v>190</v>
      </c>
      <c r="J721" t="s">
        <v>58</v>
      </c>
      <c r="K721" t="s">
        <v>59</v>
      </c>
      <c r="M721" t="s">
        <v>209</v>
      </c>
      <c r="N721" t="s">
        <v>61</v>
      </c>
      <c r="O721" t="s">
        <v>43</v>
      </c>
      <c r="Q721" t="s">
        <v>62</v>
      </c>
      <c r="R721" t="s">
        <v>210</v>
      </c>
      <c r="S721" t="s">
        <v>211</v>
      </c>
      <c r="T721" t="s">
        <v>47</v>
      </c>
      <c r="U721" t="s">
        <v>114</v>
      </c>
      <c r="V721" t="s">
        <v>49</v>
      </c>
      <c r="W721" t="s">
        <v>115</v>
      </c>
      <c r="X721" t="s">
        <v>51</v>
      </c>
      <c r="Y721" t="s">
        <v>225</v>
      </c>
      <c r="Z721" t="s">
        <v>64</v>
      </c>
      <c r="AA721" t="s">
        <v>227</v>
      </c>
      <c r="AB721" s="3">
        <f t="shared" si="88"/>
        <v>2</v>
      </c>
      <c r="AC721">
        <v>59.18</v>
      </c>
      <c r="AD721" s="2">
        <v>29.59</v>
      </c>
      <c r="AE721" s="2">
        <v>13.22</v>
      </c>
      <c r="AF721" s="2">
        <v>0.43</v>
      </c>
      <c r="AG721" s="2">
        <v>72.84</v>
      </c>
      <c r="AH721">
        <v>0</v>
      </c>
      <c r="AI721">
        <v>36.42</v>
      </c>
      <c r="AJ721">
        <v>0.36420000000000002</v>
      </c>
      <c r="AK721" t="s">
        <v>54</v>
      </c>
      <c r="AL721">
        <v>4.4000000000000004</v>
      </c>
      <c r="AM721" s="4">
        <f t="shared" si="89"/>
        <v>36.42</v>
      </c>
      <c r="AN721" s="4">
        <f t="shared" si="90"/>
        <v>55.481250000000003</v>
      </c>
      <c r="AO721" s="4">
        <f t="shared" si="91"/>
        <v>61.639668750000006</v>
      </c>
      <c r="AP721" s="4">
        <f t="shared" si="92"/>
        <v>89.874076875</v>
      </c>
      <c r="AQ721" s="10">
        <f t="shared" si="93"/>
        <v>63.338022000000009</v>
      </c>
      <c r="AR721" s="10">
        <f t="shared" si="94"/>
        <v>70.37487624420001</v>
      </c>
      <c r="AS721" s="10">
        <f t="shared" si="95"/>
        <v>98.604632649600006</v>
      </c>
    </row>
    <row r="722" spans="1:45" x14ac:dyDescent="0.3">
      <c r="A722">
        <v>2025</v>
      </c>
      <c r="B722">
        <v>4</v>
      </c>
      <c r="C722" t="s">
        <v>55</v>
      </c>
      <c r="D722">
        <v>10</v>
      </c>
      <c r="E722" t="s">
        <v>36</v>
      </c>
      <c r="F722" t="s">
        <v>37</v>
      </c>
      <c r="G722" t="s">
        <v>38</v>
      </c>
      <c r="H722" t="s">
        <v>78</v>
      </c>
      <c r="I722" t="s">
        <v>375</v>
      </c>
      <c r="J722" t="s">
        <v>376</v>
      </c>
      <c r="K722" t="s">
        <v>59</v>
      </c>
      <c r="M722">
        <v>2503061</v>
      </c>
      <c r="N722" t="s">
        <v>377</v>
      </c>
      <c r="O722" t="s">
        <v>36</v>
      </c>
      <c r="Q722" t="s">
        <v>62</v>
      </c>
      <c r="R722" t="s">
        <v>378</v>
      </c>
      <c r="S722" t="s">
        <v>378</v>
      </c>
      <c r="T722" t="s">
        <v>47</v>
      </c>
      <c r="U722" t="s">
        <v>114</v>
      </c>
      <c r="V722" t="s">
        <v>49</v>
      </c>
      <c r="W722" t="s">
        <v>115</v>
      </c>
      <c r="X722" t="s">
        <v>51</v>
      </c>
      <c r="Y722" t="s">
        <v>116</v>
      </c>
      <c r="Z722" t="s">
        <v>64</v>
      </c>
      <c r="AA722" t="s">
        <v>276</v>
      </c>
      <c r="AB722" s="3">
        <f t="shared" si="88"/>
        <v>10.000000000000002</v>
      </c>
      <c r="AC722">
        <v>1138.6300000000001</v>
      </c>
      <c r="AD722" s="2">
        <v>113.863</v>
      </c>
      <c r="AE722" s="2">
        <v>254.33</v>
      </c>
      <c r="AF722" s="2">
        <v>8.34</v>
      </c>
      <c r="AG722" s="2">
        <v>1401.3</v>
      </c>
      <c r="AH722">
        <v>0</v>
      </c>
      <c r="AI722">
        <v>140.13</v>
      </c>
      <c r="AJ722">
        <v>7.0065</v>
      </c>
      <c r="AK722" t="s">
        <v>54</v>
      </c>
      <c r="AL722">
        <v>22.02</v>
      </c>
      <c r="AM722" s="4">
        <f t="shared" si="89"/>
        <v>140.12999999999997</v>
      </c>
      <c r="AN722" s="4">
        <f t="shared" si="90"/>
        <v>213.49312499999999</v>
      </c>
      <c r="AO722" s="4">
        <f t="shared" si="91"/>
        <v>237.190861875</v>
      </c>
      <c r="AP722" s="4">
        <f t="shared" si="92"/>
        <v>345.83751318749995</v>
      </c>
      <c r="AQ722" s="10">
        <f t="shared" si="93"/>
        <v>243.70008299999995</v>
      </c>
      <c r="AR722" s="10">
        <f t="shared" si="94"/>
        <v>270.77516222129992</v>
      </c>
      <c r="AS722" s="10">
        <f t="shared" si="95"/>
        <v>379.39228921439991</v>
      </c>
    </row>
    <row r="723" spans="1:45" x14ac:dyDescent="0.3">
      <c r="A723">
        <v>2025</v>
      </c>
      <c r="B723">
        <v>4</v>
      </c>
      <c r="C723" t="s">
        <v>55</v>
      </c>
      <c r="D723">
        <v>10</v>
      </c>
      <c r="E723" t="s">
        <v>36</v>
      </c>
      <c r="F723" t="s">
        <v>37</v>
      </c>
      <c r="G723" t="s">
        <v>38</v>
      </c>
      <c r="H723" t="s">
        <v>78</v>
      </c>
      <c r="I723" t="s">
        <v>375</v>
      </c>
      <c r="J723" t="s">
        <v>376</v>
      </c>
      <c r="K723" t="s">
        <v>59</v>
      </c>
      <c r="M723">
        <v>2503061</v>
      </c>
      <c r="N723" t="s">
        <v>377</v>
      </c>
      <c r="O723" t="s">
        <v>36</v>
      </c>
      <c r="Q723" t="s">
        <v>62</v>
      </c>
      <c r="R723" t="s">
        <v>378</v>
      </c>
      <c r="S723" t="s">
        <v>378</v>
      </c>
      <c r="T723" t="s">
        <v>47</v>
      </c>
      <c r="U723" t="s">
        <v>476</v>
      </c>
      <c r="V723" t="s">
        <v>49</v>
      </c>
      <c r="W723" t="s">
        <v>106</v>
      </c>
      <c r="X723" t="s">
        <v>51</v>
      </c>
      <c r="Y723" t="s">
        <v>472</v>
      </c>
      <c r="Z723" t="s">
        <v>472</v>
      </c>
      <c r="AA723" t="s">
        <v>276</v>
      </c>
      <c r="AB723" s="3">
        <f t="shared" si="88"/>
        <v>6</v>
      </c>
      <c r="AC723">
        <v>684.12</v>
      </c>
      <c r="AD723" s="2">
        <v>114.02</v>
      </c>
      <c r="AE723" s="2">
        <v>141.65</v>
      </c>
      <c r="AF723" s="2">
        <v>4.78</v>
      </c>
      <c r="AG723" s="2">
        <v>830.55</v>
      </c>
      <c r="AH723">
        <v>0</v>
      </c>
      <c r="AI723">
        <v>138.42500000000001</v>
      </c>
      <c r="AJ723">
        <v>4.1527500000000002</v>
      </c>
      <c r="AK723" t="s">
        <v>54</v>
      </c>
      <c r="AL723">
        <v>6.76</v>
      </c>
      <c r="AM723" s="4">
        <f t="shared" si="89"/>
        <v>138.42499999999998</v>
      </c>
      <c r="AN723" s="4">
        <f t="shared" si="90"/>
        <v>213.78749999999999</v>
      </c>
      <c r="AO723" s="4">
        <f t="shared" si="91"/>
        <v>237.51791249999999</v>
      </c>
      <c r="AP723" s="4">
        <f t="shared" si="92"/>
        <v>346.31437124999997</v>
      </c>
      <c r="AQ723" s="10">
        <f t="shared" si="93"/>
        <v>240.73491749999999</v>
      </c>
      <c r="AR723" s="10">
        <f t="shared" si="94"/>
        <v>267.48056683425</v>
      </c>
      <c r="AS723" s="10">
        <f t="shared" si="95"/>
        <v>374.776119564</v>
      </c>
    </row>
    <row r="724" spans="1:45" x14ac:dyDescent="0.3">
      <c r="A724">
        <v>2025</v>
      </c>
      <c r="B724">
        <v>9</v>
      </c>
      <c r="C724" t="s">
        <v>55</v>
      </c>
      <c r="D724">
        <v>10</v>
      </c>
      <c r="E724" t="s">
        <v>36</v>
      </c>
      <c r="F724" t="s">
        <v>37</v>
      </c>
      <c r="G724" t="s">
        <v>38</v>
      </c>
      <c r="H724" t="s">
        <v>78</v>
      </c>
      <c r="I724" t="s">
        <v>375</v>
      </c>
      <c r="J724" t="s">
        <v>376</v>
      </c>
      <c r="K724" t="s">
        <v>41</v>
      </c>
      <c r="L724" t="s">
        <v>1503</v>
      </c>
      <c r="M724" t="s">
        <v>1504</v>
      </c>
      <c r="N724" t="s">
        <v>377</v>
      </c>
      <c r="O724" t="s">
        <v>1197</v>
      </c>
      <c r="Q724" t="s">
        <v>62</v>
      </c>
      <c r="R724" t="s">
        <v>1505</v>
      </c>
      <c r="S724" t="s">
        <v>1505</v>
      </c>
      <c r="T724" t="s">
        <v>47</v>
      </c>
      <c r="U724" t="s">
        <v>114</v>
      </c>
      <c r="V724" t="s">
        <v>49</v>
      </c>
      <c r="W724" t="s">
        <v>710</v>
      </c>
      <c r="X724" t="s">
        <v>388</v>
      </c>
      <c r="Y724" t="s">
        <v>116</v>
      </c>
      <c r="Z724" t="s">
        <v>116</v>
      </c>
      <c r="AA724" t="s">
        <v>276</v>
      </c>
      <c r="AB724" s="3">
        <f t="shared" si="88"/>
        <v>10</v>
      </c>
      <c r="AC724">
        <v>1129.05</v>
      </c>
      <c r="AD724" s="2">
        <v>112.905</v>
      </c>
      <c r="AE724" s="2">
        <v>150.87</v>
      </c>
      <c r="AF724" s="2">
        <v>7.95</v>
      </c>
      <c r="AG724" s="2">
        <v>1287.8699999999999</v>
      </c>
      <c r="AH724">
        <v>0</v>
      </c>
      <c r="AI724">
        <v>128.78700000000001</v>
      </c>
      <c r="AJ724">
        <v>6.4393500000000001</v>
      </c>
      <c r="AK724" t="s">
        <v>54</v>
      </c>
      <c r="AL724">
        <v>7.2</v>
      </c>
      <c r="AM724" s="4">
        <f t="shared" si="89"/>
        <v>128.78699999999998</v>
      </c>
      <c r="AN724" s="4">
        <f t="shared" si="90"/>
        <v>211.69687500000001</v>
      </c>
      <c r="AO724" s="4">
        <f t="shared" si="91"/>
        <v>235.195228125</v>
      </c>
      <c r="AP724" s="4">
        <f t="shared" si="92"/>
        <v>342.92776781250001</v>
      </c>
      <c r="AQ724" s="10">
        <f t="shared" si="93"/>
        <v>223.97347169999998</v>
      </c>
      <c r="AR724" s="10">
        <f t="shared" si="94"/>
        <v>248.85692440586996</v>
      </c>
      <c r="AS724" s="10">
        <f t="shared" si="95"/>
        <v>348.68190074255995</v>
      </c>
    </row>
    <row r="725" spans="1:45" x14ac:dyDescent="0.3">
      <c r="A725">
        <v>2025</v>
      </c>
      <c r="B725">
        <v>3</v>
      </c>
      <c r="C725" t="s">
        <v>55</v>
      </c>
      <c r="D725">
        <v>10</v>
      </c>
      <c r="E725" t="s">
        <v>36</v>
      </c>
      <c r="F725" t="s">
        <v>37</v>
      </c>
      <c r="G725" t="s">
        <v>38</v>
      </c>
      <c r="H725" t="s">
        <v>78</v>
      </c>
      <c r="I725" t="s">
        <v>190</v>
      </c>
      <c r="J725" t="s">
        <v>58</v>
      </c>
      <c r="K725" t="s">
        <v>59</v>
      </c>
      <c r="M725" t="s">
        <v>209</v>
      </c>
      <c r="N725" t="s">
        <v>61</v>
      </c>
      <c r="O725" t="s">
        <v>43</v>
      </c>
      <c r="Q725" t="s">
        <v>62</v>
      </c>
      <c r="R725" t="s">
        <v>210</v>
      </c>
      <c r="S725" t="s">
        <v>211</v>
      </c>
      <c r="T725" t="s">
        <v>47</v>
      </c>
      <c r="U725" t="s">
        <v>105</v>
      </c>
      <c r="V725" t="s">
        <v>49</v>
      </c>
      <c r="W725" t="s">
        <v>106</v>
      </c>
      <c r="X725" t="s">
        <v>51</v>
      </c>
      <c r="Y725" t="s">
        <v>1512</v>
      </c>
      <c r="Z725" t="s">
        <v>1512</v>
      </c>
      <c r="AA725" t="s">
        <v>276</v>
      </c>
      <c r="AB725" s="3">
        <f t="shared" si="88"/>
        <v>10</v>
      </c>
      <c r="AC725">
        <v>913.51</v>
      </c>
      <c r="AD725" s="2">
        <v>91.350999999999999</v>
      </c>
      <c r="AE725" s="2">
        <v>332.15</v>
      </c>
      <c r="AF725" s="2">
        <v>7.65</v>
      </c>
      <c r="AG725" s="2">
        <v>1253.31</v>
      </c>
      <c r="AH725">
        <v>0</v>
      </c>
      <c r="AI725">
        <v>125.331</v>
      </c>
      <c r="AJ725">
        <v>6.2665499999999996</v>
      </c>
      <c r="AK725" t="s">
        <v>54</v>
      </c>
      <c r="AL725">
        <v>22.25</v>
      </c>
      <c r="AM725" s="4">
        <f t="shared" si="89"/>
        <v>125.33099999999999</v>
      </c>
      <c r="AN725" s="4">
        <f t="shared" si="90"/>
        <v>171.28312499999998</v>
      </c>
      <c r="AO725" s="4">
        <f t="shared" si="91"/>
        <v>190.29555187499997</v>
      </c>
      <c r="AP725" s="4">
        <f t="shared" si="92"/>
        <v>277.46153418749998</v>
      </c>
      <c r="AQ725" s="10">
        <f t="shared" si="93"/>
        <v>217.9631421</v>
      </c>
      <c r="AR725" s="10">
        <f t="shared" si="94"/>
        <v>242.17884718731</v>
      </c>
      <c r="AS725" s="10">
        <f t="shared" si="95"/>
        <v>339.32501962127998</v>
      </c>
    </row>
    <row r="726" spans="1:45" x14ac:dyDescent="0.3">
      <c r="A726">
        <v>2025</v>
      </c>
      <c r="B726">
        <v>4</v>
      </c>
      <c r="C726" t="s">
        <v>55</v>
      </c>
      <c r="D726">
        <v>10</v>
      </c>
      <c r="E726" t="s">
        <v>36</v>
      </c>
      <c r="F726" t="s">
        <v>37</v>
      </c>
      <c r="G726" t="s">
        <v>38</v>
      </c>
      <c r="H726" t="s">
        <v>78</v>
      </c>
      <c r="I726" t="s">
        <v>375</v>
      </c>
      <c r="J726" t="s">
        <v>376</v>
      </c>
      <c r="K726" t="s">
        <v>59</v>
      </c>
      <c r="M726">
        <v>2503061</v>
      </c>
      <c r="N726" t="s">
        <v>377</v>
      </c>
      <c r="O726" t="s">
        <v>36</v>
      </c>
      <c r="Q726" t="s">
        <v>62</v>
      </c>
      <c r="R726" t="s">
        <v>378</v>
      </c>
      <c r="S726" t="s">
        <v>378</v>
      </c>
      <c r="T726" t="s">
        <v>47</v>
      </c>
      <c r="U726" t="s">
        <v>105</v>
      </c>
      <c r="V726" t="s">
        <v>49</v>
      </c>
      <c r="W726" t="s">
        <v>106</v>
      </c>
      <c r="X726" t="s">
        <v>51</v>
      </c>
      <c r="Y726" t="s">
        <v>107</v>
      </c>
      <c r="Z726" t="s">
        <v>64</v>
      </c>
      <c r="AA726" t="s">
        <v>268</v>
      </c>
      <c r="AB726" s="3">
        <f t="shared" si="88"/>
        <v>5.9999999999999138</v>
      </c>
      <c r="AC726">
        <v>138.88</v>
      </c>
      <c r="AD726" s="2">
        <v>23.146666666666999</v>
      </c>
      <c r="AE726" s="2">
        <v>31.02</v>
      </c>
      <c r="AF726" s="2">
        <v>1.02</v>
      </c>
      <c r="AG726" s="2">
        <v>170.91</v>
      </c>
      <c r="AH726">
        <v>0</v>
      </c>
      <c r="AI726">
        <v>28.484999999999999</v>
      </c>
      <c r="AJ726">
        <v>0.85455000000000003</v>
      </c>
      <c r="AK726" t="s">
        <v>54</v>
      </c>
      <c r="AL726">
        <v>13.21</v>
      </c>
      <c r="AM726" s="4">
        <f t="shared" si="89"/>
        <v>28.485000000000408</v>
      </c>
      <c r="AN726" s="4">
        <f t="shared" si="90"/>
        <v>43.400000000000624</v>
      </c>
      <c r="AO726" s="4">
        <f t="shared" si="91"/>
        <v>48.217400000000694</v>
      </c>
      <c r="AP726" s="4">
        <f t="shared" si="92"/>
        <v>70.303660000001003</v>
      </c>
      <c r="AQ726" s="10">
        <f t="shared" si="93"/>
        <v>49.53826350000071</v>
      </c>
      <c r="AR726" s="10">
        <f t="shared" si="94"/>
        <v>55.041964574850788</v>
      </c>
      <c r="AS726" s="10">
        <f t="shared" si="95"/>
        <v>77.1211686168011</v>
      </c>
    </row>
    <row r="727" spans="1:45" x14ac:dyDescent="0.3">
      <c r="A727">
        <v>2025</v>
      </c>
      <c r="B727">
        <v>3</v>
      </c>
      <c r="C727" t="s">
        <v>55</v>
      </c>
      <c r="D727">
        <v>10</v>
      </c>
      <c r="E727" t="s">
        <v>36</v>
      </c>
      <c r="F727" t="s">
        <v>37</v>
      </c>
      <c r="G727" t="s">
        <v>38</v>
      </c>
      <c r="H727" t="s">
        <v>78</v>
      </c>
      <c r="I727" t="s">
        <v>190</v>
      </c>
      <c r="J727" t="s">
        <v>58</v>
      </c>
      <c r="K727" t="s">
        <v>59</v>
      </c>
      <c r="M727" t="s">
        <v>209</v>
      </c>
      <c r="N727" t="s">
        <v>61</v>
      </c>
      <c r="O727" t="s">
        <v>43</v>
      </c>
      <c r="Q727" t="s">
        <v>62</v>
      </c>
      <c r="R727" t="s">
        <v>210</v>
      </c>
      <c r="S727" t="s">
        <v>211</v>
      </c>
      <c r="T727" t="s">
        <v>47</v>
      </c>
      <c r="U727" t="s">
        <v>105</v>
      </c>
      <c r="V727" t="s">
        <v>49</v>
      </c>
      <c r="W727" t="s">
        <v>106</v>
      </c>
      <c r="X727" t="s">
        <v>51</v>
      </c>
      <c r="Y727" t="s">
        <v>107</v>
      </c>
      <c r="Z727" t="s">
        <v>107</v>
      </c>
      <c r="AA727" t="s">
        <v>268</v>
      </c>
      <c r="AB727" s="3">
        <f t="shared" si="88"/>
        <v>10</v>
      </c>
      <c r="AC727">
        <v>245.25</v>
      </c>
      <c r="AD727" s="2">
        <v>24.524999999999999</v>
      </c>
      <c r="AE727" s="2">
        <v>150.87</v>
      </c>
      <c r="AF727" s="2">
        <v>1.62</v>
      </c>
      <c r="AG727" s="2">
        <v>397.74</v>
      </c>
      <c r="AH727">
        <v>0</v>
      </c>
      <c r="AI727">
        <v>39.774000000000001</v>
      </c>
      <c r="AJ727">
        <v>1.9886999999999999</v>
      </c>
      <c r="AK727" t="s">
        <v>54</v>
      </c>
      <c r="AL727">
        <v>7.2</v>
      </c>
      <c r="AM727" s="4">
        <f t="shared" si="89"/>
        <v>39.774000000000001</v>
      </c>
      <c r="AN727" s="4">
        <f t="shared" si="90"/>
        <v>45.984375</v>
      </c>
      <c r="AO727" s="4">
        <f t="shared" si="91"/>
        <v>51.088640624999996</v>
      </c>
      <c r="AP727" s="4">
        <f t="shared" si="92"/>
        <v>74.49008906249999</v>
      </c>
      <c r="AQ727" s="10">
        <f t="shared" si="93"/>
        <v>69.170963400000005</v>
      </c>
      <c r="AR727" s="10">
        <f t="shared" si="94"/>
        <v>76.855857433739999</v>
      </c>
      <c r="AS727" s="10">
        <f t="shared" si="95"/>
        <v>107.68535582112001</v>
      </c>
    </row>
    <row r="728" spans="1:45" x14ac:dyDescent="0.3">
      <c r="A728">
        <v>2025</v>
      </c>
      <c r="B728">
        <v>4</v>
      </c>
      <c r="C728" t="s">
        <v>55</v>
      </c>
      <c r="D728">
        <v>10</v>
      </c>
      <c r="E728" t="s">
        <v>36</v>
      </c>
      <c r="F728" t="s">
        <v>37</v>
      </c>
      <c r="G728" t="s">
        <v>38</v>
      </c>
      <c r="H728" t="s">
        <v>78</v>
      </c>
      <c r="I728" t="s">
        <v>375</v>
      </c>
      <c r="J728" t="s">
        <v>376</v>
      </c>
      <c r="K728" t="s">
        <v>59</v>
      </c>
      <c r="M728">
        <v>2503061</v>
      </c>
      <c r="N728" t="s">
        <v>377</v>
      </c>
      <c r="O728" t="s">
        <v>36</v>
      </c>
      <c r="Q728" t="s">
        <v>62</v>
      </c>
      <c r="R728" t="s">
        <v>378</v>
      </c>
      <c r="S728" t="s">
        <v>378</v>
      </c>
      <c r="T728" t="s">
        <v>47</v>
      </c>
      <c r="U728" t="s">
        <v>105</v>
      </c>
      <c r="V728" t="s">
        <v>49</v>
      </c>
      <c r="W728" t="s">
        <v>106</v>
      </c>
      <c r="X728" t="s">
        <v>51</v>
      </c>
      <c r="Y728" t="s">
        <v>107</v>
      </c>
      <c r="Z728" t="s">
        <v>64</v>
      </c>
      <c r="AA728" t="s">
        <v>267</v>
      </c>
      <c r="AB728" s="3">
        <f t="shared" si="88"/>
        <v>8</v>
      </c>
      <c r="AC728">
        <v>396.94</v>
      </c>
      <c r="AD728" s="2">
        <v>49.6175</v>
      </c>
      <c r="AE728" s="2">
        <v>88.66</v>
      </c>
      <c r="AF728" s="2">
        <v>2.91</v>
      </c>
      <c r="AG728" s="2">
        <v>488.52</v>
      </c>
      <c r="AH728">
        <v>0</v>
      </c>
      <c r="AI728">
        <v>61.064999999999998</v>
      </c>
      <c r="AJ728">
        <v>2.4426000000000001</v>
      </c>
      <c r="AK728" t="s">
        <v>54</v>
      </c>
      <c r="AL728">
        <v>17.62</v>
      </c>
      <c r="AM728" s="4">
        <f t="shared" si="89"/>
        <v>61.064999999999998</v>
      </c>
      <c r="AN728" s="4">
        <f t="shared" si="90"/>
        <v>93.032812500000006</v>
      </c>
      <c r="AO728" s="4">
        <f t="shared" si="91"/>
        <v>103.3594546875</v>
      </c>
      <c r="AP728" s="4">
        <f t="shared" si="92"/>
        <v>150.70385296875</v>
      </c>
      <c r="AQ728" s="10">
        <f t="shared" si="93"/>
        <v>106.19814150000001</v>
      </c>
      <c r="AR728" s="10">
        <f t="shared" si="94"/>
        <v>117.99675502065</v>
      </c>
      <c r="AS728" s="10">
        <f t="shared" si="95"/>
        <v>165.3292666872</v>
      </c>
    </row>
    <row r="729" spans="1:45" x14ac:dyDescent="0.3">
      <c r="A729">
        <v>2025</v>
      </c>
      <c r="B729">
        <v>12</v>
      </c>
      <c r="C729" t="s">
        <v>55</v>
      </c>
      <c r="D729">
        <v>10</v>
      </c>
      <c r="E729" t="s">
        <v>36</v>
      </c>
      <c r="F729" t="s">
        <v>37</v>
      </c>
      <c r="G729" t="s">
        <v>38</v>
      </c>
      <c r="H729" t="s">
        <v>78</v>
      </c>
      <c r="I729" t="s">
        <v>57</v>
      </c>
      <c r="J729" t="s">
        <v>58</v>
      </c>
      <c r="K729" t="s">
        <v>59</v>
      </c>
      <c r="L729" t="s">
        <v>1769</v>
      </c>
      <c r="M729" t="s">
        <v>1770</v>
      </c>
      <c r="N729" t="s">
        <v>1771</v>
      </c>
      <c r="O729" t="s">
        <v>1197</v>
      </c>
      <c r="Q729" t="s">
        <v>62</v>
      </c>
      <c r="R729" t="s">
        <v>1772</v>
      </c>
      <c r="S729" t="s">
        <v>1772</v>
      </c>
      <c r="T729" t="s">
        <v>47</v>
      </c>
      <c r="U729" t="s">
        <v>105</v>
      </c>
      <c r="V729" t="s">
        <v>49</v>
      </c>
      <c r="W729" t="s">
        <v>708</v>
      </c>
      <c r="X729" t="s">
        <v>51</v>
      </c>
      <c r="Y729" t="s">
        <v>107</v>
      </c>
      <c r="Z729" t="s">
        <v>107</v>
      </c>
      <c r="AA729" t="s">
        <v>267</v>
      </c>
      <c r="AB729" s="3">
        <f t="shared" si="88"/>
        <v>10</v>
      </c>
      <c r="AC729">
        <v>503.15</v>
      </c>
      <c r="AD729" s="2">
        <v>50.314999999999998</v>
      </c>
      <c r="AE729" s="2">
        <v>150.87</v>
      </c>
      <c r="AF729" s="2">
        <v>3.46</v>
      </c>
      <c r="AG729" s="2">
        <v>657.48</v>
      </c>
      <c r="AH729">
        <v>0</v>
      </c>
      <c r="AI729">
        <v>65.748000000000005</v>
      </c>
      <c r="AJ729">
        <v>3.2873999999999999</v>
      </c>
      <c r="AK729" t="s">
        <v>54</v>
      </c>
      <c r="AL729">
        <v>7.2</v>
      </c>
      <c r="AM729" s="4">
        <f t="shared" si="89"/>
        <v>65.748000000000005</v>
      </c>
      <c r="AN729" s="4">
        <f t="shared" si="90"/>
        <v>94.340624999999989</v>
      </c>
      <c r="AO729" s="4">
        <f t="shared" si="91"/>
        <v>104.81243437499998</v>
      </c>
      <c r="AP729" s="4">
        <f t="shared" si="92"/>
        <v>152.82237843749996</v>
      </c>
      <c r="AQ729" s="10">
        <f t="shared" si="93"/>
        <v>114.34234680000002</v>
      </c>
      <c r="AR729" s="10">
        <f t="shared" si="94"/>
        <v>127.04578152948001</v>
      </c>
      <c r="AS729" s="10">
        <f t="shared" si="95"/>
        <v>178.00816549824003</v>
      </c>
    </row>
    <row r="730" spans="1:45" x14ac:dyDescent="0.3">
      <c r="A730">
        <v>2025</v>
      </c>
      <c r="B730">
        <v>8</v>
      </c>
      <c r="C730" t="s">
        <v>55</v>
      </c>
      <c r="D730">
        <v>10</v>
      </c>
      <c r="E730" t="s">
        <v>36</v>
      </c>
      <c r="F730" t="s">
        <v>37</v>
      </c>
      <c r="G730" t="s">
        <v>38</v>
      </c>
      <c r="H730" t="s">
        <v>101</v>
      </c>
      <c r="I730" t="s">
        <v>190</v>
      </c>
      <c r="J730" t="s">
        <v>58</v>
      </c>
      <c r="K730" t="s">
        <v>59</v>
      </c>
      <c r="L730" t="s">
        <v>1194</v>
      </c>
      <c r="M730" t="s">
        <v>1195</v>
      </c>
      <c r="N730" t="s">
        <v>1196</v>
      </c>
      <c r="O730" t="s">
        <v>1197</v>
      </c>
      <c r="Q730" t="s">
        <v>62</v>
      </c>
      <c r="R730" t="s">
        <v>1198</v>
      </c>
      <c r="S730" t="s">
        <v>1198</v>
      </c>
      <c r="T730" t="s">
        <v>47</v>
      </c>
      <c r="U730" t="s">
        <v>217</v>
      </c>
      <c r="V730" t="s">
        <v>49</v>
      </c>
      <c r="W730" t="s">
        <v>218</v>
      </c>
      <c r="X730" t="s">
        <v>388</v>
      </c>
      <c r="Y730" t="s">
        <v>1847</v>
      </c>
      <c r="Z730" t="s">
        <v>1847</v>
      </c>
      <c r="AA730" t="s">
        <v>267</v>
      </c>
      <c r="AB730" s="3">
        <f t="shared" si="88"/>
        <v>9.9999999999999982</v>
      </c>
      <c r="AC730">
        <v>416.39</v>
      </c>
      <c r="AD730" s="2">
        <v>41.639000000000003</v>
      </c>
      <c r="AE730" s="2">
        <v>123.61</v>
      </c>
      <c r="AF730" s="2">
        <v>3.13</v>
      </c>
      <c r="AG730" s="2">
        <v>543.13</v>
      </c>
      <c r="AH730">
        <v>0</v>
      </c>
      <c r="AI730">
        <v>54.313000000000002</v>
      </c>
      <c r="AJ730">
        <v>2.7156500000000001</v>
      </c>
      <c r="AK730" t="s">
        <v>54</v>
      </c>
      <c r="AL730">
        <v>3.9</v>
      </c>
      <c r="AM730" s="4">
        <f t="shared" si="89"/>
        <v>54.313000000000009</v>
      </c>
      <c r="AN730" s="4">
        <f t="shared" si="90"/>
        <v>78.073125000000005</v>
      </c>
      <c r="AO730" s="4">
        <f t="shared" si="91"/>
        <v>86.739241875000005</v>
      </c>
      <c r="AP730" s="4">
        <f t="shared" si="92"/>
        <v>126.4706551875</v>
      </c>
      <c r="AQ730" s="10">
        <f t="shared" si="93"/>
        <v>94.455738300000021</v>
      </c>
      <c r="AR730" s="10">
        <f t="shared" si="94"/>
        <v>104.94977082513002</v>
      </c>
      <c r="AS730" s="10">
        <f t="shared" si="95"/>
        <v>147.04869338544003</v>
      </c>
    </row>
    <row r="731" spans="1:45" x14ac:dyDescent="0.3">
      <c r="A731">
        <v>2025</v>
      </c>
      <c r="B731">
        <v>6</v>
      </c>
      <c r="C731" t="s">
        <v>55</v>
      </c>
      <c r="D731">
        <v>10</v>
      </c>
      <c r="E731" t="s">
        <v>36</v>
      </c>
      <c r="F731" t="s">
        <v>37</v>
      </c>
      <c r="G731" t="s">
        <v>38</v>
      </c>
      <c r="H731" t="s">
        <v>101</v>
      </c>
      <c r="I731" t="s">
        <v>190</v>
      </c>
      <c r="J731" t="s">
        <v>58</v>
      </c>
      <c r="K731" t="s">
        <v>59</v>
      </c>
      <c r="M731" t="s">
        <v>730</v>
      </c>
      <c r="N731" t="s">
        <v>731</v>
      </c>
      <c r="O731" t="s">
        <v>36</v>
      </c>
      <c r="Q731" t="s">
        <v>62</v>
      </c>
      <c r="R731" t="s">
        <v>732</v>
      </c>
      <c r="S731" t="s">
        <v>732</v>
      </c>
      <c r="T731" t="s">
        <v>47</v>
      </c>
      <c r="U731" t="s">
        <v>149</v>
      </c>
      <c r="V731" t="s">
        <v>49</v>
      </c>
      <c r="W731" t="s">
        <v>150</v>
      </c>
      <c r="X731" t="s">
        <v>686</v>
      </c>
      <c r="Y731" t="s">
        <v>1230</v>
      </c>
      <c r="Z731" t="s">
        <v>1230</v>
      </c>
      <c r="AA731" t="s">
        <v>1231</v>
      </c>
      <c r="AB731" s="3">
        <f t="shared" si="88"/>
        <v>2.9999999999999809</v>
      </c>
      <c r="AC731">
        <v>155.36000000000001</v>
      </c>
      <c r="AD731" s="2">
        <v>51.786666666667003</v>
      </c>
      <c r="AE731" s="2">
        <v>11.13</v>
      </c>
      <c r="AF731" s="2">
        <v>1.1000000000000001</v>
      </c>
      <c r="AG731" s="2">
        <v>167.5</v>
      </c>
      <c r="AH731">
        <v>0</v>
      </c>
      <c r="AI731">
        <v>55.833333333333002</v>
      </c>
      <c r="AJ731">
        <v>0.83750000000000002</v>
      </c>
      <c r="AK731" t="s">
        <v>54</v>
      </c>
      <c r="AL731">
        <v>1.31</v>
      </c>
      <c r="AM731" s="4">
        <f t="shared" si="89"/>
        <v>55.833333333333691</v>
      </c>
      <c r="AN731" s="4">
        <f t="shared" si="90"/>
        <v>97.100000000000634</v>
      </c>
      <c r="AO731" s="4">
        <f t="shared" si="91"/>
        <v>107.8781000000007</v>
      </c>
      <c r="AP731" s="4">
        <f t="shared" si="92"/>
        <v>157.292290000001</v>
      </c>
      <c r="AQ731" s="10">
        <f t="shared" si="93"/>
        <v>97.099750000000626</v>
      </c>
      <c r="AR731" s="10">
        <f t="shared" si="94"/>
        <v>107.8875322250007</v>
      </c>
      <c r="AS731" s="10">
        <f t="shared" si="95"/>
        <v>151.16489080000096</v>
      </c>
    </row>
    <row r="732" spans="1:45" x14ac:dyDescent="0.3">
      <c r="A732">
        <v>2025</v>
      </c>
      <c r="B732">
        <v>6</v>
      </c>
      <c r="C732" t="s">
        <v>55</v>
      </c>
      <c r="D732">
        <v>10</v>
      </c>
      <c r="E732" t="s">
        <v>36</v>
      </c>
      <c r="F732" t="s">
        <v>37</v>
      </c>
      <c r="G732" t="s">
        <v>38</v>
      </c>
      <c r="H732" t="s">
        <v>67</v>
      </c>
      <c r="I732" t="s">
        <v>190</v>
      </c>
      <c r="J732" t="s">
        <v>58</v>
      </c>
      <c r="K732" t="s">
        <v>59</v>
      </c>
      <c r="M732" t="s">
        <v>730</v>
      </c>
      <c r="N732" t="s">
        <v>731</v>
      </c>
      <c r="O732" t="s">
        <v>36</v>
      </c>
      <c r="Q732" t="s">
        <v>62</v>
      </c>
      <c r="R732" t="s">
        <v>732</v>
      </c>
      <c r="S732" t="s">
        <v>732</v>
      </c>
      <c r="T732" t="s">
        <v>47</v>
      </c>
      <c r="U732" t="s">
        <v>938</v>
      </c>
      <c r="V732" t="s">
        <v>49</v>
      </c>
      <c r="W732" t="s">
        <v>939</v>
      </c>
      <c r="X732" t="s">
        <v>686</v>
      </c>
      <c r="Y732" t="s">
        <v>843</v>
      </c>
      <c r="Z732" t="s">
        <v>843</v>
      </c>
      <c r="AA732" t="s">
        <v>844</v>
      </c>
      <c r="AB732" s="3">
        <f t="shared" si="88"/>
        <v>5</v>
      </c>
      <c r="AC732">
        <v>157.11000000000001</v>
      </c>
      <c r="AD732" s="2">
        <v>31.422000000000001</v>
      </c>
      <c r="AE732" s="2">
        <v>33.22</v>
      </c>
      <c r="AF732" s="2">
        <v>1.1599999999999999</v>
      </c>
      <c r="AG732" s="2">
        <v>191.49</v>
      </c>
      <c r="AH732">
        <v>0</v>
      </c>
      <c r="AI732">
        <v>38.298000000000002</v>
      </c>
      <c r="AJ732">
        <v>0.95745000000000002</v>
      </c>
      <c r="AK732" t="s">
        <v>54</v>
      </c>
      <c r="AL732">
        <v>1.1399999999999999</v>
      </c>
      <c r="AM732" s="4">
        <f t="shared" si="89"/>
        <v>38.298000000000002</v>
      </c>
      <c r="AN732" s="4">
        <f t="shared" si="90"/>
        <v>58.916249999999998</v>
      </c>
      <c r="AO732" s="4">
        <f t="shared" si="91"/>
        <v>65.455953749999992</v>
      </c>
      <c r="AP732" s="4">
        <f t="shared" si="92"/>
        <v>95.438433374999988</v>
      </c>
      <c r="AQ732" s="10">
        <f t="shared" si="93"/>
        <v>66.604051800000008</v>
      </c>
      <c r="AR732" s="10">
        <f t="shared" si="94"/>
        <v>74.003761954980007</v>
      </c>
      <c r="AS732" s="10">
        <f t="shared" si="95"/>
        <v>103.68918784224</v>
      </c>
    </row>
    <row r="733" spans="1:45" x14ac:dyDescent="0.3">
      <c r="A733">
        <v>2025</v>
      </c>
      <c r="B733">
        <v>4</v>
      </c>
      <c r="C733" t="s">
        <v>55</v>
      </c>
      <c r="D733">
        <v>10</v>
      </c>
      <c r="E733" t="s">
        <v>36</v>
      </c>
      <c r="F733" t="s">
        <v>37</v>
      </c>
      <c r="G733" t="s">
        <v>38</v>
      </c>
      <c r="H733" t="s">
        <v>101</v>
      </c>
      <c r="I733" t="s">
        <v>375</v>
      </c>
      <c r="J733" t="s">
        <v>376</v>
      </c>
      <c r="K733" t="s">
        <v>59</v>
      </c>
      <c r="M733">
        <v>2503061</v>
      </c>
      <c r="N733" t="s">
        <v>377</v>
      </c>
      <c r="O733" t="s">
        <v>36</v>
      </c>
      <c r="Q733" t="s">
        <v>62</v>
      </c>
      <c r="R733" t="s">
        <v>378</v>
      </c>
      <c r="S733" t="s">
        <v>378</v>
      </c>
      <c r="T733" t="s">
        <v>47</v>
      </c>
      <c r="U733" t="s">
        <v>393</v>
      </c>
      <c r="V733" t="s">
        <v>49</v>
      </c>
      <c r="W733" t="s">
        <v>394</v>
      </c>
      <c r="X733" t="s">
        <v>51</v>
      </c>
      <c r="Y733" t="s">
        <v>940</v>
      </c>
      <c r="Z733" t="s">
        <v>940</v>
      </c>
      <c r="AA733" t="s">
        <v>941</v>
      </c>
      <c r="AB733" s="3">
        <f t="shared" si="88"/>
        <v>1</v>
      </c>
      <c r="AC733">
        <v>39.33</v>
      </c>
      <c r="AD733" s="2">
        <v>39.33</v>
      </c>
      <c r="AE733" s="2">
        <v>8.32</v>
      </c>
      <c r="AF733" s="2">
        <v>0.28999999999999998</v>
      </c>
      <c r="AG733" s="2">
        <v>47.93</v>
      </c>
      <c r="AH733">
        <v>0</v>
      </c>
      <c r="AI733">
        <v>47.93</v>
      </c>
      <c r="AJ733">
        <v>0.23965</v>
      </c>
      <c r="AK733" t="s">
        <v>54</v>
      </c>
      <c r="AL733">
        <v>0.28000000000000003</v>
      </c>
      <c r="AM733" s="4">
        <f t="shared" si="89"/>
        <v>47.93</v>
      </c>
      <c r="AN733" s="4">
        <f t="shared" si="90"/>
        <v>73.743749999999991</v>
      </c>
      <c r="AO733" s="4">
        <f t="shared" si="91"/>
        <v>81.929306249999996</v>
      </c>
      <c r="AP733" s="4">
        <f t="shared" si="92"/>
        <v>119.45750062499998</v>
      </c>
      <c r="AQ733" s="10">
        <f t="shared" si="93"/>
        <v>83.355063000000001</v>
      </c>
      <c r="AR733" s="10">
        <f t="shared" si="94"/>
        <v>92.615810499299997</v>
      </c>
      <c r="AS733" s="10">
        <f t="shared" si="95"/>
        <v>129.76716207839999</v>
      </c>
    </row>
    <row r="734" spans="1:45" x14ac:dyDescent="0.3">
      <c r="A734">
        <v>2025</v>
      </c>
      <c r="B734">
        <v>8</v>
      </c>
      <c r="C734" t="s">
        <v>55</v>
      </c>
      <c r="D734">
        <v>10</v>
      </c>
      <c r="E734" t="s">
        <v>36</v>
      </c>
      <c r="F734" t="s">
        <v>37</v>
      </c>
      <c r="G734" t="s">
        <v>38</v>
      </c>
      <c r="H734" t="s">
        <v>78</v>
      </c>
      <c r="I734" t="s">
        <v>190</v>
      </c>
      <c r="J734" t="s">
        <v>58</v>
      </c>
      <c r="K734" t="s">
        <v>59</v>
      </c>
      <c r="L734" t="s">
        <v>1194</v>
      </c>
      <c r="M734" t="s">
        <v>1195</v>
      </c>
      <c r="N734" t="s">
        <v>1196</v>
      </c>
      <c r="O734" t="s">
        <v>1197</v>
      </c>
      <c r="Q734" t="s">
        <v>62</v>
      </c>
      <c r="R734" t="s">
        <v>1198</v>
      </c>
      <c r="S734" t="s">
        <v>1198</v>
      </c>
      <c r="T734" t="s">
        <v>47</v>
      </c>
      <c r="U734" t="s">
        <v>938</v>
      </c>
      <c r="V734" t="s">
        <v>49</v>
      </c>
      <c r="W734" t="s">
        <v>939</v>
      </c>
      <c r="X734" t="s">
        <v>388</v>
      </c>
      <c r="Y734" t="s">
        <v>395</v>
      </c>
      <c r="Z734" t="s">
        <v>395</v>
      </c>
      <c r="AA734" t="s">
        <v>396</v>
      </c>
      <c r="AB734" s="3">
        <f t="shared" si="88"/>
        <v>1</v>
      </c>
      <c r="AC734">
        <v>3.84</v>
      </c>
      <c r="AD734" s="2">
        <v>3.84</v>
      </c>
      <c r="AE734" s="2">
        <v>15.09</v>
      </c>
      <c r="AF734" s="2">
        <v>0.01</v>
      </c>
      <c r="AG734" s="2">
        <v>18.940000000000001</v>
      </c>
      <c r="AH734">
        <v>0</v>
      </c>
      <c r="AI734">
        <v>18.940000000000001</v>
      </c>
      <c r="AJ734">
        <v>9.4700000000000006E-2</v>
      </c>
      <c r="AK734" t="s">
        <v>54</v>
      </c>
      <c r="AL734">
        <v>0.72</v>
      </c>
      <c r="AM734" s="4">
        <f t="shared" si="89"/>
        <v>18.940000000000001</v>
      </c>
      <c r="AN734" s="4">
        <f t="shared" si="90"/>
        <v>7.1999999999999993</v>
      </c>
      <c r="AO734" s="4">
        <f t="shared" si="91"/>
        <v>7.9991999999999992</v>
      </c>
      <c r="AP734" s="4">
        <f t="shared" si="92"/>
        <v>11.663279999999999</v>
      </c>
      <c r="AQ734" s="10">
        <f t="shared" si="93"/>
        <v>32.938554000000003</v>
      </c>
      <c r="AR734" s="10">
        <f t="shared" si="94"/>
        <v>36.598027349400006</v>
      </c>
      <c r="AS734" s="10">
        <f t="shared" si="95"/>
        <v>51.278740867200007</v>
      </c>
    </row>
    <row r="735" spans="1:45" x14ac:dyDescent="0.3">
      <c r="A735">
        <v>2025</v>
      </c>
      <c r="B735">
        <v>3</v>
      </c>
      <c r="C735" t="s">
        <v>55</v>
      </c>
      <c r="D735">
        <v>10</v>
      </c>
      <c r="E735" t="s">
        <v>36</v>
      </c>
      <c r="F735" t="s">
        <v>37</v>
      </c>
      <c r="G735" t="s">
        <v>38</v>
      </c>
      <c r="H735" t="s">
        <v>101</v>
      </c>
      <c r="I735" t="s">
        <v>190</v>
      </c>
      <c r="J735" t="s">
        <v>58</v>
      </c>
      <c r="K735" t="s">
        <v>59</v>
      </c>
      <c r="M735" t="s">
        <v>213</v>
      </c>
      <c r="N735" t="s">
        <v>61</v>
      </c>
      <c r="O735" t="s">
        <v>43</v>
      </c>
      <c r="Q735" t="s">
        <v>62</v>
      </c>
      <c r="R735" t="s">
        <v>214</v>
      </c>
      <c r="S735" t="s">
        <v>215</v>
      </c>
      <c r="T735" t="s">
        <v>47</v>
      </c>
      <c r="U735" t="s">
        <v>217</v>
      </c>
      <c r="V735" t="s">
        <v>49</v>
      </c>
      <c r="W735" t="s">
        <v>218</v>
      </c>
      <c r="X735" t="s">
        <v>51</v>
      </c>
      <c r="Y735" t="s">
        <v>1471</v>
      </c>
      <c r="Z735" t="s">
        <v>1471</v>
      </c>
      <c r="AA735" t="s">
        <v>1472</v>
      </c>
      <c r="AB735" s="3">
        <f t="shared" si="88"/>
        <v>2</v>
      </c>
      <c r="AC735">
        <v>95.16</v>
      </c>
      <c r="AD735" s="2">
        <v>47.58</v>
      </c>
      <c r="AE735" s="2">
        <v>6.82</v>
      </c>
      <c r="AF735" s="2">
        <v>0.62</v>
      </c>
      <c r="AG735" s="2">
        <v>102.6</v>
      </c>
      <c r="AH735">
        <v>0</v>
      </c>
      <c r="AI735">
        <v>51.3</v>
      </c>
      <c r="AJ735">
        <v>0.51300000000000001</v>
      </c>
      <c r="AK735" t="s">
        <v>54</v>
      </c>
      <c r="AL735">
        <v>0.8</v>
      </c>
      <c r="AM735" s="4">
        <f t="shared" si="89"/>
        <v>51.3</v>
      </c>
      <c r="AN735" s="4">
        <f t="shared" si="90"/>
        <v>89.212499999999991</v>
      </c>
      <c r="AO735" s="4">
        <f t="shared" si="91"/>
        <v>99.115087499999987</v>
      </c>
      <c r="AP735" s="4">
        <f t="shared" si="92"/>
        <v>144.51532874999998</v>
      </c>
      <c r="AQ735" s="10">
        <f t="shared" si="93"/>
        <v>89.215829999999997</v>
      </c>
      <c r="AR735" s="10">
        <f t="shared" si="94"/>
        <v>99.12770871299999</v>
      </c>
      <c r="AS735" s="10">
        <f t="shared" si="95"/>
        <v>138.891204144</v>
      </c>
    </row>
    <row r="736" spans="1:45" s="5" customFormat="1" x14ac:dyDescent="0.3">
      <c r="A736" s="5">
        <v>2025</v>
      </c>
      <c r="B736" s="5">
        <v>8</v>
      </c>
      <c r="C736" s="5" t="s">
        <v>55</v>
      </c>
      <c r="D736" s="5">
        <v>10</v>
      </c>
      <c r="E736" s="5" t="s">
        <v>36</v>
      </c>
      <c r="F736" s="5" t="s">
        <v>37</v>
      </c>
      <c r="G736" s="5" t="s">
        <v>38</v>
      </c>
      <c r="H736" s="5" t="s">
        <v>101</v>
      </c>
      <c r="I736" s="5" t="s">
        <v>190</v>
      </c>
      <c r="J736" s="5" t="s">
        <v>58</v>
      </c>
      <c r="K736" s="5" t="s">
        <v>59</v>
      </c>
      <c r="L736" s="5" t="s">
        <v>1194</v>
      </c>
      <c r="M736" s="5" t="s">
        <v>1195</v>
      </c>
      <c r="N736" s="5" t="s">
        <v>1196</v>
      </c>
      <c r="O736" s="5" t="s">
        <v>1197</v>
      </c>
      <c r="Q736" s="5" t="s">
        <v>62</v>
      </c>
      <c r="R736" s="5" t="s">
        <v>1198</v>
      </c>
      <c r="S736" s="5" t="s">
        <v>1198</v>
      </c>
      <c r="T736" s="5" t="s">
        <v>47</v>
      </c>
      <c r="U736" s="5" t="s">
        <v>149</v>
      </c>
      <c r="V736" s="5" t="s">
        <v>49</v>
      </c>
      <c r="W736" s="5" t="s">
        <v>150</v>
      </c>
      <c r="X736" s="5" t="s">
        <v>388</v>
      </c>
      <c r="Y736" t="s">
        <v>81</v>
      </c>
      <c r="Z736" t="s">
        <v>64</v>
      </c>
      <c r="AA736" t="s">
        <v>219</v>
      </c>
      <c r="AB736" s="3">
        <f t="shared" si="88"/>
        <v>1</v>
      </c>
      <c r="AC736">
        <v>442.18</v>
      </c>
      <c r="AD736" s="2">
        <v>442.18</v>
      </c>
      <c r="AE736" s="2">
        <v>92.79</v>
      </c>
      <c r="AF736" s="2">
        <v>3.27</v>
      </c>
      <c r="AG736" s="2">
        <v>538.24</v>
      </c>
      <c r="AH736">
        <v>0</v>
      </c>
      <c r="AI736">
        <v>538.24</v>
      </c>
      <c r="AJ736">
        <v>2.6911999999999998</v>
      </c>
      <c r="AK736" t="s">
        <v>54</v>
      </c>
      <c r="AL736">
        <v>1.94</v>
      </c>
      <c r="AM736" s="4">
        <f t="shared" si="89"/>
        <v>538.24</v>
      </c>
      <c r="AN736" s="4">
        <f t="shared" si="90"/>
        <v>829.08749999999998</v>
      </c>
      <c r="AO736" s="4">
        <f t="shared" si="91"/>
        <v>921.11621249999996</v>
      </c>
      <c r="AP736" s="4">
        <f t="shared" si="92"/>
        <v>1343.0388412499999</v>
      </c>
      <c r="AQ736" s="10">
        <f t="shared" ref="AQ736" si="96">SUM(AM736)*1.7391</f>
        <v>936.0531840000001</v>
      </c>
      <c r="AR736" s="10">
        <f t="shared" si="94"/>
        <v>1040.0486927424001</v>
      </c>
      <c r="AS736" s="10">
        <f t="shared" ref="AS736" si="97">SUM(AQ736)*1.5568</f>
        <v>1457.2475968512001</v>
      </c>
    </row>
    <row r="737" spans="1:45" x14ac:dyDescent="0.3">
      <c r="A737">
        <v>2025</v>
      </c>
      <c r="B737">
        <v>11</v>
      </c>
      <c r="C737" t="s">
        <v>55</v>
      </c>
      <c r="D737">
        <v>10</v>
      </c>
      <c r="E737" t="s">
        <v>36</v>
      </c>
      <c r="F737" t="s">
        <v>37</v>
      </c>
      <c r="G737" t="s">
        <v>38</v>
      </c>
      <c r="H737" t="s">
        <v>101</v>
      </c>
      <c r="I737" t="s">
        <v>190</v>
      </c>
      <c r="J737" t="s">
        <v>58</v>
      </c>
      <c r="K737" t="s">
        <v>59</v>
      </c>
      <c r="L737" t="s">
        <v>1629</v>
      </c>
      <c r="M737" t="s">
        <v>1630</v>
      </c>
      <c r="N737" t="s">
        <v>1485</v>
      </c>
      <c r="O737" t="s">
        <v>1197</v>
      </c>
      <c r="Q737" t="s">
        <v>62</v>
      </c>
      <c r="R737" t="s">
        <v>1631</v>
      </c>
      <c r="S737" t="s">
        <v>1631</v>
      </c>
      <c r="T737" t="s">
        <v>47</v>
      </c>
      <c r="U737" t="s">
        <v>149</v>
      </c>
      <c r="V737" t="s">
        <v>49</v>
      </c>
      <c r="W737" t="s">
        <v>150</v>
      </c>
      <c r="X737" t="s">
        <v>1578</v>
      </c>
      <c r="Y737" s="5" t="s">
        <v>1370</v>
      </c>
      <c r="Z737" s="5" t="s">
        <v>1370</v>
      </c>
      <c r="AA737" s="5" t="s">
        <v>1371</v>
      </c>
      <c r="AB737" s="6">
        <f t="shared" si="88"/>
        <v>5</v>
      </c>
      <c r="AC737" s="5">
        <v>165.92</v>
      </c>
      <c r="AD737" s="7">
        <v>33.183999999999997</v>
      </c>
      <c r="AE737" s="7">
        <v>11.89</v>
      </c>
      <c r="AF737" s="7">
        <v>1.7</v>
      </c>
      <c r="AG737" s="7">
        <v>178.88</v>
      </c>
      <c r="AH737" s="5">
        <v>0</v>
      </c>
      <c r="AI737" s="5">
        <v>35.776000000000003</v>
      </c>
      <c r="AJ737" s="5">
        <v>0.89439999999999997</v>
      </c>
      <c r="AK737" s="5" t="s">
        <v>54</v>
      </c>
      <c r="AL737" s="5">
        <v>1.4</v>
      </c>
      <c r="AM737" s="8">
        <f t="shared" si="89"/>
        <v>35.775999999999996</v>
      </c>
      <c r="AN737" s="8">
        <f t="shared" si="90"/>
        <v>62.22</v>
      </c>
      <c r="AO737" s="8">
        <f t="shared" si="91"/>
        <v>69.126419999999996</v>
      </c>
      <c r="AP737" s="8">
        <f t="shared" si="92"/>
        <v>100.790178</v>
      </c>
      <c r="AQ737" s="10">
        <f>SUM(AM737)*1.7391</f>
        <v>62.218041599999999</v>
      </c>
      <c r="AR737" s="10">
        <f>SUM(AQ737)*1.1111</f>
        <v>69.13046602176</v>
      </c>
      <c r="AS737" s="10">
        <f>SUM(AQ737)*1.5568</f>
        <v>96.861047162879998</v>
      </c>
    </row>
    <row r="738" spans="1:45" x14ac:dyDescent="0.3">
      <c r="A738">
        <v>2025</v>
      </c>
      <c r="B738">
        <v>10</v>
      </c>
      <c r="C738" t="s">
        <v>55</v>
      </c>
      <c r="D738">
        <v>10</v>
      </c>
      <c r="E738" t="s">
        <v>36</v>
      </c>
      <c r="F738" t="s">
        <v>37</v>
      </c>
      <c r="G738" t="s">
        <v>38</v>
      </c>
      <c r="H738" t="s">
        <v>39</v>
      </c>
      <c r="I738" t="s">
        <v>375</v>
      </c>
      <c r="J738" t="s">
        <v>376</v>
      </c>
      <c r="K738" t="s">
        <v>59</v>
      </c>
      <c r="L738" t="s">
        <v>1549</v>
      </c>
      <c r="M738" t="s">
        <v>1550</v>
      </c>
      <c r="N738" t="s">
        <v>1551</v>
      </c>
      <c r="O738" t="s">
        <v>1197</v>
      </c>
      <c r="Q738" t="s">
        <v>62</v>
      </c>
      <c r="R738" t="s">
        <v>1552</v>
      </c>
      <c r="S738" t="s">
        <v>1552</v>
      </c>
      <c r="T738" t="s">
        <v>47</v>
      </c>
      <c r="U738" t="s">
        <v>223</v>
      </c>
      <c r="V738" t="s">
        <v>49</v>
      </c>
      <c r="W738" t="s">
        <v>224</v>
      </c>
      <c r="X738" t="s">
        <v>51</v>
      </c>
      <c r="Y738" t="s">
        <v>1719</v>
      </c>
      <c r="Z738" t="s">
        <v>1719</v>
      </c>
      <c r="AA738" t="s">
        <v>1371</v>
      </c>
      <c r="AB738" s="3">
        <f t="shared" si="88"/>
        <v>2.9999999999999698</v>
      </c>
      <c r="AC738">
        <v>99.89</v>
      </c>
      <c r="AD738" s="2">
        <v>33.296666666667001</v>
      </c>
      <c r="AE738" s="2">
        <v>26.1</v>
      </c>
      <c r="AF738" s="2">
        <v>0.77</v>
      </c>
      <c r="AG738" s="2">
        <v>126.67</v>
      </c>
      <c r="AH738">
        <v>0</v>
      </c>
      <c r="AI738">
        <v>42.223333333333002</v>
      </c>
      <c r="AJ738">
        <v>0.63334999999999997</v>
      </c>
      <c r="AK738" t="s">
        <v>54</v>
      </c>
      <c r="AL738">
        <v>1.26</v>
      </c>
      <c r="AM738" s="4">
        <f t="shared" si="89"/>
        <v>42.223333333333755</v>
      </c>
      <c r="AN738" s="4">
        <f t="shared" si="90"/>
        <v>62.431250000000624</v>
      </c>
      <c r="AO738" s="4">
        <f t="shared" si="91"/>
        <v>69.361118750000699</v>
      </c>
      <c r="AP738" s="4">
        <f t="shared" si="92"/>
        <v>101.132381875001</v>
      </c>
      <c r="AQ738" s="10">
        <f t="shared" ref="AQ738:AQ801" si="98">SUM(AM738)*1.7391</f>
        <v>73.43059900000074</v>
      </c>
      <c r="AR738" s="10">
        <f t="shared" ref="AR738:AR801" si="99">SUM(AQ738)*1.1111</f>
        <v>81.588738548900821</v>
      </c>
      <c r="AS738" s="10">
        <f t="shared" ref="AS738:AS801" si="100">SUM(AQ738)*1.5568</f>
        <v>114.31675652320115</v>
      </c>
    </row>
    <row r="739" spans="1:45" x14ac:dyDescent="0.3">
      <c r="A739">
        <v>2025</v>
      </c>
      <c r="B739">
        <v>5</v>
      </c>
      <c r="C739" t="s">
        <v>55</v>
      </c>
      <c r="D739">
        <v>10</v>
      </c>
      <c r="E739" t="s">
        <v>36</v>
      </c>
      <c r="F739" t="s">
        <v>37</v>
      </c>
      <c r="G739" t="s">
        <v>38</v>
      </c>
      <c r="H739" t="s">
        <v>39</v>
      </c>
      <c r="I739" t="s">
        <v>190</v>
      </c>
      <c r="J739" t="s">
        <v>58</v>
      </c>
      <c r="K739" t="s">
        <v>59</v>
      </c>
      <c r="M739" t="s">
        <v>682</v>
      </c>
      <c r="N739" t="s">
        <v>384</v>
      </c>
      <c r="O739" t="s">
        <v>36</v>
      </c>
      <c r="Q739" t="s">
        <v>62</v>
      </c>
      <c r="R739" t="s">
        <v>683</v>
      </c>
      <c r="S739" t="s">
        <v>683</v>
      </c>
      <c r="T739" t="s">
        <v>47</v>
      </c>
      <c r="U739" t="s">
        <v>223</v>
      </c>
      <c r="V739" t="s">
        <v>49</v>
      </c>
      <c r="W739" t="s">
        <v>224</v>
      </c>
      <c r="X739" t="s">
        <v>686</v>
      </c>
      <c r="Y739" t="s">
        <v>1554</v>
      </c>
      <c r="Z739" t="s">
        <v>1554</v>
      </c>
      <c r="AA739" t="s">
        <v>1555</v>
      </c>
      <c r="AB739" s="3">
        <f t="shared" si="88"/>
        <v>5</v>
      </c>
      <c r="AC739">
        <v>94.55</v>
      </c>
      <c r="AD739" s="2">
        <v>18.91</v>
      </c>
      <c r="AE739" s="2">
        <v>43.22</v>
      </c>
      <c r="AF739" s="2">
        <v>0.84</v>
      </c>
      <c r="AG739" s="2">
        <v>138.61000000000001</v>
      </c>
      <c r="AH739">
        <v>0</v>
      </c>
      <c r="AI739">
        <v>27.722000000000001</v>
      </c>
      <c r="AJ739">
        <v>0.69305000000000005</v>
      </c>
      <c r="AK739" t="s">
        <v>54</v>
      </c>
      <c r="AL739">
        <v>1.96</v>
      </c>
      <c r="AM739" s="4">
        <f t="shared" si="89"/>
        <v>27.722000000000001</v>
      </c>
      <c r="AN739" s="4">
        <f t="shared" si="90"/>
        <v>35.456249999999997</v>
      </c>
      <c r="AO739" s="4">
        <f t="shared" si="91"/>
        <v>39.391893749999994</v>
      </c>
      <c r="AP739" s="4">
        <f t="shared" si="92"/>
        <v>57.435579374999989</v>
      </c>
      <c r="AQ739" s="10">
        <f t="shared" si="98"/>
        <v>48.211330200000006</v>
      </c>
      <c r="AR739" s="10">
        <f t="shared" si="99"/>
        <v>53.567608985220005</v>
      </c>
      <c r="AS739" s="10">
        <f t="shared" si="100"/>
        <v>75.055398855360011</v>
      </c>
    </row>
    <row r="740" spans="1:45" x14ac:dyDescent="0.3">
      <c r="A740">
        <v>2025</v>
      </c>
      <c r="B740">
        <v>4</v>
      </c>
      <c r="C740" t="s">
        <v>55</v>
      </c>
      <c r="D740">
        <v>10</v>
      </c>
      <c r="E740" t="s">
        <v>36</v>
      </c>
      <c r="F740" t="s">
        <v>37</v>
      </c>
      <c r="G740" t="s">
        <v>38</v>
      </c>
      <c r="H740" t="s">
        <v>101</v>
      </c>
      <c r="I740" t="s">
        <v>375</v>
      </c>
      <c r="J740" t="s">
        <v>376</v>
      </c>
      <c r="K740" t="s">
        <v>59</v>
      </c>
      <c r="M740">
        <v>2503061</v>
      </c>
      <c r="N740" t="s">
        <v>377</v>
      </c>
      <c r="O740" t="s">
        <v>36</v>
      </c>
      <c r="Q740" t="s">
        <v>62</v>
      </c>
      <c r="R740" t="s">
        <v>378</v>
      </c>
      <c r="S740" t="s">
        <v>378</v>
      </c>
      <c r="T740" t="s">
        <v>47</v>
      </c>
      <c r="U740" t="s">
        <v>157</v>
      </c>
      <c r="V740" t="s">
        <v>49</v>
      </c>
      <c r="W740" t="s">
        <v>158</v>
      </c>
      <c r="X740" t="s">
        <v>51</v>
      </c>
      <c r="Y740" t="s">
        <v>689</v>
      </c>
      <c r="Z740" t="s">
        <v>689</v>
      </c>
      <c r="AA740" t="s">
        <v>690</v>
      </c>
      <c r="AB740" s="3">
        <f t="shared" si="88"/>
        <v>4.8000000000000007</v>
      </c>
      <c r="AC740">
        <v>25.35</v>
      </c>
      <c r="AD740" s="2">
        <v>5.28125</v>
      </c>
      <c r="AE740" s="2">
        <v>94.84</v>
      </c>
      <c r="AF740" s="2">
        <v>0.11</v>
      </c>
      <c r="AG740" s="2">
        <v>120.3</v>
      </c>
      <c r="AH740">
        <v>0</v>
      </c>
      <c r="AI740">
        <v>25.0625</v>
      </c>
      <c r="AJ740">
        <v>0.60150000000000003</v>
      </c>
      <c r="AK740" t="s">
        <v>54</v>
      </c>
      <c r="AL740">
        <v>3.11</v>
      </c>
      <c r="AM740" s="4">
        <f t="shared" si="89"/>
        <v>25.062499999999996</v>
      </c>
      <c r="AN740" s="4">
        <f t="shared" si="90"/>
        <v>9.90234375</v>
      </c>
      <c r="AO740" s="4">
        <f t="shared" si="91"/>
        <v>11.001503906249999</v>
      </c>
      <c r="AP740" s="4">
        <f t="shared" si="92"/>
        <v>16.040806640625</v>
      </c>
      <c r="AQ740" s="10">
        <f t="shared" si="98"/>
        <v>43.58619375</v>
      </c>
      <c r="AR740" s="10">
        <f t="shared" si="99"/>
        <v>48.428619875624996</v>
      </c>
      <c r="AS740" s="10">
        <f t="shared" si="100"/>
        <v>67.854986429999997</v>
      </c>
    </row>
    <row r="741" spans="1:45" x14ac:dyDescent="0.3">
      <c r="A741">
        <v>2025</v>
      </c>
      <c r="B741">
        <v>4</v>
      </c>
      <c r="C741" t="s">
        <v>55</v>
      </c>
      <c r="D741">
        <v>10</v>
      </c>
      <c r="E741" t="s">
        <v>36</v>
      </c>
      <c r="F741" t="s">
        <v>37</v>
      </c>
      <c r="G741" t="s">
        <v>38</v>
      </c>
      <c r="H741" t="s">
        <v>101</v>
      </c>
      <c r="I741" t="s">
        <v>375</v>
      </c>
      <c r="J741" t="s">
        <v>376</v>
      </c>
      <c r="K741" t="s">
        <v>59</v>
      </c>
      <c r="M741">
        <v>2503061</v>
      </c>
      <c r="N741" t="s">
        <v>377</v>
      </c>
      <c r="O741" t="s">
        <v>36</v>
      </c>
      <c r="Q741" t="s">
        <v>62</v>
      </c>
      <c r="R741" t="s">
        <v>378</v>
      </c>
      <c r="S741" t="s">
        <v>378</v>
      </c>
      <c r="T741" t="s">
        <v>47</v>
      </c>
      <c r="U741" t="s">
        <v>157</v>
      </c>
      <c r="V741" t="s">
        <v>49</v>
      </c>
      <c r="W741" t="s">
        <v>158</v>
      </c>
      <c r="X741" t="s">
        <v>51</v>
      </c>
      <c r="Y741" t="s">
        <v>532</v>
      </c>
      <c r="Z741" t="s">
        <v>532</v>
      </c>
      <c r="AA741" t="s">
        <v>533</v>
      </c>
      <c r="AB741" s="3">
        <f t="shared" si="88"/>
        <v>2</v>
      </c>
      <c r="AC741">
        <v>280.87</v>
      </c>
      <c r="AD741" s="2">
        <v>140.435</v>
      </c>
      <c r="AE741" s="2">
        <v>30.17</v>
      </c>
      <c r="AF741" s="2">
        <v>1.99</v>
      </c>
      <c r="AG741" s="2">
        <v>313.02999999999997</v>
      </c>
      <c r="AH741">
        <v>0</v>
      </c>
      <c r="AI741">
        <v>156.51499999999999</v>
      </c>
      <c r="AJ741">
        <v>1.56515</v>
      </c>
      <c r="AK741" t="s">
        <v>54</v>
      </c>
      <c r="AL741">
        <v>1.44</v>
      </c>
      <c r="AM741" s="4">
        <f t="shared" si="89"/>
        <v>156.51499999999999</v>
      </c>
      <c r="AN741" s="4">
        <f t="shared" si="90"/>
        <v>263.31562500000001</v>
      </c>
      <c r="AO741" s="4">
        <f t="shared" si="91"/>
        <v>292.543659375</v>
      </c>
      <c r="AP741" s="4">
        <f t="shared" si="92"/>
        <v>426.54498093749999</v>
      </c>
      <c r="AQ741" s="10">
        <f t="shared" si="98"/>
        <v>272.19523649999996</v>
      </c>
      <c r="AR741" s="10">
        <f t="shared" si="99"/>
        <v>302.43612727514994</v>
      </c>
      <c r="AS741" s="10">
        <f t="shared" si="100"/>
        <v>423.75354418319995</v>
      </c>
    </row>
    <row r="742" spans="1:45" x14ac:dyDescent="0.3">
      <c r="A742">
        <v>2025</v>
      </c>
      <c r="B742">
        <v>8</v>
      </c>
      <c r="C742" t="s">
        <v>55</v>
      </c>
      <c r="D742">
        <v>10</v>
      </c>
      <c r="E742" t="s">
        <v>36</v>
      </c>
      <c r="F742" t="s">
        <v>37</v>
      </c>
      <c r="G742" t="s">
        <v>38</v>
      </c>
      <c r="H742" t="s">
        <v>101</v>
      </c>
      <c r="I742" t="s">
        <v>190</v>
      </c>
      <c r="J742" t="s">
        <v>58</v>
      </c>
      <c r="K742" t="s">
        <v>59</v>
      </c>
      <c r="L742" t="s">
        <v>1194</v>
      </c>
      <c r="M742" t="s">
        <v>1195</v>
      </c>
      <c r="N742" t="s">
        <v>1196</v>
      </c>
      <c r="O742" t="s">
        <v>1197</v>
      </c>
      <c r="Q742" t="s">
        <v>62</v>
      </c>
      <c r="R742" t="s">
        <v>1198</v>
      </c>
      <c r="S742" t="s">
        <v>1198</v>
      </c>
      <c r="T742" t="s">
        <v>47</v>
      </c>
      <c r="U742" t="s">
        <v>157</v>
      </c>
      <c r="V742" t="s">
        <v>49</v>
      </c>
      <c r="W742" t="s">
        <v>158</v>
      </c>
      <c r="X742" t="s">
        <v>388</v>
      </c>
      <c r="Y742" t="s">
        <v>537</v>
      </c>
      <c r="Z742" t="s">
        <v>537</v>
      </c>
      <c r="AA742" t="s">
        <v>533</v>
      </c>
      <c r="AB742" s="3">
        <f t="shared" si="88"/>
        <v>2</v>
      </c>
      <c r="AC742">
        <v>248.29</v>
      </c>
      <c r="AD742" s="2">
        <v>124.145</v>
      </c>
      <c r="AE742" s="2">
        <v>47.15</v>
      </c>
      <c r="AF742" s="2">
        <v>1.74</v>
      </c>
      <c r="AG742" s="2">
        <v>297.18</v>
      </c>
      <c r="AH742">
        <v>0</v>
      </c>
      <c r="AI742">
        <v>148.59</v>
      </c>
      <c r="AJ742">
        <v>1.4859</v>
      </c>
      <c r="AK742" t="s">
        <v>54</v>
      </c>
      <c r="AL742">
        <v>2.25</v>
      </c>
      <c r="AM742" s="4">
        <f t="shared" si="89"/>
        <v>148.59</v>
      </c>
      <c r="AN742" s="4">
        <f t="shared" si="90"/>
        <v>232.77187499999999</v>
      </c>
      <c r="AO742" s="4">
        <f t="shared" si="91"/>
        <v>258.60955312499999</v>
      </c>
      <c r="AP742" s="4">
        <f t="shared" si="92"/>
        <v>377.06716031249999</v>
      </c>
      <c r="AQ742" s="10">
        <f t="shared" si="98"/>
        <v>258.412869</v>
      </c>
      <c r="AR742" s="10">
        <f t="shared" si="99"/>
        <v>287.12253874589999</v>
      </c>
      <c r="AS742" s="10">
        <f t="shared" si="100"/>
        <v>402.29715445919999</v>
      </c>
    </row>
    <row r="743" spans="1:45" x14ac:dyDescent="0.3">
      <c r="A743">
        <v>2025</v>
      </c>
      <c r="B743">
        <v>9</v>
      </c>
      <c r="C743" t="s">
        <v>55</v>
      </c>
      <c r="D743">
        <v>10</v>
      </c>
      <c r="E743" t="s">
        <v>36</v>
      </c>
      <c r="F743" t="s">
        <v>37</v>
      </c>
      <c r="G743" t="s">
        <v>38</v>
      </c>
      <c r="H743" t="s">
        <v>101</v>
      </c>
      <c r="I743" t="s">
        <v>375</v>
      </c>
      <c r="J743" t="s">
        <v>376</v>
      </c>
      <c r="K743" t="s">
        <v>59</v>
      </c>
      <c r="L743" t="s">
        <v>1483</v>
      </c>
      <c r="M743" t="s">
        <v>1484</v>
      </c>
      <c r="N743" t="s">
        <v>1485</v>
      </c>
      <c r="O743" t="s">
        <v>1197</v>
      </c>
      <c r="Q743" t="s">
        <v>62</v>
      </c>
      <c r="R743" t="s">
        <v>1486</v>
      </c>
      <c r="S743" t="s">
        <v>1486</v>
      </c>
      <c r="T743" t="s">
        <v>47</v>
      </c>
      <c r="U743" t="s">
        <v>157</v>
      </c>
      <c r="V743" t="s">
        <v>49</v>
      </c>
      <c r="W743" t="s">
        <v>158</v>
      </c>
      <c r="X743" t="s">
        <v>51</v>
      </c>
      <c r="Y743" t="s">
        <v>1383</v>
      </c>
      <c r="Z743" t="s">
        <v>1383</v>
      </c>
      <c r="AA743" t="s">
        <v>533</v>
      </c>
      <c r="AB743" s="3">
        <f t="shared" si="88"/>
        <v>2.9999999999999152</v>
      </c>
      <c r="AC743">
        <v>354.2</v>
      </c>
      <c r="AD743" s="2">
        <v>118.06666666667</v>
      </c>
      <c r="AE743" s="2">
        <v>25.38</v>
      </c>
      <c r="AF743" s="2">
        <v>2.29</v>
      </c>
      <c r="AG743" s="2">
        <v>381.88</v>
      </c>
      <c r="AH743">
        <v>0</v>
      </c>
      <c r="AI743">
        <v>127.29333333333</v>
      </c>
      <c r="AJ743">
        <v>1.9094</v>
      </c>
      <c r="AK743" t="s">
        <v>54</v>
      </c>
      <c r="AL743">
        <v>2.98</v>
      </c>
      <c r="AM743" s="4">
        <f t="shared" si="89"/>
        <v>127.29333333333693</v>
      </c>
      <c r="AN743" s="4">
        <f t="shared" si="90"/>
        <v>221.37500000000625</v>
      </c>
      <c r="AO743" s="4">
        <f t="shared" si="91"/>
        <v>245.94762500000695</v>
      </c>
      <c r="AP743" s="4">
        <f t="shared" si="92"/>
        <v>358.60536250001013</v>
      </c>
      <c r="AQ743" s="10">
        <f t="shared" si="98"/>
        <v>221.37583600000627</v>
      </c>
      <c r="AR743" s="10">
        <f t="shared" si="99"/>
        <v>245.97069137960696</v>
      </c>
      <c r="AS743" s="10">
        <f t="shared" si="100"/>
        <v>344.63790148480973</v>
      </c>
    </row>
    <row r="744" spans="1:45" x14ac:dyDescent="0.3">
      <c r="A744">
        <v>2025</v>
      </c>
      <c r="B744">
        <v>4</v>
      </c>
      <c r="C744" t="s">
        <v>55</v>
      </c>
      <c r="D744">
        <v>10</v>
      </c>
      <c r="E744" t="s">
        <v>36</v>
      </c>
      <c r="F744" t="s">
        <v>37</v>
      </c>
      <c r="G744" t="s">
        <v>38</v>
      </c>
      <c r="H744" t="s">
        <v>101</v>
      </c>
      <c r="I744" t="s">
        <v>375</v>
      </c>
      <c r="J744" t="s">
        <v>376</v>
      </c>
      <c r="K744" t="s">
        <v>59</v>
      </c>
      <c r="M744">
        <v>2503061</v>
      </c>
      <c r="N744" t="s">
        <v>377</v>
      </c>
      <c r="O744" t="s">
        <v>36</v>
      </c>
      <c r="Q744" t="s">
        <v>62</v>
      </c>
      <c r="R744" t="s">
        <v>378</v>
      </c>
      <c r="S744" t="s">
        <v>378</v>
      </c>
      <c r="T744" t="s">
        <v>47</v>
      </c>
      <c r="U744" t="s">
        <v>157</v>
      </c>
      <c r="V744" t="s">
        <v>49</v>
      </c>
      <c r="W744" t="s">
        <v>158</v>
      </c>
      <c r="X744" t="s">
        <v>51</v>
      </c>
      <c r="Y744" t="s">
        <v>1383</v>
      </c>
      <c r="Z744" t="s">
        <v>1383</v>
      </c>
      <c r="AA744" t="s">
        <v>533</v>
      </c>
      <c r="AB744" s="3">
        <f t="shared" si="88"/>
        <v>1</v>
      </c>
      <c r="AC744">
        <v>116.21</v>
      </c>
      <c r="AD744" s="2">
        <v>116.21</v>
      </c>
      <c r="AE744" s="2">
        <v>18.13</v>
      </c>
      <c r="AF744" s="2">
        <v>0.82</v>
      </c>
      <c r="AG744" s="2">
        <v>135.16</v>
      </c>
      <c r="AH744">
        <v>0</v>
      </c>
      <c r="AI744">
        <v>135.16</v>
      </c>
      <c r="AJ744">
        <v>0.67579999999999996</v>
      </c>
      <c r="AK744" t="s">
        <v>54</v>
      </c>
      <c r="AL744">
        <v>0.75</v>
      </c>
      <c r="AM744" s="4">
        <f t="shared" si="89"/>
        <v>135.16</v>
      </c>
      <c r="AN744" s="4">
        <f t="shared" si="90"/>
        <v>217.89374999999998</v>
      </c>
      <c r="AO744" s="4">
        <f t="shared" si="91"/>
        <v>242.07995624999998</v>
      </c>
      <c r="AP744" s="4">
        <f t="shared" si="92"/>
        <v>352.96608562499995</v>
      </c>
      <c r="AQ744" s="10">
        <f t="shared" si="98"/>
        <v>235.05675600000001</v>
      </c>
      <c r="AR744" s="10">
        <f t="shared" si="99"/>
        <v>261.17156159159998</v>
      </c>
      <c r="AS744" s="10">
        <f t="shared" si="100"/>
        <v>365.93635774080002</v>
      </c>
    </row>
    <row r="745" spans="1:45" x14ac:dyDescent="0.3">
      <c r="A745">
        <v>2025</v>
      </c>
      <c r="B745">
        <v>4</v>
      </c>
      <c r="C745" t="s">
        <v>55</v>
      </c>
      <c r="D745">
        <v>10</v>
      </c>
      <c r="E745" t="s">
        <v>36</v>
      </c>
      <c r="F745" t="s">
        <v>37</v>
      </c>
      <c r="G745" t="s">
        <v>38</v>
      </c>
      <c r="H745" t="s">
        <v>101</v>
      </c>
      <c r="I745" t="s">
        <v>190</v>
      </c>
      <c r="J745" t="s">
        <v>58</v>
      </c>
      <c r="K745" t="s">
        <v>59</v>
      </c>
      <c r="M745" t="s">
        <v>383</v>
      </c>
      <c r="N745" t="s">
        <v>384</v>
      </c>
      <c r="O745" t="s">
        <v>36</v>
      </c>
      <c r="Q745" t="s">
        <v>62</v>
      </c>
      <c r="R745" t="s">
        <v>385</v>
      </c>
      <c r="S745" t="s">
        <v>385</v>
      </c>
      <c r="T745" t="s">
        <v>47</v>
      </c>
      <c r="U745" t="s">
        <v>157</v>
      </c>
      <c r="V745" t="s">
        <v>49</v>
      </c>
      <c r="W745" t="s">
        <v>158</v>
      </c>
      <c r="X745" t="s">
        <v>388</v>
      </c>
      <c r="Y745" t="s">
        <v>538</v>
      </c>
      <c r="Z745" t="s">
        <v>538</v>
      </c>
      <c r="AA745" t="s">
        <v>539</v>
      </c>
      <c r="AB745" s="3">
        <f t="shared" si="88"/>
        <v>2</v>
      </c>
      <c r="AC745">
        <v>197.81</v>
      </c>
      <c r="AD745" s="2">
        <v>98.905000000000001</v>
      </c>
      <c r="AE745" s="2">
        <v>47.15</v>
      </c>
      <c r="AF745" s="2">
        <v>1.38</v>
      </c>
      <c r="AG745" s="2">
        <v>246.34</v>
      </c>
      <c r="AH745">
        <v>0</v>
      </c>
      <c r="AI745">
        <v>123.17</v>
      </c>
      <c r="AJ745">
        <v>1.2317</v>
      </c>
      <c r="AK745" t="s">
        <v>54</v>
      </c>
      <c r="AL745">
        <v>2.25</v>
      </c>
      <c r="AM745" s="4">
        <f t="shared" si="89"/>
        <v>123.17</v>
      </c>
      <c r="AN745" s="4">
        <f t="shared" si="90"/>
        <v>185.44687500000001</v>
      </c>
      <c r="AO745" s="4">
        <f t="shared" si="91"/>
        <v>206.03147812500001</v>
      </c>
      <c r="AP745" s="4">
        <f t="shared" si="92"/>
        <v>300.4053928125</v>
      </c>
      <c r="AQ745" s="10">
        <f t="shared" si="98"/>
        <v>214.204947</v>
      </c>
      <c r="AR745" s="10">
        <f t="shared" si="99"/>
        <v>238.00311661169999</v>
      </c>
      <c r="AS745" s="10">
        <f t="shared" si="100"/>
        <v>333.4742614896</v>
      </c>
    </row>
    <row r="746" spans="1:45" x14ac:dyDescent="0.3">
      <c r="A746">
        <v>2025</v>
      </c>
      <c r="B746">
        <v>8</v>
      </c>
      <c r="C746" t="s">
        <v>55</v>
      </c>
      <c r="D746">
        <v>10</v>
      </c>
      <c r="E746" t="s">
        <v>36</v>
      </c>
      <c r="F746" t="s">
        <v>37</v>
      </c>
      <c r="G746" t="s">
        <v>38</v>
      </c>
      <c r="H746" t="s">
        <v>101</v>
      </c>
      <c r="I746" t="s">
        <v>190</v>
      </c>
      <c r="J746" t="s">
        <v>58</v>
      </c>
      <c r="K746" t="s">
        <v>59</v>
      </c>
      <c r="L746" t="s">
        <v>1194</v>
      </c>
      <c r="M746" t="s">
        <v>1195</v>
      </c>
      <c r="N746" t="s">
        <v>1196</v>
      </c>
      <c r="O746" t="s">
        <v>1197</v>
      </c>
      <c r="Q746" t="s">
        <v>62</v>
      </c>
      <c r="R746" t="s">
        <v>1198</v>
      </c>
      <c r="S746" t="s">
        <v>1198</v>
      </c>
      <c r="T746" t="s">
        <v>47</v>
      </c>
      <c r="U746" t="s">
        <v>157</v>
      </c>
      <c r="V746" t="s">
        <v>49</v>
      </c>
      <c r="W746" t="s">
        <v>158</v>
      </c>
      <c r="X746" t="s">
        <v>388</v>
      </c>
      <c r="Y746" t="s">
        <v>532</v>
      </c>
      <c r="Z746" t="s">
        <v>532</v>
      </c>
      <c r="AA746" t="s">
        <v>539</v>
      </c>
      <c r="AB746" s="3">
        <f t="shared" si="88"/>
        <v>4</v>
      </c>
      <c r="AC746">
        <v>455.39</v>
      </c>
      <c r="AD746" s="2">
        <v>113.8475</v>
      </c>
      <c r="AE746" s="2">
        <v>61.3</v>
      </c>
      <c r="AF746" s="2">
        <v>2.99</v>
      </c>
      <c r="AG746" s="2">
        <v>519.67999999999995</v>
      </c>
      <c r="AH746">
        <v>0</v>
      </c>
      <c r="AI746">
        <v>129.91999999999999</v>
      </c>
      <c r="AJ746">
        <v>2.5983999999999998</v>
      </c>
      <c r="AK746" t="s">
        <v>54</v>
      </c>
      <c r="AL746">
        <v>3.12</v>
      </c>
      <c r="AM746" s="4">
        <f t="shared" si="89"/>
        <v>129.91999999999999</v>
      </c>
      <c r="AN746" s="4">
        <f t="shared" si="90"/>
        <v>213.46406249999998</v>
      </c>
      <c r="AO746" s="4">
        <f t="shared" si="91"/>
        <v>237.15857343749997</v>
      </c>
      <c r="AP746" s="4">
        <f t="shared" si="92"/>
        <v>345.79043484374995</v>
      </c>
      <c r="AQ746" s="10">
        <f t="shared" si="98"/>
        <v>225.943872</v>
      </c>
      <c r="AR746" s="10">
        <f t="shared" si="99"/>
        <v>251.04623617919998</v>
      </c>
      <c r="AS746" s="10">
        <f t="shared" si="100"/>
        <v>351.74941992959998</v>
      </c>
    </row>
    <row r="747" spans="1:45" x14ac:dyDescent="0.3">
      <c r="A747">
        <v>2025</v>
      </c>
      <c r="B747">
        <v>5</v>
      </c>
      <c r="C747" t="s">
        <v>55</v>
      </c>
      <c r="D747">
        <v>10</v>
      </c>
      <c r="E747" t="s">
        <v>36</v>
      </c>
      <c r="F747" t="s">
        <v>37</v>
      </c>
      <c r="G747" t="s">
        <v>38</v>
      </c>
      <c r="H747" t="s">
        <v>101</v>
      </c>
      <c r="I747" t="s">
        <v>190</v>
      </c>
      <c r="J747" t="s">
        <v>58</v>
      </c>
      <c r="K747" t="s">
        <v>59</v>
      </c>
      <c r="M747" t="s">
        <v>682</v>
      </c>
      <c r="N747" t="s">
        <v>384</v>
      </c>
      <c r="O747" t="s">
        <v>36</v>
      </c>
      <c r="Q747" t="s">
        <v>62</v>
      </c>
      <c r="R747" t="s">
        <v>683</v>
      </c>
      <c r="S747" t="s">
        <v>683</v>
      </c>
      <c r="T747" t="s">
        <v>47</v>
      </c>
      <c r="U747" t="s">
        <v>163</v>
      </c>
      <c r="V747" t="s">
        <v>49</v>
      </c>
      <c r="W747" t="s">
        <v>164</v>
      </c>
      <c r="X747" t="s">
        <v>686</v>
      </c>
      <c r="Y747" t="s">
        <v>1383</v>
      </c>
      <c r="Z747" t="s">
        <v>1383</v>
      </c>
      <c r="AA747" t="s">
        <v>539</v>
      </c>
      <c r="AB747" s="3">
        <f t="shared" si="88"/>
        <v>3</v>
      </c>
      <c r="AC747">
        <v>276.93</v>
      </c>
      <c r="AD747" s="2">
        <v>92.31</v>
      </c>
      <c r="AE747" s="2">
        <v>19.850000000000001</v>
      </c>
      <c r="AF747" s="2">
        <v>1.79</v>
      </c>
      <c r="AG747" s="2">
        <v>298.57</v>
      </c>
      <c r="AH747">
        <v>0</v>
      </c>
      <c r="AI747">
        <v>99.523333333332999</v>
      </c>
      <c r="AJ747">
        <v>1.49285</v>
      </c>
      <c r="AK747" t="s">
        <v>54</v>
      </c>
      <c r="AL747">
        <v>2.33</v>
      </c>
      <c r="AM747" s="4">
        <f t="shared" si="89"/>
        <v>99.523333333333326</v>
      </c>
      <c r="AN747" s="4">
        <f t="shared" si="90"/>
        <v>173.08125000000001</v>
      </c>
      <c r="AO747" s="4">
        <f t="shared" si="91"/>
        <v>192.29326875000001</v>
      </c>
      <c r="AP747" s="4">
        <f t="shared" si="92"/>
        <v>280.37431687499998</v>
      </c>
      <c r="AQ747" s="10">
        <f t="shared" si="98"/>
        <v>173.081029</v>
      </c>
      <c r="AR747" s="10">
        <f t="shared" si="99"/>
        <v>192.31033132190001</v>
      </c>
      <c r="AS747" s="10">
        <f t="shared" si="100"/>
        <v>269.45254594720001</v>
      </c>
    </row>
    <row r="748" spans="1:45" x14ac:dyDescent="0.3">
      <c r="A748">
        <v>2025</v>
      </c>
      <c r="B748">
        <v>1</v>
      </c>
      <c r="C748" t="s">
        <v>55</v>
      </c>
      <c r="D748">
        <v>10</v>
      </c>
      <c r="E748" t="s">
        <v>36</v>
      </c>
      <c r="F748" t="s">
        <v>37</v>
      </c>
      <c r="G748" t="s">
        <v>38</v>
      </c>
      <c r="H748" t="s">
        <v>101</v>
      </c>
      <c r="I748" t="s">
        <v>57</v>
      </c>
      <c r="J748" t="s">
        <v>58</v>
      </c>
      <c r="K748" t="s">
        <v>59</v>
      </c>
      <c r="M748" t="s">
        <v>60</v>
      </c>
      <c r="N748" t="s">
        <v>61</v>
      </c>
      <c r="O748" t="s">
        <v>43</v>
      </c>
      <c r="Q748" t="s">
        <v>62</v>
      </c>
      <c r="R748" t="s">
        <v>63</v>
      </c>
      <c r="S748" t="s">
        <v>63</v>
      </c>
      <c r="T748" t="s">
        <v>47</v>
      </c>
      <c r="U748" t="s">
        <v>186</v>
      </c>
      <c r="V748" t="s">
        <v>49</v>
      </c>
      <c r="W748" t="s">
        <v>187</v>
      </c>
      <c r="X748" t="s">
        <v>51</v>
      </c>
      <c r="Y748" t="s">
        <v>719</v>
      </c>
      <c r="Z748" t="s">
        <v>719</v>
      </c>
      <c r="AA748" t="s">
        <v>720</v>
      </c>
      <c r="AB748" s="3">
        <f t="shared" si="88"/>
        <v>1</v>
      </c>
      <c r="AC748">
        <v>179.31</v>
      </c>
      <c r="AD748" s="2">
        <v>179.31</v>
      </c>
      <c r="AE748" s="2">
        <v>94.84</v>
      </c>
      <c r="AF748" s="2">
        <v>1.6</v>
      </c>
      <c r="AG748" s="2">
        <v>275.75</v>
      </c>
      <c r="AH748">
        <v>0</v>
      </c>
      <c r="AI748">
        <v>275.75</v>
      </c>
      <c r="AJ748">
        <v>1.3787499999999999</v>
      </c>
      <c r="AK748" t="s">
        <v>54</v>
      </c>
      <c r="AL748">
        <v>3.11</v>
      </c>
      <c r="AM748" s="4">
        <f t="shared" si="89"/>
        <v>275.75</v>
      </c>
      <c r="AN748" s="4">
        <f t="shared" si="90"/>
        <v>336.20625000000001</v>
      </c>
      <c r="AO748" s="4">
        <f t="shared" si="91"/>
        <v>373.52514374999998</v>
      </c>
      <c r="AP748" s="4">
        <f t="shared" si="92"/>
        <v>544.620504375</v>
      </c>
      <c r="AQ748" s="10">
        <f t="shared" si="98"/>
        <v>479.556825</v>
      </c>
      <c r="AR748" s="10">
        <f t="shared" si="99"/>
        <v>532.83558825750004</v>
      </c>
      <c r="AS748" s="10">
        <f t="shared" si="100"/>
        <v>746.57406516000003</v>
      </c>
    </row>
    <row r="749" spans="1:45" x14ac:dyDescent="0.3">
      <c r="A749">
        <v>2025</v>
      </c>
      <c r="B749">
        <v>4</v>
      </c>
      <c r="C749" t="s">
        <v>55</v>
      </c>
      <c r="D749">
        <v>10</v>
      </c>
      <c r="E749" t="s">
        <v>36</v>
      </c>
      <c r="F749" t="s">
        <v>37</v>
      </c>
      <c r="G749" t="s">
        <v>38</v>
      </c>
      <c r="H749" t="s">
        <v>83</v>
      </c>
      <c r="I749" t="s">
        <v>190</v>
      </c>
      <c r="J749" t="s">
        <v>58</v>
      </c>
      <c r="K749" t="s">
        <v>59</v>
      </c>
      <c r="M749" t="s">
        <v>383</v>
      </c>
      <c r="N749" t="s">
        <v>384</v>
      </c>
      <c r="O749" t="s">
        <v>36</v>
      </c>
      <c r="Q749" t="s">
        <v>62</v>
      </c>
      <c r="R749" t="s">
        <v>385</v>
      </c>
      <c r="S749" t="s">
        <v>385</v>
      </c>
      <c r="T749" t="s">
        <v>47</v>
      </c>
      <c r="U749" t="s">
        <v>669</v>
      </c>
      <c r="V749" t="s">
        <v>49</v>
      </c>
      <c r="W749" t="s">
        <v>670</v>
      </c>
      <c r="X749" t="s">
        <v>388</v>
      </c>
      <c r="Y749" t="s">
        <v>188</v>
      </c>
      <c r="Z749" t="s">
        <v>64</v>
      </c>
      <c r="AA749" t="s">
        <v>189</v>
      </c>
      <c r="AB749" s="3">
        <f t="shared" si="88"/>
        <v>1</v>
      </c>
      <c r="AC749">
        <v>224.02</v>
      </c>
      <c r="AD749" s="2">
        <v>224.02</v>
      </c>
      <c r="AE749" s="2">
        <v>53.82</v>
      </c>
      <c r="AF749" s="2">
        <v>1.55</v>
      </c>
      <c r="AG749" s="2">
        <v>279.39</v>
      </c>
      <c r="AH749">
        <v>0</v>
      </c>
      <c r="AI749">
        <v>279.39</v>
      </c>
      <c r="AJ749">
        <v>1.3969499999999999</v>
      </c>
      <c r="AK749" t="s">
        <v>54</v>
      </c>
      <c r="AL749">
        <v>3.01</v>
      </c>
      <c r="AM749" s="4">
        <f t="shared" si="89"/>
        <v>279.39</v>
      </c>
      <c r="AN749" s="4">
        <f t="shared" si="90"/>
        <v>420.03750000000002</v>
      </c>
      <c r="AO749" s="4">
        <f t="shared" si="91"/>
        <v>466.66166250000003</v>
      </c>
      <c r="AP749" s="4">
        <f t="shared" si="92"/>
        <v>680.41874625000003</v>
      </c>
      <c r="AQ749" s="10">
        <f t="shared" si="98"/>
        <v>485.88714900000002</v>
      </c>
      <c r="AR749" s="10">
        <f t="shared" si="99"/>
        <v>539.86921125390006</v>
      </c>
      <c r="AS749" s="10">
        <f t="shared" si="100"/>
        <v>756.42911356319996</v>
      </c>
    </row>
    <row r="750" spans="1:45" x14ac:dyDescent="0.3">
      <c r="A750">
        <v>2025</v>
      </c>
      <c r="B750">
        <v>7</v>
      </c>
      <c r="C750" t="s">
        <v>55</v>
      </c>
      <c r="D750">
        <v>10</v>
      </c>
      <c r="E750" t="s">
        <v>36</v>
      </c>
      <c r="F750" t="s">
        <v>37</v>
      </c>
      <c r="G750" t="s">
        <v>38</v>
      </c>
      <c r="H750" t="s">
        <v>83</v>
      </c>
      <c r="I750" t="s">
        <v>190</v>
      </c>
      <c r="J750" t="s">
        <v>58</v>
      </c>
      <c r="K750" t="s">
        <v>41</v>
      </c>
      <c r="L750" t="s">
        <v>953</v>
      </c>
      <c r="M750" t="s">
        <v>954</v>
      </c>
      <c r="N750" t="s">
        <v>731</v>
      </c>
      <c r="O750" t="s">
        <v>36</v>
      </c>
      <c r="Q750" t="s">
        <v>62</v>
      </c>
      <c r="R750" t="s">
        <v>955</v>
      </c>
      <c r="S750" t="s">
        <v>956</v>
      </c>
      <c r="T750" t="s">
        <v>47</v>
      </c>
      <c r="U750" t="s">
        <v>660</v>
      </c>
      <c r="V750" t="s">
        <v>89</v>
      </c>
      <c r="W750" t="s">
        <v>661</v>
      </c>
      <c r="X750" t="s">
        <v>51</v>
      </c>
      <c r="Y750" t="s">
        <v>507</v>
      </c>
      <c r="Z750" t="s">
        <v>507</v>
      </c>
      <c r="AA750" t="s">
        <v>671</v>
      </c>
      <c r="AB750" s="3">
        <f t="shared" si="88"/>
        <v>2.999999999999948</v>
      </c>
      <c r="AC750">
        <v>574.19000000000005</v>
      </c>
      <c r="AD750" s="2">
        <v>191.39666666667</v>
      </c>
      <c r="AE750" s="2">
        <v>45.97</v>
      </c>
      <c r="AF750" s="2">
        <v>3.85</v>
      </c>
      <c r="AG750" s="2">
        <v>624.01</v>
      </c>
      <c r="AH750">
        <v>0</v>
      </c>
      <c r="AI750">
        <v>208.00333333333</v>
      </c>
      <c r="AJ750">
        <v>3.12005</v>
      </c>
      <c r="AK750" t="s">
        <v>54</v>
      </c>
      <c r="AL750">
        <v>2.34</v>
      </c>
      <c r="AM750" s="4">
        <f t="shared" si="89"/>
        <v>208.00333333333694</v>
      </c>
      <c r="AN750" s="4">
        <f t="shared" si="90"/>
        <v>358.86875000000623</v>
      </c>
      <c r="AO750" s="4">
        <f t="shared" si="91"/>
        <v>398.70318125000693</v>
      </c>
      <c r="AP750" s="4">
        <f t="shared" si="92"/>
        <v>581.33148812501008</v>
      </c>
      <c r="AQ750" s="10">
        <f t="shared" si="98"/>
        <v>361.73859700000628</v>
      </c>
      <c r="AR750" s="10">
        <f t="shared" si="99"/>
        <v>401.92775512670698</v>
      </c>
      <c r="AS750" s="10">
        <f t="shared" si="100"/>
        <v>563.15464780960974</v>
      </c>
    </row>
    <row r="751" spans="1:45" x14ac:dyDescent="0.3">
      <c r="A751">
        <v>2025</v>
      </c>
      <c r="B751">
        <v>7</v>
      </c>
      <c r="C751" t="s">
        <v>55</v>
      </c>
      <c r="D751">
        <v>10</v>
      </c>
      <c r="E751" t="s">
        <v>36</v>
      </c>
      <c r="F751" t="s">
        <v>37</v>
      </c>
      <c r="G751" t="s">
        <v>38</v>
      </c>
      <c r="H751" t="s">
        <v>83</v>
      </c>
      <c r="I751" t="s">
        <v>190</v>
      </c>
      <c r="J751" t="s">
        <v>58</v>
      </c>
      <c r="K751" t="s">
        <v>41</v>
      </c>
      <c r="L751" t="s">
        <v>953</v>
      </c>
      <c r="M751" t="s">
        <v>954</v>
      </c>
      <c r="N751" t="s">
        <v>731</v>
      </c>
      <c r="O751" t="s">
        <v>36</v>
      </c>
      <c r="Q751" t="s">
        <v>62</v>
      </c>
      <c r="R751" t="s">
        <v>955</v>
      </c>
      <c r="S751" t="s">
        <v>956</v>
      </c>
      <c r="T751" t="s">
        <v>47</v>
      </c>
      <c r="U751" t="s">
        <v>669</v>
      </c>
      <c r="V751" t="s">
        <v>49</v>
      </c>
      <c r="W751" t="s">
        <v>670</v>
      </c>
      <c r="X751" t="s">
        <v>51</v>
      </c>
      <c r="Y751" t="s">
        <v>1188</v>
      </c>
      <c r="Z751" t="s">
        <v>1188</v>
      </c>
      <c r="AA751" t="s">
        <v>671</v>
      </c>
      <c r="AB751" s="3">
        <f t="shared" si="88"/>
        <v>2.9999999999999334</v>
      </c>
      <c r="AC751">
        <v>452.78</v>
      </c>
      <c r="AD751" s="2">
        <v>150.92666666667</v>
      </c>
      <c r="AE751" s="2">
        <v>87.12</v>
      </c>
      <c r="AF751" s="2">
        <v>3.9</v>
      </c>
      <c r="AG751" s="2">
        <v>543</v>
      </c>
      <c r="AH751">
        <v>0</v>
      </c>
      <c r="AI751">
        <v>181</v>
      </c>
      <c r="AJ751">
        <v>2.7149999999999999</v>
      </c>
      <c r="AK751" t="s">
        <v>54</v>
      </c>
      <c r="AL751">
        <v>6.52</v>
      </c>
      <c r="AM751" s="4">
        <f t="shared" si="89"/>
        <v>181.00000000000401</v>
      </c>
      <c r="AN751" s="4">
        <f t="shared" si="90"/>
        <v>282.98750000000626</v>
      </c>
      <c r="AO751" s="4">
        <f t="shared" si="91"/>
        <v>314.39911250000694</v>
      </c>
      <c r="AP751" s="4">
        <f t="shared" si="92"/>
        <v>458.41145125001015</v>
      </c>
      <c r="AQ751" s="10">
        <f t="shared" si="98"/>
        <v>314.77710000000701</v>
      </c>
      <c r="AR751" s="10">
        <f t="shared" si="99"/>
        <v>349.74883581000779</v>
      </c>
      <c r="AS751" s="10">
        <f t="shared" si="100"/>
        <v>490.0449892800109</v>
      </c>
    </row>
    <row r="752" spans="1:45" x14ac:dyDescent="0.3">
      <c r="A752">
        <v>2025</v>
      </c>
      <c r="B752">
        <v>11</v>
      </c>
      <c r="C752" t="s">
        <v>55</v>
      </c>
      <c r="D752">
        <v>10</v>
      </c>
      <c r="E752" t="s">
        <v>36</v>
      </c>
      <c r="F752" t="s">
        <v>37</v>
      </c>
      <c r="G752" t="s">
        <v>38</v>
      </c>
      <c r="H752" t="s">
        <v>83</v>
      </c>
      <c r="I752" t="s">
        <v>375</v>
      </c>
      <c r="J752" t="s">
        <v>376</v>
      </c>
      <c r="K752" t="s">
        <v>51</v>
      </c>
      <c r="L752" t="s">
        <v>1622</v>
      </c>
      <c r="M752" t="s">
        <v>1623</v>
      </c>
      <c r="N752" t="s">
        <v>1485</v>
      </c>
      <c r="O752" t="s">
        <v>1197</v>
      </c>
      <c r="Q752" t="s">
        <v>62</v>
      </c>
      <c r="R752" t="s">
        <v>1624</v>
      </c>
      <c r="S752" t="s">
        <v>1624</v>
      </c>
      <c r="T752" t="s">
        <v>47</v>
      </c>
      <c r="U752" t="s">
        <v>178</v>
      </c>
      <c r="V752" t="s">
        <v>49</v>
      </c>
      <c r="W752" t="s">
        <v>179</v>
      </c>
      <c r="X752" t="s">
        <v>51</v>
      </c>
      <c r="Y752" t="s">
        <v>1191</v>
      </c>
      <c r="Z752" t="s">
        <v>1191</v>
      </c>
      <c r="AA752" t="s">
        <v>671</v>
      </c>
      <c r="AB752" s="3">
        <f t="shared" si="88"/>
        <v>5</v>
      </c>
      <c r="AC752">
        <v>755.34</v>
      </c>
      <c r="AD752" s="2">
        <v>151.06800000000001</v>
      </c>
      <c r="AE752" s="2">
        <v>145.21</v>
      </c>
      <c r="AF752" s="2">
        <v>5.23</v>
      </c>
      <c r="AG752" s="2">
        <v>905.78</v>
      </c>
      <c r="AH752">
        <v>0</v>
      </c>
      <c r="AI752">
        <v>181.15600000000001</v>
      </c>
      <c r="AJ752">
        <v>4.5289000000000001</v>
      </c>
      <c r="AK752" t="s">
        <v>54</v>
      </c>
      <c r="AL752">
        <v>10.87</v>
      </c>
      <c r="AM752" s="4">
        <f t="shared" si="89"/>
        <v>181.15600000000001</v>
      </c>
      <c r="AN752" s="4">
        <f t="shared" si="90"/>
        <v>283.2525</v>
      </c>
      <c r="AO752" s="4">
        <f t="shared" si="91"/>
        <v>314.69352750000002</v>
      </c>
      <c r="AP752" s="4">
        <f t="shared" si="92"/>
        <v>458.84072474999999</v>
      </c>
      <c r="AQ752" s="10">
        <f t="shared" si="98"/>
        <v>315.04839960000004</v>
      </c>
      <c r="AR752" s="10">
        <f t="shared" si="99"/>
        <v>350.05027679556002</v>
      </c>
      <c r="AS752" s="10">
        <f t="shared" si="100"/>
        <v>490.46734849728006</v>
      </c>
    </row>
    <row r="753" spans="1:45" x14ac:dyDescent="0.3">
      <c r="A753">
        <v>2025</v>
      </c>
      <c r="B753">
        <v>4</v>
      </c>
      <c r="C753" t="s">
        <v>55</v>
      </c>
      <c r="D753">
        <v>10</v>
      </c>
      <c r="E753" t="s">
        <v>36</v>
      </c>
      <c r="F753" t="s">
        <v>37</v>
      </c>
      <c r="G753" t="s">
        <v>38</v>
      </c>
      <c r="H753" t="s">
        <v>83</v>
      </c>
      <c r="I753" t="s">
        <v>375</v>
      </c>
      <c r="J753" t="s">
        <v>376</v>
      </c>
      <c r="K753" t="s">
        <v>59</v>
      </c>
      <c r="M753">
        <v>2503061</v>
      </c>
      <c r="N753" t="s">
        <v>377</v>
      </c>
      <c r="O753" t="s">
        <v>36</v>
      </c>
      <c r="Q753" t="s">
        <v>62</v>
      </c>
      <c r="R753" t="s">
        <v>378</v>
      </c>
      <c r="S753" t="s">
        <v>378</v>
      </c>
      <c r="T753" t="s">
        <v>47</v>
      </c>
      <c r="U753" t="s">
        <v>178</v>
      </c>
      <c r="V753" t="s">
        <v>49</v>
      </c>
      <c r="W753" t="s">
        <v>179</v>
      </c>
      <c r="X753" t="s">
        <v>51</v>
      </c>
      <c r="Y753" t="s">
        <v>1532</v>
      </c>
      <c r="Z753" t="s">
        <v>1532</v>
      </c>
      <c r="AA753" t="s">
        <v>1750</v>
      </c>
      <c r="AB753" s="3">
        <f t="shared" si="88"/>
        <v>1</v>
      </c>
      <c r="AC753">
        <v>641.53</v>
      </c>
      <c r="AD753" s="2">
        <v>641.53</v>
      </c>
      <c r="AE753" s="2">
        <v>89.83</v>
      </c>
      <c r="AF753" s="2">
        <v>4.4400000000000004</v>
      </c>
      <c r="AG753" s="2">
        <v>735.8</v>
      </c>
      <c r="AH753">
        <v>0</v>
      </c>
      <c r="AI753">
        <v>735.8</v>
      </c>
      <c r="AJ753">
        <v>3.6789999999999998</v>
      </c>
      <c r="AK753" t="s">
        <v>54</v>
      </c>
      <c r="AL753">
        <v>4.8899999999999997</v>
      </c>
      <c r="AM753" s="4">
        <f t="shared" si="89"/>
        <v>735.8</v>
      </c>
      <c r="AN753" s="4">
        <f t="shared" si="90"/>
        <v>1202.8687499999999</v>
      </c>
      <c r="AO753" s="4">
        <f t="shared" si="91"/>
        <v>1336.3871812499999</v>
      </c>
      <c r="AP753" s="4">
        <f t="shared" si="92"/>
        <v>1948.5270881249996</v>
      </c>
      <c r="AQ753" s="10">
        <f t="shared" si="98"/>
        <v>1279.62978</v>
      </c>
      <c r="AR753" s="10">
        <f t="shared" si="99"/>
        <v>1421.796648558</v>
      </c>
      <c r="AS753" s="10">
        <f t="shared" si="100"/>
        <v>1992.1276415039999</v>
      </c>
    </row>
    <row r="754" spans="1:45" x14ac:dyDescent="0.3">
      <c r="A754">
        <v>2025</v>
      </c>
      <c r="B754">
        <v>7</v>
      </c>
      <c r="C754" t="s">
        <v>55</v>
      </c>
      <c r="D754">
        <v>10</v>
      </c>
      <c r="E754" t="s">
        <v>36</v>
      </c>
      <c r="F754" t="s">
        <v>37</v>
      </c>
      <c r="G754" t="s">
        <v>38</v>
      </c>
      <c r="H754" t="s">
        <v>83</v>
      </c>
      <c r="I754" t="s">
        <v>190</v>
      </c>
      <c r="J754" t="s">
        <v>58</v>
      </c>
      <c r="K754" t="s">
        <v>41</v>
      </c>
      <c r="L754" t="s">
        <v>953</v>
      </c>
      <c r="M754" t="s">
        <v>954</v>
      </c>
      <c r="N754" t="s">
        <v>731</v>
      </c>
      <c r="O754" t="s">
        <v>36</v>
      </c>
      <c r="Q754" t="s">
        <v>62</v>
      </c>
      <c r="R754" t="s">
        <v>955</v>
      </c>
      <c r="S754" t="s">
        <v>956</v>
      </c>
      <c r="T754" t="s">
        <v>47</v>
      </c>
      <c r="U754" t="s">
        <v>167</v>
      </c>
      <c r="V754" t="s">
        <v>49</v>
      </c>
      <c r="W754" t="s">
        <v>168</v>
      </c>
      <c r="X754" t="s">
        <v>51</v>
      </c>
      <c r="Y754" t="s">
        <v>633</v>
      </c>
      <c r="Z754" t="s">
        <v>633</v>
      </c>
      <c r="AA754" t="s">
        <v>634</v>
      </c>
      <c r="AB754" s="3">
        <f t="shared" si="88"/>
        <v>1</v>
      </c>
      <c r="AC754">
        <v>782.37</v>
      </c>
      <c r="AD754" s="2">
        <v>782.37</v>
      </c>
      <c r="AE754" s="2">
        <v>15.09</v>
      </c>
      <c r="AF754" s="2">
        <v>5.59</v>
      </c>
      <c r="AG754" s="2">
        <v>803.05</v>
      </c>
      <c r="AH754">
        <v>0</v>
      </c>
      <c r="AI754">
        <v>803.05</v>
      </c>
      <c r="AJ754">
        <v>4.01525</v>
      </c>
      <c r="AK754" t="s">
        <v>54</v>
      </c>
      <c r="AL754">
        <v>0.72</v>
      </c>
      <c r="AM754" s="4">
        <f t="shared" si="89"/>
        <v>803.05</v>
      </c>
      <c r="AN754" s="4">
        <f t="shared" si="90"/>
        <v>1466.9437499999999</v>
      </c>
      <c r="AO754" s="4">
        <f t="shared" si="91"/>
        <v>1629.7745062499998</v>
      </c>
      <c r="AP754" s="4">
        <f t="shared" si="92"/>
        <v>2376.3021806249999</v>
      </c>
      <c r="AQ754" s="10">
        <f t="shared" si="98"/>
        <v>1396.584255</v>
      </c>
      <c r="AR754" s="10">
        <f t="shared" si="99"/>
        <v>1551.7447657304999</v>
      </c>
      <c r="AS754" s="10">
        <f t="shared" si="100"/>
        <v>2174.2023681840001</v>
      </c>
    </row>
    <row r="755" spans="1:45" x14ac:dyDescent="0.3">
      <c r="A755">
        <v>2025</v>
      </c>
      <c r="B755">
        <v>7</v>
      </c>
      <c r="C755" t="s">
        <v>55</v>
      </c>
      <c r="D755">
        <v>10</v>
      </c>
      <c r="E755" t="s">
        <v>36</v>
      </c>
      <c r="F755" t="s">
        <v>37</v>
      </c>
      <c r="G755" t="s">
        <v>38</v>
      </c>
      <c r="H755" t="s">
        <v>83</v>
      </c>
      <c r="I755" t="s">
        <v>190</v>
      </c>
      <c r="J755" t="s">
        <v>58</v>
      </c>
      <c r="K755" t="s">
        <v>41</v>
      </c>
      <c r="L755" t="s">
        <v>953</v>
      </c>
      <c r="M755" t="s">
        <v>954</v>
      </c>
      <c r="N755" t="s">
        <v>731</v>
      </c>
      <c r="O755" t="s">
        <v>36</v>
      </c>
      <c r="Q755" t="s">
        <v>62</v>
      </c>
      <c r="R755" t="s">
        <v>955</v>
      </c>
      <c r="S755" t="s">
        <v>956</v>
      </c>
      <c r="T755" t="s">
        <v>47</v>
      </c>
      <c r="U755" t="s">
        <v>445</v>
      </c>
      <c r="V755" t="s">
        <v>49</v>
      </c>
      <c r="W755" t="s">
        <v>446</v>
      </c>
      <c r="X755" t="s">
        <v>51</v>
      </c>
      <c r="Y755" t="s">
        <v>1141</v>
      </c>
      <c r="Z755" t="s">
        <v>1141</v>
      </c>
      <c r="AA755" t="s">
        <v>1142</v>
      </c>
      <c r="AB755" s="3">
        <f t="shared" si="88"/>
        <v>1</v>
      </c>
      <c r="AC755">
        <v>2063.65</v>
      </c>
      <c r="AD755" s="2">
        <v>2063.65</v>
      </c>
      <c r="AE755" s="2">
        <v>29.4</v>
      </c>
      <c r="AF755" s="2">
        <v>14.61</v>
      </c>
      <c r="AG755" s="2">
        <v>2107.29</v>
      </c>
      <c r="AH755">
        <v>0</v>
      </c>
      <c r="AI755">
        <v>2107.29</v>
      </c>
      <c r="AJ755">
        <v>10.53645</v>
      </c>
      <c r="AK755" t="s">
        <v>54</v>
      </c>
      <c r="AL755">
        <v>2.17</v>
      </c>
      <c r="AM755" s="4">
        <f t="shared" si="89"/>
        <v>2107.29</v>
      </c>
      <c r="AN755" s="4">
        <f t="shared" si="90"/>
        <v>3869.34375</v>
      </c>
      <c r="AO755" s="4">
        <f t="shared" si="91"/>
        <v>4298.8409062499995</v>
      </c>
      <c r="AP755" s="4">
        <f t="shared" si="92"/>
        <v>6267.9499406249997</v>
      </c>
      <c r="AQ755" s="10">
        <f t="shared" si="98"/>
        <v>3664.788039</v>
      </c>
      <c r="AR755" s="10">
        <f t="shared" si="99"/>
        <v>4071.9459901329001</v>
      </c>
      <c r="AS755" s="10">
        <f t="shared" si="100"/>
        <v>5705.3420191151999</v>
      </c>
    </row>
    <row r="756" spans="1:45" x14ac:dyDescent="0.3">
      <c r="A756">
        <v>2025</v>
      </c>
      <c r="B756">
        <v>6</v>
      </c>
      <c r="C756" t="s">
        <v>55</v>
      </c>
      <c r="D756">
        <v>10</v>
      </c>
      <c r="E756" t="s">
        <v>36</v>
      </c>
      <c r="F756" t="s">
        <v>37</v>
      </c>
      <c r="G756" t="s">
        <v>38</v>
      </c>
      <c r="H756" t="s">
        <v>101</v>
      </c>
      <c r="I756" t="s">
        <v>190</v>
      </c>
      <c r="J756" t="s">
        <v>58</v>
      </c>
      <c r="K756" t="s">
        <v>59</v>
      </c>
      <c r="M756" t="s">
        <v>730</v>
      </c>
      <c r="N756" t="s">
        <v>731</v>
      </c>
      <c r="O756" t="s">
        <v>36</v>
      </c>
      <c r="Q756" t="s">
        <v>62</v>
      </c>
      <c r="R756" t="s">
        <v>732</v>
      </c>
      <c r="S756" t="s">
        <v>732</v>
      </c>
      <c r="T756" t="s">
        <v>47</v>
      </c>
      <c r="U756" t="s">
        <v>230</v>
      </c>
      <c r="V756" t="s">
        <v>49</v>
      </c>
      <c r="W756" t="s">
        <v>231</v>
      </c>
      <c r="X756" t="s">
        <v>686</v>
      </c>
      <c r="Y756" t="s">
        <v>1032</v>
      </c>
      <c r="Z756" t="s">
        <v>1032</v>
      </c>
      <c r="AA756" t="s">
        <v>1033</v>
      </c>
      <c r="AB756" s="3">
        <f t="shared" si="88"/>
        <v>1</v>
      </c>
      <c r="AC756">
        <v>7459.91</v>
      </c>
      <c r="AD756" s="2">
        <v>7459.91</v>
      </c>
      <c r="AE756" s="2">
        <v>29.1</v>
      </c>
      <c r="AF756" s="2">
        <v>52.86</v>
      </c>
      <c r="AG756" s="2">
        <v>7541.87</v>
      </c>
      <c r="AH756">
        <v>0</v>
      </c>
      <c r="AI756">
        <v>7541.87</v>
      </c>
      <c r="AJ756">
        <v>37.709350000000001</v>
      </c>
      <c r="AK756" t="s">
        <v>54</v>
      </c>
      <c r="AL756">
        <v>2.1800000000000002</v>
      </c>
      <c r="AM756" s="4">
        <f t="shared" si="89"/>
        <v>7541.87</v>
      </c>
      <c r="AN756" s="4">
        <f t="shared" si="90"/>
        <v>13987.331249999999</v>
      </c>
      <c r="AO756" s="4">
        <f t="shared" si="91"/>
        <v>15539.925018749998</v>
      </c>
      <c r="AP756" s="4">
        <f t="shared" si="92"/>
        <v>22658.077891874997</v>
      </c>
      <c r="AQ756" s="10">
        <f t="shared" si="98"/>
        <v>13116.066117</v>
      </c>
      <c r="AR756" s="10">
        <f t="shared" si="99"/>
        <v>14573.2610625987</v>
      </c>
      <c r="AS756" s="10">
        <f t="shared" si="100"/>
        <v>20419.091730945602</v>
      </c>
    </row>
    <row r="757" spans="1:45" x14ac:dyDescent="0.3">
      <c r="A757">
        <v>2025</v>
      </c>
      <c r="B757">
        <v>6</v>
      </c>
      <c r="C757" t="s">
        <v>55</v>
      </c>
      <c r="D757">
        <v>10</v>
      </c>
      <c r="E757" t="s">
        <v>36</v>
      </c>
      <c r="F757" t="s">
        <v>37</v>
      </c>
      <c r="G757" t="s">
        <v>38</v>
      </c>
      <c r="H757" t="s">
        <v>39</v>
      </c>
      <c r="I757" t="s">
        <v>190</v>
      </c>
      <c r="J757" t="s">
        <v>58</v>
      </c>
      <c r="K757" t="s">
        <v>59</v>
      </c>
      <c r="M757" t="s">
        <v>730</v>
      </c>
      <c r="N757" t="s">
        <v>731</v>
      </c>
      <c r="O757" t="s">
        <v>36</v>
      </c>
      <c r="Q757" t="s">
        <v>62</v>
      </c>
      <c r="R757" t="s">
        <v>732</v>
      </c>
      <c r="S757" t="s">
        <v>732</v>
      </c>
      <c r="T757" t="s">
        <v>47</v>
      </c>
      <c r="U757" t="s">
        <v>428</v>
      </c>
      <c r="V757" t="s">
        <v>49</v>
      </c>
      <c r="W757" t="s">
        <v>425</v>
      </c>
      <c r="X757" t="s">
        <v>686</v>
      </c>
      <c r="Y757" t="s">
        <v>417</v>
      </c>
      <c r="Z757" t="s">
        <v>417</v>
      </c>
      <c r="AA757" t="s">
        <v>752</v>
      </c>
      <c r="AB757" s="3">
        <f t="shared" si="88"/>
        <v>20.000000000000004</v>
      </c>
      <c r="AC757">
        <v>98.15</v>
      </c>
      <c r="AD757" s="2">
        <v>4.9074999999999998</v>
      </c>
      <c r="AE757" s="2">
        <v>20.75</v>
      </c>
      <c r="AF757" s="2">
        <v>0.73</v>
      </c>
      <c r="AG757" s="2">
        <v>119.63</v>
      </c>
      <c r="AH757">
        <v>0</v>
      </c>
      <c r="AI757">
        <v>5.9814999999999996</v>
      </c>
      <c r="AJ757">
        <v>0.59814999999999996</v>
      </c>
      <c r="AK757" t="s">
        <v>54</v>
      </c>
      <c r="AL757">
        <v>0.71</v>
      </c>
      <c r="AM757" s="4">
        <f t="shared" si="89"/>
        <v>5.9814999999999987</v>
      </c>
      <c r="AN757" s="4">
        <f t="shared" si="90"/>
        <v>9.2015624999999996</v>
      </c>
      <c r="AO757" s="4">
        <f t="shared" si="91"/>
        <v>10.222935937499999</v>
      </c>
      <c r="AP757" s="4">
        <f t="shared" si="92"/>
        <v>14.905611093749998</v>
      </c>
      <c r="AQ757" s="10">
        <f t="shared" si="98"/>
        <v>10.402426649999999</v>
      </c>
      <c r="AR757" s="10">
        <f t="shared" si="99"/>
        <v>11.558136250814998</v>
      </c>
      <c r="AS757" s="10">
        <f t="shared" si="100"/>
        <v>16.194497808719998</v>
      </c>
    </row>
    <row r="758" spans="1:45" x14ac:dyDescent="0.3">
      <c r="A758">
        <v>2025</v>
      </c>
      <c r="B758">
        <v>4</v>
      </c>
      <c r="C758" t="s">
        <v>55</v>
      </c>
      <c r="D758">
        <v>10</v>
      </c>
      <c r="E758" t="s">
        <v>36</v>
      </c>
      <c r="F758" t="s">
        <v>37</v>
      </c>
      <c r="G758" t="s">
        <v>38</v>
      </c>
      <c r="H758" t="s">
        <v>101</v>
      </c>
      <c r="I758" t="s">
        <v>375</v>
      </c>
      <c r="J758" t="s">
        <v>376</v>
      </c>
      <c r="K758" t="s">
        <v>59</v>
      </c>
      <c r="M758">
        <v>2503061</v>
      </c>
      <c r="N758" t="s">
        <v>377</v>
      </c>
      <c r="O758" t="s">
        <v>36</v>
      </c>
      <c r="Q758" t="s">
        <v>62</v>
      </c>
      <c r="R758" t="s">
        <v>378</v>
      </c>
      <c r="S758" t="s">
        <v>378</v>
      </c>
      <c r="T758" t="s">
        <v>47</v>
      </c>
      <c r="U758" t="s">
        <v>230</v>
      </c>
      <c r="V758" t="s">
        <v>49</v>
      </c>
      <c r="W758" t="s">
        <v>231</v>
      </c>
      <c r="X758" t="s">
        <v>51</v>
      </c>
      <c r="Y758" t="s">
        <v>768</v>
      </c>
      <c r="Z758" t="s">
        <v>768</v>
      </c>
      <c r="AA758" t="s">
        <v>769</v>
      </c>
      <c r="AB758" s="3">
        <f t="shared" si="88"/>
        <v>0.96999999999999775</v>
      </c>
      <c r="AC758">
        <v>95.56</v>
      </c>
      <c r="AD758" s="2">
        <v>98.515463917526006</v>
      </c>
      <c r="AE758" s="2">
        <v>20.2</v>
      </c>
      <c r="AF758" s="2">
        <v>0.71</v>
      </c>
      <c r="AG758" s="2">
        <v>116.47</v>
      </c>
      <c r="AH758">
        <v>0</v>
      </c>
      <c r="AI758">
        <v>120.07216494844999</v>
      </c>
      <c r="AJ758">
        <v>0.58235000000000003</v>
      </c>
      <c r="AK758" t="s">
        <v>54</v>
      </c>
      <c r="AL758">
        <v>0.69</v>
      </c>
      <c r="AM758" s="4">
        <f t="shared" si="89"/>
        <v>120.07216494845389</v>
      </c>
      <c r="AN758" s="4">
        <f t="shared" si="90"/>
        <v>184.71649484536127</v>
      </c>
      <c r="AO758" s="4">
        <f t="shared" si="91"/>
        <v>205.22002577319637</v>
      </c>
      <c r="AP758" s="4">
        <f t="shared" si="92"/>
        <v>299.22225000000071</v>
      </c>
      <c r="AQ758" s="10">
        <f t="shared" si="98"/>
        <v>208.81750206185617</v>
      </c>
      <c r="AR758" s="10">
        <f t="shared" si="99"/>
        <v>232.01712654092839</v>
      </c>
      <c r="AS758" s="10">
        <f t="shared" si="100"/>
        <v>325.08708720989767</v>
      </c>
    </row>
    <row r="759" spans="1:45" x14ac:dyDescent="0.3">
      <c r="A759">
        <v>2025</v>
      </c>
      <c r="B759">
        <v>11</v>
      </c>
      <c r="C759" t="s">
        <v>55</v>
      </c>
      <c r="D759">
        <v>10</v>
      </c>
      <c r="E759" t="s">
        <v>36</v>
      </c>
      <c r="F759" t="s">
        <v>37</v>
      </c>
      <c r="G759" t="s">
        <v>38</v>
      </c>
      <c r="H759" t="s">
        <v>83</v>
      </c>
      <c r="I759" t="s">
        <v>375</v>
      </c>
      <c r="J759" t="s">
        <v>376</v>
      </c>
      <c r="K759" t="s">
        <v>51</v>
      </c>
      <c r="L759" t="s">
        <v>1622</v>
      </c>
      <c r="M759" t="s">
        <v>1623</v>
      </c>
      <c r="N759" t="s">
        <v>1485</v>
      </c>
      <c r="O759" t="s">
        <v>1197</v>
      </c>
      <c r="Q759" t="s">
        <v>62</v>
      </c>
      <c r="R759" t="s">
        <v>1624</v>
      </c>
      <c r="S759" t="s">
        <v>1624</v>
      </c>
      <c r="T759" t="s">
        <v>47</v>
      </c>
      <c r="U759" t="s">
        <v>230</v>
      </c>
      <c r="V759" t="s">
        <v>49</v>
      </c>
      <c r="W759" t="s">
        <v>231</v>
      </c>
      <c r="X759" t="s">
        <v>51</v>
      </c>
      <c r="Y759" t="s">
        <v>417</v>
      </c>
      <c r="Z759" t="s">
        <v>417</v>
      </c>
      <c r="AA759" t="s">
        <v>418</v>
      </c>
      <c r="AB759" s="3">
        <f t="shared" si="88"/>
        <v>20</v>
      </c>
      <c r="AC759">
        <v>160.5</v>
      </c>
      <c r="AD759" s="2">
        <v>8.0250000000000004</v>
      </c>
      <c r="AE759" s="2">
        <v>301.74</v>
      </c>
      <c r="AF759" s="2">
        <v>0.87</v>
      </c>
      <c r="AG759" s="2">
        <v>463.11</v>
      </c>
      <c r="AH759">
        <v>0</v>
      </c>
      <c r="AI759">
        <v>23.1555</v>
      </c>
      <c r="AJ759">
        <v>2.31555</v>
      </c>
      <c r="AK759" t="s">
        <v>54</v>
      </c>
      <c r="AL759">
        <v>14.4</v>
      </c>
      <c r="AM759" s="4">
        <f t="shared" si="89"/>
        <v>23.1555</v>
      </c>
      <c r="AN759" s="4">
        <f t="shared" si="90"/>
        <v>15.046875</v>
      </c>
      <c r="AO759" s="4">
        <f t="shared" si="91"/>
        <v>16.717078125</v>
      </c>
      <c r="AP759" s="4">
        <f t="shared" si="92"/>
        <v>24.374432812499997</v>
      </c>
      <c r="AQ759" s="10">
        <f t="shared" si="98"/>
        <v>40.26973005</v>
      </c>
      <c r="AR759" s="10">
        <f t="shared" si="99"/>
        <v>44.743697058555</v>
      </c>
      <c r="AS759" s="10">
        <f t="shared" si="100"/>
        <v>62.691915741839999</v>
      </c>
    </row>
    <row r="760" spans="1:45" x14ac:dyDescent="0.3">
      <c r="A760">
        <v>2025</v>
      </c>
      <c r="B760">
        <v>12</v>
      </c>
      <c r="C760" t="s">
        <v>55</v>
      </c>
      <c r="D760">
        <v>10</v>
      </c>
      <c r="E760" t="s">
        <v>36</v>
      </c>
      <c r="F760" t="s">
        <v>37</v>
      </c>
      <c r="G760" t="s">
        <v>38</v>
      </c>
      <c r="H760" t="s">
        <v>83</v>
      </c>
      <c r="I760" t="s">
        <v>57</v>
      </c>
      <c r="J760" t="s">
        <v>58</v>
      </c>
      <c r="K760" t="s">
        <v>59</v>
      </c>
      <c r="L760" t="s">
        <v>1769</v>
      </c>
      <c r="M760" t="s">
        <v>1770</v>
      </c>
      <c r="N760" t="s">
        <v>1771</v>
      </c>
      <c r="O760" t="s">
        <v>1197</v>
      </c>
      <c r="Q760" t="s">
        <v>62</v>
      </c>
      <c r="R760" t="s">
        <v>1772</v>
      </c>
      <c r="S760" t="s">
        <v>1772</v>
      </c>
      <c r="T760" t="s">
        <v>47</v>
      </c>
      <c r="U760" t="s">
        <v>230</v>
      </c>
      <c r="V760" t="s">
        <v>49</v>
      </c>
      <c r="W760" t="s">
        <v>231</v>
      </c>
      <c r="X760" t="s">
        <v>51</v>
      </c>
      <c r="Y760" t="s">
        <v>1645</v>
      </c>
      <c r="Z760" t="s">
        <v>1645</v>
      </c>
      <c r="AA760" t="s">
        <v>418</v>
      </c>
      <c r="AB760" s="3">
        <f t="shared" si="88"/>
        <v>19.999999999999996</v>
      </c>
      <c r="AC760">
        <v>99.57</v>
      </c>
      <c r="AD760" s="2">
        <v>4.9785000000000004</v>
      </c>
      <c r="AE760" s="2">
        <v>13.94</v>
      </c>
      <c r="AF760" s="2">
        <v>0.69</v>
      </c>
      <c r="AG760" s="2">
        <v>114.2</v>
      </c>
      <c r="AH760">
        <v>0</v>
      </c>
      <c r="AI760">
        <v>5.71</v>
      </c>
      <c r="AJ760">
        <v>0.57099999999999995</v>
      </c>
      <c r="AK760" t="s">
        <v>54</v>
      </c>
      <c r="AL760">
        <v>0.76</v>
      </c>
      <c r="AM760" s="4">
        <f t="shared" si="89"/>
        <v>5.7100000000000009</v>
      </c>
      <c r="AN760" s="4">
        <f t="shared" si="90"/>
        <v>9.3346875000000011</v>
      </c>
      <c r="AO760" s="4">
        <f t="shared" si="91"/>
        <v>10.370837812500001</v>
      </c>
      <c r="AP760" s="4">
        <f t="shared" si="92"/>
        <v>15.121260281250001</v>
      </c>
      <c r="AQ760" s="10">
        <f t="shared" si="98"/>
        <v>9.9302610000000016</v>
      </c>
      <c r="AR760" s="10">
        <f t="shared" si="99"/>
        <v>11.033512997100001</v>
      </c>
      <c r="AS760" s="10">
        <f t="shared" si="100"/>
        <v>15.459430324800001</v>
      </c>
    </row>
    <row r="761" spans="1:45" x14ac:dyDescent="0.3">
      <c r="A761">
        <v>2025</v>
      </c>
      <c r="B761">
        <v>6</v>
      </c>
      <c r="C761" t="s">
        <v>55</v>
      </c>
      <c r="D761">
        <v>10</v>
      </c>
      <c r="E761" t="s">
        <v>36</v>
      </c>
      <c r="F761" t="s">
        <v>37</v>
      </c>
      <c r="G761" t="s">
        <v>38</v>
      </c>
      <c r="H761" t="s">
        <v>801</v>
      </c>
      <c r="I761" t="s">
        <v>190</v>
      </c>
      <c r="J761" t="s">
        <v>58</v>
      </c>
      <c r="K761" t="s">
        <v>59</v>
      </c>
      <c r="M761" t="s">
        <v>730</v>
      </c>
      <c r="N761" t="s">
        <v>731</v>
      </c>
      <c r="O761" t="s">
        <v>36</v>
      </c>
      <c r="Q761" t="s">
        <v>62</v>
      </c>
      <c r="R761" t="s">
        <v>732</v>
      </c>
      <c r="S761" t="s">
        <v>732</v>
      </c>
      <c r="T761" t="s">
        <v>47</v>
      </c>
      <c r="U761" t="s">
        <v>464</v>
      </c>
      <c r="V761" t="s">
        <v>49</v>
      </c>
      <c r="W761" t="s">
        <v>802</v>
      </c>
      <c r="X761" t="s">
        <v>686</v>
      </c>
      <c r="Y761" t="s">
        <v>1248</v>
      </c>
      <c r="Z761" t="s">
        <v>1248</v>
      </c>
      <c r="AA761" t="s">
        <v>418</v>
      </c>
      <c r="AB761" s="3">
        <f t="shared" si="88"/>
        <v>20.000000000000004</v>
      </c>
      <c r="AC761">
        <v>104.15</v>
      </c>
      <c r="AD761" s="2">
        <v>5.2074999999999996</v>
      </c>
      <c r="AE761" s="2">
        <v>30.92</v>
      </c>
      <c r="AF761" s="2">
        <v>0.78</v>
      </c>
      <c r="AG761" s="2">
        <v>135.85</v>
      </c>
      <c r="AH761">
        <v>0</v>
      </c>
      <c r="AI761">
        <v>6.7925000000000004</v>
      </c>
      <c r="AJ761">
        <v>0.67925000000000002</v>
      </c>
      <c r="AK761" t="s">
        <v>54</v>
      </c>
      <c r="AL761">
        <v>0.77</v>
      </c>
      <c r="AM761" s="4">
        <f t="shared" si="89"/>
        <v>6.7924999999999986</v>
      </c>
      <c r="AN761" s="4">
        <f t="shared" si="90"/>
        <v>9.7640624999999996</v>
      </c>
      <c r="AO761" s="4">
        <f t="shared" si="91"/>
        <v>10.847873437499999</v>
      </c>
      <c r="AP761" s="4">
        <f t="shared" si="92"/>
        <v>15.816804843749999</v>
      </c>
      <c r="AQ761" s="10">
        <f t="shared" si="98"/>
        <v>11.812836749999999</v>
      </c>
      <c r="AR761" s="10">
        <f t="shared" si="99"/>
        <v>13.125242912924998</v>
      </c>
      <c r="AS761" s="10">
        <f t="shared" si="100"/>
        <v>18.390224252399999</v>
      </c>
    </row>
    <row r="762" spans="1:45" x14ac:dyDescent="0.3">
      <c r="A762">
        <v>2025</v>
      </c>
      <c r="B762">
        <v>4</v>
      </c>
      <c r="C762" t="s">
        <v>55</v>
      </c>
      <c r="D762">
        <v>10</v>
      </c>
      <c r="E762" t="s">
        <v>36</v>
      </c>
      <c r="F762" t="s">
        <v>37</v>
      </c>
      <c r="G762" t="s">
        <v>38</v>
      </c>
      <c r="H762" t="s">
        <v>101</v>
      </c>
      <c r="I762" t="s">
        <v>375</v>
      </c>
      <c r="J762" t="s">
        <v>376</v>
      </c>
      <c r="K762" t="s">
        <v>59</v>
      </c>
      <c r="M762">
        <v>2503061</v>
      </c>
      <c r="N762" t="s">
        <v>377</v>
      </c>
      <c r="O762" t="s">
        <v>36</v>
      </c>
      <c r="Q762" t="s">
        <v>62</v>
      </c>
      <c r="R762" t="s">
        <v>378</v>
      </c>
      <c r="S762" t="s">
        <v>378</v>
      </c>
      <c r="T762" t="s">
        <v>47</v>
      </c>
      <c r="U762" t="s">
        <v>178</v>
      </c>
      <c r="V762" t="s">
        <v>49</v>
      </c>
      <c r="W762" t="s">
        <v>179</v>
      </c>
      <c r="X762" t="s">
        <v>51</v>
      </c>
      <c r="Y762" t="s">
        <v>803</v>
      </c>
      <c r="Z762" t="s">
        <v>803</v>
      </c>
      <c r="AA762" t="s">
        <v>804</v>
      </c>
      <c r="AB762" s="3">
        <f t="shared" si="88"/>
        <v>1</v>
      </c>
      <c r="AC762">
        <v>3133.1</v>
      </c>
      <c r="AD762" s="2">
        <v>3133.1</v>
      </c>
      <c r="AE762" s="2">
        <v>662.45</v>
      </c>
      <c r="AF762" s="2">
        <v>23.18</v>
      </c>
      <c r="AG762" s="2">
        <v>3818.73</v>
      </c>
      <c r="AH762">
        <v>0</v>
      </c>
      <c r="AI762">
        <v>3818.73</v>
      </c>
      <c r="AJ762">
        <v>19.09365</v>
      </c>
      <c r="AK762" t="s">
        <v>54</v>
      </c>
      <c r="AL762">
        <v>22.64</v>
      </c>
      <c r="AM762" s="4">
        <f t="shared" si="89"/>
        <v>3818.73</v>
      </c>
      <c r="AN762" s="4">
        <f t="shared" si="90"/>
        <v>5874.5625</v>
      </c>
      <c r="AO762" s="4">
        <f t="shared" si="91"/>
        <v>6526.6389374999999</v>
      </c>
      <c r="AP762" s="4">
        <f t="shared" si="92"/>
        <v>9516.203793749999</v>
      </c>
      <c r="AQ762" s="10">
        <f t="shared" si="98"/>
        <v>6641.1533429999999</v>
      </c>
      <c r="AR762" s="10">
        <f t="shared" si="99"/>
        <v>7378.9854794072999</v>
      </c>
      <c r="AS762" s="10">
        <f t="shared" si="100"/>
        <v>10338.9475243824</v>
      </c>
    </row>
    <row r="763" spans="1:45" x14ac:dyDescent="0.3">
      <c r="A763">
        <v>2025</v>
      </c>
      <c r="B763">
        <v>4</v>
      </c>
      <c r="C763" t="s">
        <v>55</v>
      </c>
      <c r="D763">
        <v>10</v>
      </c>
      <c r="E763" t="s">
        <v>36</v>
      </c>
      <c r="F763" t="s">
        <v>37</v>
      </c>
      <c r="G763" t="s">
        <v>38</v>
      </c>
      <c r="H763" t="s">
        <v>83</v>
      </c>
      <c r="I763" t="s">
        <v>190</v>
      </c>
      <c r="J763" t="s">
        <v>58</v>
      </c>
      <c r="K763" t="s">
        <v>59</v>
      </c>
      <c r="M763" t="s">
        <v>383</v>
      </c>
      <c r="N763" t="s">
        <v>384</v>
      </c>
      <c r="O763" t="s">
        <v>36</v>
      </c>
      <c r="Q763" t="s">
        <v>62</v>
      </c>
      <c r="R763" t="s">
        <v>385</v>
      </c>
      <c r="S763" t="s">
        <v>385</v>
      </c>
      <c r="T763" t="s">
        <v>47</v>
      </c>
      <c r="U763" t="s">
        <v>247</v>
      </c>
      <c r="V763" t="s">
        <v>49</v>
      </c>
      <c r="W763" t="s">
        <v>248</v>
      </c>
      <c r="X763" t="s">
        <v>388</v>
      </c>
      <c r="Y763" t="s">
        <v>635</v>
      </c>
      <c r="Z763" t="s">
        <v>635</v>
      </c>
      <c r="AA763" t="s">
        <v>636</v>
      </c>
      <c r="AB763" s="3">
        <f t="shared" si="88"/>
        <v>2</v>
      </c>
      <c r="AC763">
        <v>244.25</v>
      </c>
      <c r="AD763" s="2">
        <v>122.125</v>
      </c>
      <c r="AE763" s="2">
        <v>30.17</v>
      </c>
      <c r="AF763" s="2">
        <v>1.72</v>
      </c>
      <c r="AG763" s="2">
        <v>276.14999999999998</v>
      </c>
      <c r="AH763">
        <v>0</v>
      </c>
      <c r="AI763">
        <v>138.07499999999999</v>
      </c>
      <c r="AJ763">
        <v>1.3807499999999999</v>
      </c>
      <c r="AK763" t="s">
        <v>54</v>
      </c>
      <c r="AL763">
        <v>1.44</v>
      </c>
      <c r="AM763" s="4">
        <f t="shared" si="89"/>
        <v>138.07499999999999</v>
      </c>
      <c r="AN763" s="4">
        <f t="shared" si="90"/>
        <v>228.984375</v>
      </c>
      <c r="AO763" s="4">
        <f t="shared" si="91"/>
        <v>254.401640625</v>
      </c>
      <c r="AP763" s="4">
        <f t="shared" si="92"/>
        <v>370.9317890625</v>
      </c>
      <c r="AQ763" s="10">
        <f t="shared" si="98"/>
        <v>240.12623249999999</v>
      </c>
      <c r="AR763" s="10">
        <f t="shared" si="99"/>
        <v>266.80425693075</v>
      </c>
      <c r="AS763" s="10">
        <f t="shared" si="100"/>
        <v>373.82851875599999</v>
      </c>
    </row>
    <row r="764" spans="1:45" x14ac:dyDescent="0.3">
      <c r="A764">
        <v>2025</v>
      </c>
      <c r="B764">
        <v>4</v>
      </c>
      <c r="C764" t="s">
        <v>55</v>
      </c>
      <c r="D764">
        <v>10</v>
      </c>
      <c r="E764" t="s">
        <v>36</v>
      </c>
      <c r="F764" t="s">
        <v>37</v>
      </c>
      <c r="G764" t="s">
        <v>38</v>
      </c>
      <c r="H764" t="s">
        <v>83</v>
      </c>
      <c r="I764" t="s">
        <v>190</v>
      </c>
      <c r="J764" t="s">
        <v>58</v>
      </c>
      <c r="K764" t="s">
        <v>59</v>
      </c>
      <c r="M764" t="s">
        <v>383</v>
      </c>
      <c r="N764" t="s">
        <v>384</v>
      </c>
      <c r="O764" t="s">
        <v>36</v>
      </c>
      <c r="Q764" t="s">
        <v>62</v>
      </c>
      <c r="R764" t="s">
        <v>385</v>
      </c>
      <c r="S764" t="s">
        <v>385</v>
      </c>
      <c r="T764" t="s">
        <v>47</v>
      </c>
      <c r="U764" t="s">
        <v>559</v>
      </c>
      <c r="V764" t="s">
        <v>49</v>
      </c>
      <c r="W764" t="s">
        <v>560</v>
      </c>
      <c r="X764" t="s">
        <v>388</v>
      </c>
      <c r="Y764" t="s">
        <v>437</v>
      </c>
      <c r="Z764" t="s">
        <v>437</v>
      </c>
      <c r="AA764" t="s">
        <v>438</v>
      </c>
      <c r="AB764" s="3">
        <f t="shared" si="88"/>
        <v>1.3599999999999914</v>
      </c>
      <c r="AC764">
        <v>8.82</v>
      </c>
      <c r="AD764" s="2">
        <v>6.4852941176470997</v>
      </c>
      <c r="AE764" s="2">
        <v>15.32</v>
      </c>
      <c r="AF764" s="2">
        <v>0.02</v>
      </c>
      <c r="AG764" s="2">
        <v>24.16</v>
      </c>
      <c r="AH764">
        <v>0</v>
      </c>
      <c r="AI764">
        <v>17.764705882352999</v>
      </c>
      <c r="AJ764">
        <v>0.1208</v>
      </c>
      <c r="AK764" t="s">
        <v>54</v>
      </c>
      <c r="AL764">
        <v>0.78</v>
      </c>
      <c r="AM764" s="4">
        <f t="shared" si="89"/>
        <v>17.764705882353052</v>
      </c>
      <c r="AN764" s="4">
        <f t="shared" si="90"/>
        <v>12.159926470588312</v>
      </c>
      <c r="AO764" s="4">
        <f t="shared" si="91"/>
        <v>13.509678308823615</v>
      </c>
      <c r="AP764" s="4">
        <f t="shared" si="92"/>
        <v>19.697864889706004</v>
      </c>
      <c r="AQ764" s="10">
        <f t="shared" si="98"/>
        <v>30.894600000000196</v>
      </c>
      <c r="AR764" s="10">
        <f t="shared" si="99"/>
        <v>34.32699006000022</v>
      </c>
      <c r="AS764" s="10">
        <f t="shared" si="100"/>
        <v>48.096713280000301</v>
      </c>
    </row>
    <row r="765" spans="1:45" x14ac:dyDescent="0.3">
      <c r="A765">
        <v>2025</v>
      </c>
      <c r="B765">
        <v>6</v>
      </c>
      <c r="C765" t="s">
        <v>55</v>
      </c>
      <c r="D765">
        <v>10</v>
      </c>
      <c r="E765" t="s">
        <v>36</v>
      </c>
      <c r="F765" t="s">
        <v>37</v>
      </c>
      <c r="G765" t="s">
        <v>38</v>
      </c>
      <c r="H765" t="s">
        <v>735</v>
      </c>
      <c r="I765" t="s">
        <v>190</v>
      </c>
      <c r="J765" t="s">
        <v>58</v>
      </c>
      <c r="K765" t="s">
        <v>59</v>
      </c>
      <c r="M765" t="s">
        <v>730</v>
      </c>
      <c r="N765" t="s">
        <v>731</v>
      </c>
      <c r="O765" t="s">
        <v>36</v>
      </c>
      <c r="Q765" t="s">
        <v>62</v>
      </c>
      <c r="R765" t="s">
        <v>732</v>
      </c>
      <c r="S765" t="s">
        <v>732</v>
      </c>
      <c r="T765" t="s">
        <v>47</v>
      </c>
      <c r="U765" t="s">
        <v>72</v>
      </c>
      <c r="V765" t="s">
        <v>49</v>
      </c>
      <c r="W765" t="s">
        <v>73</v>
      </c>
      <c r="X765" t="s">
        <v>686</v>
      </c>
      <c r="Y765" t="s">
        <v>342</v>
      </c>
      <c r="Z765" t="s">
        <v>342</v>
      </c>
      <c r="AA765" t="s">
        <v>563</v>
      </c>
      <c r="AB765" s="3">
        <f t="shared" si="88"/>
        <v>1</v>
      </c>
      <c r="AC765">
        <v>52.78</v>
      </c>
      <c r="AD765" s="2">
        <v>52.78</v>
      </c>
      <c r="AE765" s="2">
        <v>15.32</v>
      </c>
      <c r="AF765" s="2">
        <v>0.33</v>
      </c>
      <c r="AG765" s="2">
        <v>68.430000000000007</v>
      </c>
      <c r="AH765">
        <v>0</v>
      </c>
      <c r="AI765">
        <v>68.430000000000007</v>
      </c>
      <c r="AJ765">
        <v>0.34215000000000001</v>
      </c>
      <c r="AK765" t="s">
        <v>54</v>
      </c>
      <c r="AL765">
        <v>0.78</v>
      </c>
      <c r="AM765" s="4">
        <f t="shared" si="89"/>
        <v>68.430000000000007</v>
      </c>
      <c r="AN765" s="4">
        <f t="shared" si="90"/>
        <v>98.962500000000006</v>
      </c>
      <c r="AO765" s="4">
        <f t="shared" si="91"/>
        <v>109.9473375</v>
      </c>
      <c r="AP765" s="4">
        <f t="shared" si="92"/>
        <v>160.30935374999999</v>
      </c>
      <c r="AQ765" s="10">
        <f t="shared" si="98"/>
        <v>119.00661300000002</v>
      </c>
      <c r="AR765" s="10">
        <f t="shared" si="99"/>
        <v>132.2282477043</v>
      </c>
      <c r="AS765" s="10">
        <f t="shared" si="100"/>
        <v>185.26949511840002</v>
      </c>
    </row>
    <row r="766" spans="1:45" x14ac:dyDescent="0.3">
      <c r="A766">
        <v>2025</v>
      </c>
      <c r="B766">
        <v>7</v>
      </c>
      <c r="C766" t="s">
        <v>55</v>
      </c>
      <c r="D766">
        <v>10</v>
      </c>
      <c r="E766" t="s">
        <v>36</v>
      </c>
      <c r="F766" t="s">
        <v>37</v>
      </c>
      <c r="G766" t="s">
        <v>38</v>
      </c>
      <c r="H766" t="s">
        <v>735</v>
      </c>
      <c r="I766" t="s">
        <v>190</v>
      </c>
      <c r="J766" t="s">
        <v>58</v>
      </c>
      <c r="K766" t="s">
        <v>41</v>
      </c>
      <c r="L766" t="s">
        <v>953</v>
      </c>
      <c r="M766" t="s">
        <v>954</v>
      </c>
      <c r="N766" t="s">
        <v>731</v>
      </c>
      <c r="O766" t="s">
        <v>36</v>
      </c>
      <c r="Q766" t="s">
        <v>62</v>
      </c>
      <c r="R766" t="s">
        <v>955</v>
      </c>
      <c r="S766" t="s">
        <v>956</v>
      </c>
      <c r="T766" t="s">
        <v>47</v>
      </c>
      <c r="U766" t="s">
        <v>72</v>
      </c>
      <c r="V766" t="s">
        <v>49</v>
      </c>
      <c r="W766" t="s">
        <v>73</v>
      </c>
      <c r="X766" t="s">
        <v>51</v>
      </c>
      <c r="Y766" t="s">
        <v>736</v>
      </c>
      <c r="Z766" t="s">
        <v>736</v>
      </c>
      <c r="AA766" t="s">
        <v>737</v>
      </c>
      <c r="AB766" s="3">
        <f t="shared" si="88"/>
        <v>2.3400000000000074</v>
      </c>
      <c r="AC766">
        <v>231.25</v>
      </c>
      <c r="AD766" s="2">
        <v>98.824786324786004</v>
      </c>
      <c r="AE766" s="2">
        <v>48.89</v>
      </c>
      <c r="AF766" s="2">
        <v>1.71</v>
      </c>
      <c r="AG766" s="2">
        <v>281.85000000000002</v>
      </c>
      <c r="AH766">
        <v>0</v>
      </c>
      <c r="AI766">
        <v>120.44871794872</v>
      </c>
      <c r="AJ766">
        <v>1.4092499999999999</v>
      </c>
      <c r="AK766" t="s">
        <v>54</v>
      </c>
      <c r="AL766">
        <v>1.67</v>
      </c>
      <c r="AM766" s="4">
        <f t="shared" si="89"/>
        <v>120.44871794871757</v>
      </c>
      <c r="AN766" s="4">
        <f t="shared" si="90"/>
        <v>185.29647435897377</v>
      </c>
      <c r="AO766" s="4">
        <f t="shared" si="91"/>
        <v>205.86438301281984</v>
      </c>
      <c r="AP766" s="4">
        <f t="shared" si="92"/>
        <v>300.16175881410157</v>
      </c>
      <c r="AQ766" s="10">
        <f t="shared" si="98"/>
        <v>209.47236538461473</v>
      </c>
      <c r="AR766" s="10">
        <f t="shared" si="99"/>
        <v>232.74474517884542</v>
      </c>
      <c r="AS766" s="10">
        <f t="shared" si="100"/>
        <v>326.1065784307682</v>
      </c>
    </row>
    <row r="767" spans="1:45" x14ac:dyDescent="0.3">
      <c r="A767">
        <v>2025</v>
      </c>
      <c r="B767">
        <v>7</v>
      </c>
      <c r="C767" t="s">
        <v>55</v>
      </c>
      <c r="D767">
        <v>10</v>
      </c>
      <c r="E767" t="s">
        <v>36</v>
      </c>
      <c r="F767" t="s">
        <v>37</v>
      </c>
      <c r="G767" t="s">
        <v>38</v>
      </c>
      <c r="H767" t="s">
        <v>735</v>
      </c>
      <c r="I767" t="s">
        <v>190</v>
      </c>
      <c r="J767" t="s">
        <v>58</v>
      </c>
      <c r="K767" t="s">
        <v>41</v>
      </c>
      <c r="L767" t="s">
        <v>953</v>
      </c>
      <c r="M767" t="s">
        <v>954</v>
      </c>
      <c r="N767" t="s">
        <v>731</v>
      </c>
      <c r="O767" t="s">
        <v>36</v>
      </c>
      <c r="Q767" t="s">
        <v>62</v>
      </c>
      <c r="R767" t="s">
        <v>955</v>
      </c>
      <c r="S767" t="s">
        <v>956</v>
      </c>
      <c r="T767" t="s">
        <v>47</v>
      </c>
      <c r="U767" t="s">
        <v>72</v>
      </c>
      <c r="V767" t="s">
        <v>49</v>
      </c>
      <c r="W767" t="s">
        <v>73</v>
      </c>
      <c r="X767" t="s">
        <v>51</v>
      </c>
      <c r="Y767" t="s">
        <v>964</v>
      </c>
      <c r="Z767" t="s">
        <v>964</v>
      </c>
      <c r="AA767" t="s">
        <v>965</v>
      </c>
      <c r="AB767" s="3">
        <f t="shared" si="88"/>
        <v>4.3100000000000094</v>
      </c>
      <c r="AC767">
        <v>231.34</v>
      </c>
      <c r="AD767" s="2">
        <v>53.675174013921001</v>
      </c>
      <c r="AE767" s="2">
        <v>58.8</v>
      </c>
      <c r="AF767" s="2">
        <v>1.57</v>
      </c>
      <c r="AG767" s="2">
        <v>290.99</v>
      </c>
      <c r="AH767">
        <v>0</v>
      </c>
      <c r="AI767">
        <v>67.515081206497001</v>
      </c>
      <c r="AJ767">
        <v>1.45495</v>
      </c>
      <c r="AK767" t="s">
        <v>54</v>
      </c>
      <c r="AL767">
        <v>4.3499999999999996</v>
      </c>
      <c r="AM767" s="4">
        <f t="shared" si="89"/>
        <v>67.515081206496376</v>
      </c>
      <c r="AN767" s="4">
        <f t="shared" si="90"/>
        <v>100.64095127610187</v>
      </c>
      <c r="AO767" s="4">
        <f t="shared" si="91"/>
        <v>111.81209686774918</v>
      </c>
      <c r="AP767" s="4">
        <f t="shared" si="92"/>
        <v>163.02827697215741</v>
      </c>
      <c r="AQ767" s="10">
        <f t="shared" si="98"/>
        <v>117.41547772621786</v>
      </c>
      <c r="AR767" s="10">
        <f t="shared" si="99"/>
        <v>130.46033730160065</v>
      </c>
      <c r="AS767" s="10">
        <f t="shared" si="100"/>
        <v>182.79241572417595</v>
      </c>
    </row>
    <row r="768" spans="1:45" x14ac:dyDescent="0.3">
      <c r="A768">
        <v>2025</v>
      </c>
      <c r="B768">
        <v>8</v>
      </c>
      <c r="C768" t="s">
        <v>55</v>
      </c>
      <c r="D768">
        <v>10</v>
      </c>
      <c r="E768" t="s">
        <v>36</v>
      </c>
      <c r="F768" t="s">
        <v>37</v>
      </c>
      <c r="G768" t="s">
        <v>38</v>
      </c>
      <c r="H768" t="s">
        <v>735</v>
      </c>
      <c r="I768" t="s">
        <v>190</v>
      </c>
      <c r="J768" t="s">
        <v>58</v>
      </c>
      <c r="K768" t="s">
        <v>59</v>
      </c>
      <c r="L768" t="s">
        <v>1194</v>
      </c>
      <c r="M768" t="s">
        <v>1195</v>
      </c>
      <c r="N768" t="s">
        <v>1196</v>
      </c>
      <c r="O768" t="s">
        <v>1197</v>
      </c>
      <c r="Q768" t="s">
        <v>62</v>
      </c>
      <c r="R768" t="s">
        <v>1198</v>
      </c>
      <c r="S768" t="s">
        <v>1198</v>
      </c>
      <c r="T768" t="s">
        <v>47</v>
      </c>
      <c r="U768" t="s">
        <v>72</v>
      </c>
      <c r="V768" t="s">
        <v>49</v>
      </c>
      <c r="W768" t="s">
        <v>73</v>
      </c>
      <c r="X768" t="s">
        <v>388</v>
      </c>
      <c r="Y768" t="s">
        <v>964</v>
      </c>
      <c r="Z768" t="s">
        <v>964</v>
      </c>
      <c r="AA768" t="s">
        <v>965</v>
      </c>
      <c r="AB768" s="3">
        <f t="shared" si="88"/>
        <v>4.3099999999999961</v>
      </c>
      <c r="AC768">
        <v>231.55</v>
      </c>
      <c r="AD768" s="2">
        <v>53.723897911832999</v>
      </c>
      <c r="AE768" s="2">
        <v>58.8</v>
      </c>
      <c r="AF768" s="2">
        <v>1.59</v>
      </c>
      <c r="AG768" s="2">
        <v>291.22000000000003</v>
      </c>
      <c r="AH768">
        <v>0</v>
      </c>
      <c r="AI768">
        <v>67.568445475638001</v>
      </c>
      <c r="AJ768">
        <v>1.4560999999999999</v>
      </c>
      <c r="AK768" t="s">
        <v>54</v>
      </c>
      <c r="AL768">
        <v>4.3499999999999996</v>
      </c>
      <c r="AM768" s="4">
        <f t="shared" si="89"/>
        <v>67.568445475638114</v>
      </c>
      <c r="AN768" s="4">
        <f t="shared" si="90"/>
        <v>100.73230858468688</v>
      </c>
      <c r="AO768" s="4">
        <f t="shared" si="91"/>
        <v>111.91359483758711</v>
      </c>
      <c r="AP768" s="4">
        <f t="shared" si="92"/>
        <v>163.17626667633425</v>
      </c>
      <c r="AQ768" s="10">
        <f t="shared" si="98"/>
        <v>117.50828352668225</v>
      </c>
      <c r="AR768" s="10">
        <f t="shared" si="99"/>
        <v>130.56345382649664</v>
      </c>
      <c r="AS768" s="10">
        <f t="shared" si="100"/>
        <v>182.93689579433891</v>
      </c>
    </row>
    <row r="769" spans="1:45" x14ac:dyDescent="0.3">
      <c r="A769">
        <v>2025</v>
      </c>
      <c r="B769">
        <v>6</v>
      </c>
      <c r="C769" t="s">
        <v>55</v>
      </c>
      <c r="D769">
        <v>10</v>
      </c>
      <c r="E769" t="s">
        <v>36</v>
      </c>
      <c r="F769" t="s">
        <v>37</v>
      </c>
      <c r="G769" t="s">
        <v>38</v>
      </c>
      <c r="H769" t="s">
        <v>83</v>
      </c>
      <c r="I769" t="s">
        <v>190</v>
      </c>
      <c r="J769" t="s">
        <v>58</v>
      </c>
      <c r="K769" t="s">
        <v>59</v>
      </c>
      <c r="M769" t="s">
        <v>730</v>
      </c>
      <c r="N769" t="s">
        <v>731</v>
      </c>
      <c r="O769" t="s">
        <v>36</v>
      </c>
      <c r="Q769" t="s">
        <v>62</v>
      </c>
      <c r="R769" t="s">
        <v>732</v>
      </c>
      <c r="S769" t="s">
        <v>732</v>
      </c>
      <c r="T769" t="s">
        <v>47</v>
      </c>
      <c r="U769" t="s">
        <v>247</v>
      </c>
      <c r="V769" t="s">
        <v>49</v>
      </c>
      <c r="W769" t="s">
        <v>248</v>
      </c>
      <c r="X769" t="s">
        <v>686</v>
      </c>
      <c r="Y769" t="s">
        <v>964</v>
      </c>
      <c r="Z769" t="s">
        <v>964</v>
      </c>
      <c r="AA769" t="s">
        <v>965</v>
      </c>
      <c r="AB769" s="3">
        <f t="shared" si="88"/>
        <v>2.9999999999999178</v>
      </c>
      <c r="AC769">
        <v>365.36</v>
      </c>
      <c r="AD769" s="2">
        <v>121.78666666667</v>
      </c>
      <c r="AE769" s="2">
        <v>26.18</v>
      </c>
      <c r="AF769" s="2">
        <v>2.36</v>
      </c>
      <c r="AG769" s="2">
        <v>393.9</v>
      </c>
      <c r="AH769">
        <v>0</v>
      </c>
      <c r="AI769">
        <v>131.30000000000001</v>
      </c>
      <c r="AJ769">
        <v>1.9695</v>
      </c>
      <c r="AK769" t="s">
        <v>54</v>
      </c>
      <c r="AL769">
        <v>3.8</v>
      </c>
      <c r="AM769" s="4">
        <f t="shared" si="89"/>
        <v>131.30000000000359</v>
      </c>
      <c r="AN769" s="4">
        <f t="shared" si="90"/>
        <v>228.35000000000625</v>
      </c>
      <c r="AO769" s="4">
        <f t="shared" si="91"/>
        <v>253.69685000000695</v>
      </c>
      <c r="AP769" s="4">
        <f t="shared" si="92"/>
        <v>369.9041650000101</v>
      </c>
      <c r="AQ769" s="10">
        <f t="shared" si="98"/>
        <v>228.34383000000625</v>
      </c>
      <c r="AR769" s="10">
        <f t="shared" si="99"/>
        <v>253.71282951300694</v>
      </c>
      <c r="AS769" s="10">
        <f t="shared" si="100"/>
        <v>355.48567454400973</v>
      </c>
    </row>
    <row r="770" spans="1:45" x14ac:dyDescent="0.3">
      <c r="A770">
        <v>2025</v>
      </c>
      <c r="B770">
        <v>6</v>
      </c>
      <c r="C770" t="s">
        <v>55</v>
      </c>
      <c r="D770">
        <v>10</v>
      </c>
      <c r="E770" t="s">
        <v>36</v>
      </c>
      <c r="F770" t="s">
        <v>37</v>
      </c>
      <c r="G770" t="s">
        <v>38</v>
      </c>
      <c r="H770" t="s">
        <v>78</v>
      </c>
      <c r="I770" t="s">
        <v>190</v>
      </c>
      <c r="J770" t="s">
        <v>58</v>
      </c>
      <c r="K770" t="s">
        <v>59</v>
      </c>
      <c r="M770" t="s">
        <v>730</v>
      </c>
      <c r="N770" t="s">
        <v>731</v>
      </c>
      <c r="O770" t="s">
        <v>36</v>
      </c>
      <c r="Q770" t="s">
        <v>62</v>
      </c>
      <c r="R770" t="s">
        <v>732</v>
      </c>
      <c r="S770" t="s">
        <v>732</v>
      </c>
      <c r="T770" t="s">
        <v>47</v>
      </c>
      <c r="U770" t="s">
        <v>118</v>
      </c>
      <c r="V770" t="s">
        <v>49</v>
      </c>
      <c r="W770" t="s">
        <v>714</v>
      </c>
      <c r="X770" t="s">
        <v>686</v>
      </c>
      <c r="Y770" t="s">
        <v>796</v>
      </c>
      <c r="Z770" t="s">
        <v>796</v>
      </c>
      <c r="AA770" t="s">
        <v>797</v>
      </c>
      <c r="AB770" s="3">
        <f t="shared" si="88"/>
        <v>0.34999999999999903</v>
      </c>
      <c r="AC770">
        <v>34.270000000000003</v>
      </c>
      <c r="AD770" s="2">
        <v>97.914285714285995</v>
      </c>
      <c r="AE770" s="2">
        <v>7.25</v>
      </c>
      <c r="AF770" s="2">
        <v>0.25</v>
      </c>
      <c r="AG770" s="2">
        <v>41.77</v>
      </c>
      <c r="AH770">
        <v>0</v>
      </c>
      <c r="AI770">
        <v>119.34285714286</v>
      </c>
      <c r="AJ770">
        <v>0.20885000000000001</v>
      </c>
      <c r="AK770" t="s">
        <v>54</v>
      </c>
      <c r="AL770">
        <v>0.25</v>
      </c>
      <c r="AM770" s="4">
        <f t="shared" si="89"/>
        <v>119.34285714285748</v>
      </c>
      <c r="AN770" s="4">
        <f t="shared" si="90"/>
        <v>183.58928571428623</v>
      </c>
      <c r="AO770" s="4">
        <f t="shared" si="91"/>
        <v>203.967696428572</v>
      </c>
      <c r="AP770" s="4">
        <f t="shared" si="92"/>
        <v>297.39628392857225</v>
      </c>
      <c r="AQ770" s="10">
        <f t="shared" si="98"/>
        <v>207.54916285714347</v>
      </c>
      <c r="AR770" s="10">
        <f t="shared" si="99"/>
        <v>230.6078748505721</v>
      </c>
      <c r="AS770" s="10">
        <f t="shared" si="100"/>
        <v>323.11253673600095</v>
      </c>
    </row>
    <row r="771" spans="1:45" x14ac:dyDescent="0.3">
      <c r="A771">
        <v>2025</v>
      </c>
      <c r="B771">
        <v>6</v>
      </c>
      <c r="C771" t="s">
        <v>55</v>
      </c>
      <c r="D771">
        <v>10</v>
      </c>
      <c r="E771" t="s">
        <v>36</v>
      </c>
      <c r="F771" t="s">
        <v>37</v>
      </c>
      <c r="G771" t="s">
        <v>38</v>
      </c>
      <c r="H771" t="s">
        <v>78</v>
      </c>
      <c r="I771" t="s">
        <v>190</v>
      </c>
      <c r="J771" t="s">
        <v>58</v>
      </c>
      <c r="K771" t="s">
        <v>59</v>
      </c>
      <c r="M771" t="s">
        <v>730</v>
      </c>
      <c r="N771" t="s">
        <v>731</v>
      </c>
      <c r="O771" t="s">
        <v>36</v>
      </c>
      <c r="Q771" t="s">
        <v>62</v>
      </c>
      <c r="R771" t="s">
        <v>732</v>
      </c>
      <c r="S771" t="s">
        <v>732</v>
      </c>
      <c r="T771" t="s">
        <v>47</v>
      </c>
      <c r="U771" t="s">
        <v>167</v>
      </c>
      <c r="V771" t="s">
        <v>49</v>
      </c>
      <c r="W771" t="s">
        <v>168</v>
      </c>
      <c r="X771" t="s">
        <v>686</v>
      </c>
      <c r="Y771" t="s">
        <v>824</v>
      </c>
      <c r="Z771" t="s">
        <v>824</v>
      </c>
      <c r="AA771" t="s">
        <v>825</v>
      </c>
      <c r="AB771" s="3">
        <f t="shared" ref="AB771:AB834" si="101">SUM(AC771/AD771)</f>
        <v>1</v>
      </c>
      <c r="AC771">
        <v>335.7</v>
      </c>
      <c r="AD771" s="2">
        <v>335.7</v>
      </c>
      <c r="AE771" s="2">
        <v>70.849999999999994</v>
      </c>
      <c r="AF771" s="2">
        <v>2.48</v>
      </c>
      <c r="AG771" s="2">
        <v>408.39</v>
      </c>
      <c r="AH771">
        <v>0</v>
      </c>
      <c r="AI771">
        <v>408.39</v>
      </c>
      <c r="AJ771">
        <v>2.0419499999999999</v>
      </c>
      <c r="AK771" t="s">
        <v>54</v>
      </c>
      <c r="AL771">
        <v>2.42</v>
      </c>
      <c r="AM771" s="4">
        <f t="shared" ref="AM771:AM834" si="102">SUM(AG771/AB771)</f>
        <v>408.39</v>
      </c>
      <c r="AN771" s="4">
        <f t="shared" ref="AN771:AN834" si="103">SUM(AD771*1.875)</f>
        <v>629.4375</v>
      </c>
      <c r="AO771" s="4">
        <f t="shared" si="91"/>
        <v>699.30506249999996</v>
      </c>
      <c r="AP771" s="4">
        <f t="shared" si="92"/>
        <v>1019.62580625</v>
      </c>
      <c r="AQ771" s="10">
        <f t="shared" si="98"/>
        <v>710.23104899999998</v>
      </c>
      <c r="AR771" s="10">
        <f t="shared" si="99"/>
        <v>789.13771854389995</v>
      </c>
      <c r="AS771" s="10">
        <f t="shared" si="100"/>
        <v>1105.6876970832</v>
      </c>
    </row>
    <row r="772" spans="1:45" x14ac:dyDescent="0.3">
      <c r="A772">
        <v>2025</v>
      </c>
      <c r="B772">
        <v>6</v>
      </c>
      <c r="C772" t="s">
        <v>55</v>
      </c>
      <c r="D772">
        <v>10</v>
      </c>
      <c r="E772" t="s">
        <v>36</v>
      </c>
      <c r="F772" t="s">
        <v>37</v>
      </c>
      <c r="G772" t="s">
        <v>38</v>
      </c>
      <c r="H772" t="s">
        <v>83</v>
      </c>
      <c r="I772" t="s">
        <v>190</v>
      </c>
      <c r="J772" t="s">
        <v>58</v>
      </c>
      <c r="K772" t="s">
        <v>59</v>
      </c>
      <c r="M772" t="s">
        <v>730</v>
      </c>
      <c r="N772" t="s">
        <v>731</v>
      </c>
      <c r="O772" t="s">
        <v>36</v>
      </c>
      <c r="Q772" t="s">
        <v>62</v>
      </c>
      <c r="R772" t="s">
        <v>732</v>
      </c>
      <c r="S772" t="s">
        <v>732</v>
      </c>
      <c r="T772" t="s">
        <v>47</v>
      </c>
      <c r="U772" t="s">
        <v>167</v>
      </c>
      <c r="V772" t="s">
        <v>49</v>
      </c>
      <c r="W772" t="s">
        <v>168</v>
      </c>
      <c r="X772" t="s">
        <v>686</v>
      </c>
      <c r="Y772" t="s">
        <v>566</v>
      </c>
      <c r="Z772" t="s">
        <v>566</v>
      </c>
      <c r="AA772" t="s">
        <v>867</v>
      </c>
      <c r="AB772" s="3">
        <f t="shared" si="101"/>
        <v>10</v>
      </c>
      <c r="AC772">
        <v>803.96</v>
      </c>
      <c r="AD772" s="2">
        <v>80.396000000000001</v>
      </c>
      <c r="AE772" s="2">
        <v>169.98</v>
      </c>
      <c r="AF772" s="2">
        <v>5.95</v>
      </c>
      <c r="AG772" s="2">
        <v>979.89</v>
      </c>
      <c r="AH772">
        <v>0</v>
      </c>
      <c r="AI772">
        <v>97.989000000000004</v>
      </c>
      <c r="AJ772">
        <v>4.8994499999999999</v>
      </c>
      <c r="AK772" t="s">
        <v>54</v>
      </c>
      <c r="AL772">
        <v>5.81</v>
      </c>
      <c r="AM772" s="4">
        <f t="shared" si="102"/>
        <v>97.989000000000004</v>
      </c>
      <c r="AN772" s="4">
        <f t="shared" si="103"/>
        <v>150.74250000000001</v>
      </c>
      <c r="AO772" s="4">
        <f t="shared" ref="AO772:AO835" si="104">SUM(AN772)*1.111</f>
        <v>167.4749175</v>
      </c>
      <c r="AP772" s="4">
        <f t="shared" ref="AP772:AP835" si="105">SUM(AN772)*1.6199</f>
        <v>244.18777574999999</v>
      </c>
      <c r="AQ772" s="10">
        <f t="shared" si="98"/>
        <v>170.41266990000003</v>
      </c>
      <c r="AR772" s="10">
        <f t="shared" si="99"/>
        <v>189.34551752589002</v>
      </c>
      <c r="AS772" s="10">
        <f t="shared" si="100"/>
        <v>265.29844450032004</v>
      </c>
    </row>
    <row r="773" spans="1:45" x14ac:dyDescent="0.3">
      <c r="A773">
        <v>2025</v>
      </c>
      <c r="B773">
        <v>6</v>
      </c>
      <c r="C773" t="s">
        <v>55</v>
      </c>
      <c r="D773">
        <v>10</v>
      </c>
      <c r="E773" t="s">
        <v>36</v>
      </c>
      <c r="F773" t="s">
        <v>37</v>
      </c>
      <c r="G773" t="s">
        <v>38</v>
      </c>
      <c r="H773" t="s">
        <v>83</v>
      </c>
      <c r="I773" t="s">
        <v>190</v>
      </c>
      <c r="J773" t="s">
        <v>58</v>
      </c>
      <c r="K773" t="s">
        <v>59</v>
      </c>
      <c r="M773" t="s">
        <v>730</v>
      </c>
      <c r="N773" t="s">
        <v>731</v>
      </c>
      <c r="O773" t="s">
        <v>36</v>
      </c>
      <c r="Q773" t="s">
        <v>62</v>
      </c>
      <c r="R773" t="s">
        <v>732</v>
      </c>
      <c r="S773" t="s">
        <v>732</v>
      </c>
      <c r="T773" t="s">
        <v>47</v>
      </c>
      <c r="U773" t="s">
        <v>363</v>
      </c>
      <c r="V773" t="s">
        <v>49</v>
      </c>
      <c r="W773" t="s">
        <v>911</v>
      </c>
      <c r="X773" t="s">
        <v>686</v>
      </c>
      <c r="Y773" t="s">
        <v>875</v>
      </c>
      <c r="Z773" t="s">
        <v>875</v>
      </c>
      <c r="AA773" t="s">
        <v>876</v>
      </c>
      <c r="AB773" s="3">
        <f t="shared" si="101"/>
        <v>2</v>
      </c>
      <c r="AC773">
        <v>150.85</v>
      </c>
      <c r="AD773" s="2">
        <v>75.424999999999997</v>
      </c>
      <c r="AE773" s="2">
        <v>31.9</v>
      </c>
      <c r="AF773" s="2">
        <v>1.1200000000000001</v>
      </c>
      <c r="AG773" s="2">
        <v>183.86</v>
      </c>
      <c r="AH773">
        <v>0</v>
      </c>
      <c r="AI773">
        <v>91.93</v>
      </c>
      <c r="AJ773">
        <v>0.91930000000000001</v>
      </c>
      <c r="AK773" t="s">
        <v>54</v>
      </c>
      <c r="AL773">
        <v>1.9</v>
      </c>
      <c r="AM773" s="4">
        <f t="shared" si="102"/>
        <v>91.93</v>
      </c>
      <c r="AN773" s="4">
        <f t="shared" si="103"/>
        <v>141.421875</v>
      </c>
      <c r="AO773" s="4">
        <f t="shared" si="104"/>
        <v>157.119703125</v>
      </c>
      <c r="AP773" s="4">
        <f t="shared" si="105"/>
        <v>229.08929531249998</v>
      </c>
      <c r="AQ773" s="10">
        <f t="shared" si="98"/>
        <v>159.87546300000002</v>
      </c>
      <c r="AR773" s="10">
        <f t="shared" si="99"/>
        <v>177.63762693930002</v>
      </c>
      <c r="AS773" s="10">
        <f t="shared" si="100"/>
        <v>248.89412079840002</v>
      </c>
    </row>
    <row r="774" spans="1:45" x14ac:dyDescent="0.3">
      <c r="A774">
        <v>2025</v>
      </c>
      <c r="B774">
        <v>6</v>
      </c>
      <c r="C774" t="s">
        <v>55</v>
      </c>
      <c r="D774">
        <v>10</v>
      </c>
      <c r="E774" t="s">
        <v>36</v>
      </c>
      <c r="F774" t="s">
        <v>37</v>
      </c>
      <c r="G774" t="s">
        <v>38</v>
      </c>
      <c r="H774" t="s">
        <v>83</v>
      </c>
      <c r="I774" t="s">
        <v>190</v>
      </c>
      <c r="J774" t="s">
        <v>58</v>
      </c>
      <c r="K774" t="s">
        <v>59</v>
      </c>
      <c r="M774" t="s">
        <v>730</v>
      </c>
      <c r="N774" t="s">
        <v>731</v>
      </c>
      <c r="O774" t="s">
        <v>36</v>
      </c>
      <c r="Q774" t="s">
        <v>62</v>
      </c>
      <c r="R774" t="s">
        <v>732</v>
      </c>
      <c r="S774" t="s">
        <v>732</v>
      </c>
      <c r="T774" t="s">
        <v>47</v>
      </c>
      <c r="U774" t="s">
        <v>167</v>
      </c>
      <c r="V774" t="s">
        <v>49</v>
      </c>
      <c r="W774" t="s">
        <v>168</v>
      </c>
      <c r="X774" t="s">
        <v>686</v>
      </c>
      <c r="Y774" t="s">
        <v>917</v>
      </c>
      <c r="Z774" t="s">
        <v>917</v>
      </c>
      <c r="AA774" t="s">
        <v>918</v>
      </c>
      <c r="AB774" s="3">
        <f t="shared" si="101"/>
        <v>10</v>
      </c>
      <c r="AC774">
        <v>310.89999999999998</v>
      </c>
      <c r="AD774" s="2">
        <v>31.09</v>
      </c>
      <c r="AE774" s="2">
        <v>65.73</v>
      </c>
      <c r="AF774" s="2">
        <v>2.2999999999999998</v>
      </c>
      <c r="AG774" s="2">
        <v>378.93</v>
      </c>
      <c r="AH774">
        <v>0</v>
      </c>
      <c r="AI774">
        <v>37.893000000000001</v>
      </c>
      <c r="AJ774">
        <v>1.8946499999999999</v>
      </c>
      <c r="AK774" t="s">
        <v>54</v>
      </c>
      <c r="AL774">
        <v>2.25</v>
      </c>
      <c r="AM774" s="4">
        <f t="shared" si="102"/>
        <v>37.893000000000001</v>
      </c>
      <c r="AN774" s="4">
        <f t="shared" si="103"/>
        <v>58.293750000000003</v>
      </c>
      <c r="AO774" s="4">
        <f t="shared" si="104"/>
        <v>64.764356250000006</v>
      </c>
      <c r="AP774" s="4">
        <f t="shared" si="105"/>
        <v>94.430045625000005</v>
      </c>
      <c r="AQ774" s="10">
        <f t="shared" si="98"/>
        <v>65.899716300000009</v>
      </c>
      <c r="AR774" s="10">
        <f t="shared" si="99"/>
        <v>73.221174780930014</v>
      </c>
      <c r="AS774" s="10">
        <f t="shared" si="100"/>
        <v>102.59267833584001</v>
      </c>
    </row>
    <row r="775" spans="1:45" x14ac:dyDescent="0.3">
      <c r="A775">
        <v>2025</v>
      </c>
      <c r="B775">
        <v>6</v>
      </c>
      <c r="C775" t="s">
        <v>55</v>
      </c>
      <c r="D775">
        <v>10</v>
      </c>
      <c r="E775" t="s">
        <v>36</v>
      </c>
      <c r="F775" t="s">
        <v>37</v>
      </c>
      <c r="G775" t="s">
        <v>38</v>
      </c>
      <c r="H775" t="s">
        <v>83</v>
      </c>
      <c r="I775" t="s">
        <v>190</v>
      </c>
      <c r="J775" t="s">
        <v>58</v>
      </c>
      <c r="K775" t="s">
        <v>59</v>
      </c>
      <c r="M775" t="s">
        <v>730</v>
      </c>
      <c r="N775" t="s">
        <v>731</v>
      </c>
      <c r="O775" t="s">
        <v>36</v>
      </c>
      <c r="Q775" t="s">
        <v>62</v>
      </c>
      <c r="R775" t="s">
        <v>732</v>
      </c>
      <c r="S775" t="s">
        <v>732</v>
      </c>
      <c r="T775" t="s">
        <v>47</v>
      </c>
      <c r="U775" t="s">
        <v>363</v>
      </c>
      <c r="V775" t="s">
        <v>49</v>
      </c>
      <c r="W775" t="s">
        <v>911</v>
      </c>
      <c r="X775" t="s">
        <v>686</v>
      </c>
      <c r="Y775" t="s">
        <v>522</v>
      </c>
      <c r="Z775" t="s">
        <v>522</v>
      </c>
      <c r="AA775" t="s">
        <v>861</v>
      </c>
      <c r="AB775" s="3">
        <f t="shared" si="101"/>
        <v>10</v>
      </c>
      <c r="AC775">
        <v>128.93</v>
      </c>
      <c r="AD775" s="2">
        <v>12.893000000000001</v>
      </c>
      <c r="AE775" s="2">
        <v>27.26</v>
      </c>
      <c r="AF775" s="2">
        <v>0.95</v>
      </c>
      <c r="AG775" s="2">
        <v>157.15</v>
      </c>
      <c r="AH775">
        <v>0</v>
      </c>
      <c r="AI775">
        <v>15.715</v>
      </c>
      <c r="AJ775">
        <v>0.78574999999999995</v>
      </c>
      <c r="AK775" t="s">
        <v>54</v>
      </c>
      <c r="AL775">
        <v>0.93</v>
      </c>
      <c r="AM775" s="4">
        <f t="shared" si="102"/>
        <v>15.715</v>
      </c>
      <c r="AN775" s="4">
        <f t="shared" si="103"/>
        <v>24.174375000000001</v>
      </c>
      <c r="AO775" s="4">
        <f t="shared" si="104"/>
        <v>26.857730625000002</v>
      </c>
      <c r="AP775" s="4">
        <f t="shared" si="105"/>
        <v>39.160070062499997</v>
      </c>
      <c r="AQ775" s="10">
        <f t="shared" si="98"/>
        <v>27.329956500000002</v>
      </c>
      <c r="AR775" s="10">
        <f t="shared" si="99"/>
        <v>30.36631466715</v>
      </c>
      <c r="AS775" s="10">
        <f t="shared" si="100"/>
        <v>42.547276279199998</v>
      </c>
    </row>
    <row r="776" spans="1:45" x14ac:dyDescent="0.3">
      <c r="A776">
        <v>2025</v>
      </c>
      <c r="B776">
        <v>6</v>
      </c>
      <c r="C776" t="s">
        <v>55</v>
      </c>
      <c r="D776">
        <v>10</v>
      </c>
      <c r="E776" t="s">
        <v>36</v>
      </c>
      <c r="F776" t="s">
        <v>37</v>
      </c>
      <c r="G776" t="s">
        <v>38</v>
      </c>
      <c r="H776" t="s">
        <v>83</v>
      </c>
      <c r="I776" t="s">
        <v>190</v>
      </c>
      <c r="J776" t="s">
        <v>58</v>
      </c>
      <c r="K776" t="s">
        <v>59</v>
      </c>
      <c r="M776" t="s">
        <v>730</v>
      </c>
      <c r="N776" t="s">
        <v>731</v>
      </c>
      <c r="O776" t="s">
        <v>36</v>
      </c>
      <c r="Q776" t="s">
        <v>62</v>
      </c>
      <c r="R776" t="s">
        <v>732</v>
      </c>
      <c r="S776" t="s">
        <v>732</v>
      </c>
      <c r="T776" t="s">
        <v>47</v>
      </c>
      <c r="U776" t="s">
        <v>167</v>
      </c>
      <c r="V776" t="s">
        <v>49</v>
      </c>
      <c r="W776" t="s">
        <v>168</v>
      </c>
      <c r="X776" t="s">
        <v>686</v>
      </c>
      <c r="Y776" t="s">
        <v>914</v>
      </c>
      <c r="Z776" t="s">
        <v>915</v>
      </c>
      <c r="AA776" t="s">
        <v>916</v>
      </c>
      <c r="AB776" s="3">
        <f t="shared" si="101"/>
        <v>2.9999999999999591</v>
      </c>
      <c r="AC776">
        <v>72.650000000000006</v>
      </c>
      <c r="AD776" s="2">
        <v>24.216666666666999</v>
      </c>
      <c r="AE776" s="2">
        <v>15.36</v>
      </c>
      <c r="AF776" s="2">
        <v>0.54</v>
      </c>
      <c r="AG776" s="2">
        <v>88.55</v>
      </c>
      <c r="AH776">
        <v>0</v>
      </c>
      <c r="AI776">
        <v>29.516666666667</v>
      </c>
      <c r="AJ776">
        <v>0.44274999999999998</v>
      </c>
      <c r="AK776" t="s">
        <v>54</v>
      </c>
      <c r="AL776">
        <v>0.53</v>
      </c>
      <c r="AM776" s="4">
        <f t="shared" si="102"/>
        <v>29.516666666667067</v>
      </c>
      <c r="AN776" s="4">
        <f t="shared" si="103"/>
        <v>45.406250000000625</v>
      </c>
      <c r="AO776" s="4">
        <f t="shared" si="104"/>
        <v>50.446343750000693</v>
      </c>
      <c r="AP776" s="4">
        <f t="shared" si="105"/>
        <v>73.553584375001009</v>
      </c>
      <c r="AQ776" s="10">
        <f t="shared" si="98"/>
        <v>51.3324350000007</v>
      </c>
      <c r="AR776" s="10">
        <f t="shared" si="99"/>
        <v>57.035468528500779</v>
      </c>
      <c r="AS776" s="10">
        <f t="shared" si="100"/>
        <v>79.914334808001087</v>
      </c>
    </row>
    <row r="777" spans="1:45" x14ac:dyDescent="0.3">
      <c r="A777">
        <v>2025</v>
      </c>
      <c r="B777">
        <v>6</v>
      </c>
      <c r="C777" t="s">
        <v>55</v>
      </c>
      <c r="D777">
        <v>10</v>
      </c>
      <c r="E777" t="s">
        <v>36</v>
      </c>
      <c r="F777" t="s">
        <v>37</v>
      </c>
      <c r="G777" t="s">
        <v>38</v>
      </c>
      <c r="H777" t="s">
        <v>83</v>
      </c>
      <c r="I777" t="s">
        <v>190</v>
      </c>
      <c r="J777" t="s">
        <v>58</v>
      </c>
      <c r="K777" t="s">
        <v>59</v>
      </c>
      <c r="M777" t="s">
        <v>730</v>
      </c>
      <c r="N777" t="s">
        <v>731</v>
      </c>
      <c r="O777" t="s">
        <v>36</v>
      </c>
      <c r="Q777" t="s">
        <v>62</v>
      </c>
      <c r="R777" t="s">
        <v>732</v>
      </c>
      <c r="S777" t="s">
        <v>732</v>
      </c>
      <c r="T777" t="s">
        <v>47</v>
      </c>
      <c r="U777" t="s">
        <v>167</v>
      </c>
      <c r="V777" t="s">
        <v>49</v>
      </c>
      <c r="W777" t="s">
        <v>168</v>
      </c>
      <c r="X777" t="s">
        <v>686</v>
      </c>
      <c r="Y777" t="s">
        <v>616</v>
      </c>
      <c r="Z777" t="s">
        <v>616</v>
      </c>
      <c r="AA777" t="s">
        <v>872</v>
      </c>
      <c r="AB777" s="3">
        <f t="shared" si="101"/>
        <v>5</v>
      </c>
      <c r="AC777">
        <v>200.73</v>
      </c>
      <c r="AD777" s="2">
        <v>40.146000000000001</v>
      </c>
      <c r="AE777" s="2">
        <v>42.44</v>
      </c>
      <c r="AF777" s="2">
        <v>1.49</v>
      </c>
      <c r="AG777" s="2">
        <v>244.65</v>
      </c>
      <c r="AH777">
        <v>0</v>
      </c>
      <c r="AI777">
        <v>48.93</v>
      </c>
      <c r="AJ777">
        <v>1.2232499999999999</v>
      </c>
      <c r="AK777" t="s">
        <v>54</v>
      </c>
      <c r="AL777">
        <v>1.45</v>
      </c>
      <c r="AM777" s="4">
        <f t="shared" si="102"/>
        <v>48.93</v>
      </c>
      <c r="AN777" s="4">
        <f t="shared" si="103"/>
        <v>75.273750000000007</v>
      </c>
      <c r="AO777" s="4">
        <f t="shared" si="104"/>
        <v>83.629136250000002</v>
      </c>
      <c r="AP777" s="4">
        <f t="shared" si="105"/>
        <v>121.935947625</v>
      </c>
      <c r="AQ777" s="10">
        <f t="shared" si="98"/>
        <v>85.094163000000009</v>
      </c>
      <c r="AR777" s="10">
        <f t="shared" si="99"/>
        <v>94.54812450930001</v>
      </c>
      <c r="AS777" s="10">
        <f t="shared" si="100"/>
        <v>132.47459295840002</v>
      </c>
    </row>
    <row r="778" spans="1:45" x14ac:dyDescent="0.3">
      <c r="A778">
        <v>2025</v>
      </c>
      <c r="B778">
        <v>6</v>
      </c>
      <c r="C778" t="s">
        <v>55</v>
      </c>
      <c r="D778">
        <v>10</v>
      </c>
      <c r="E778" t="s">
        <v>36</v>
      </c>
      <c r="F778" t="s">
        <v>37</v>
      </c>
      <c r="G778" t="s">
        <v>38</v>
      </c>
      <c r="H778" t="s">
        <v>83</v>
      </c>
      <c r="I778" t="s">
        <v>190</v>
      </c>
      <c r="J778" t="s">
        <v>58</v>
      </c>
      <c r="K778" t="s">
        <v>59</v>
      </c>
      <c r="M778" t="s">
        <v>730</v>
      </c>
      <c r="N778" t="s">
        <v>731</v>
      </c>
      <c r="O778" t="s">
        <v>36</v>
      </c>
      <c r="Q778" t="s">
        <v>62</v>
      </c>
      <c r="R778" t="s">
        <v>732</v>
      </c>
      <c r="S778" t="s">
        <v>732</v>
      </c>
      <c r="T778" t="s">
        <v>47</v>
      </c>
      <c r="U778" t="s">
        <v>167</v>
      </c>
      <c r="V778" t="s">
        <v>49</v>
      </c>
      <c r="W778" t="s">
        <v>168</v>
      </c>
      <c r="X778" t="s">
        <v>686</v>
      </c>
      <c r="Y778" t="s">
        <v>880</v>
      </c>
      <c r="Z778" t="s">
        <v>880</v>
      </c>
      <c r="AA778" t="s">
        <v>881</v>
      </c>
      <c r="AB778" s="3">
        <f t="shared" si="101"/>
        <v>2</v>
      </c>
      <c r="AC778">
        <v>95.18</v>
      </c>
      <c r="AD778" s="2">
        <v>47.59</v>
      </c>
      <c r="AE778" s="2">
        <v>20.12</v>
      </c>
      <c r="AF778" s="2">
        <v>0.7</v>
      </c>
      <c r="AG778" s="2">
        <v>116.1</v>
      </c>
      <c r="AH778">
        <v>0</v>
      </c>
      <c r="AI778">
        <v>58.05</v>
      </c>
      <c r="AJ778">
        <v>0.58050000000000002</v>
      </c>
      <c r="AK778" t="s">
        <v>54</v>
      </c>
      <c r="AL778">
        <v>0.69</v>
      </c>
      <c r="AM778" s="4">
        <f t="shared" si="102"/>
        <v>58.05</v>
      </c>
      <c r="AN778" s="4">
        <f t="shared" si="103"/>
        <v>89.231250000000003</v>
      </c>
      <c r="AO778" s="4">
        <f t="shared" si="104"/>
        <v>99.135918750000002</v>
      </c>
      <c r="AP778" s="4">
        <f t="shared" si="105"/>
        <v>144.54570187499999</v>
      </c>
      <c r="AQ778" s="10">
        <f t="shared" si="98"/>
        <v>100.95475500000001</v>
      </c>
      <c r="AR778" s="10">
        <f t="shared" si="99"/>
        <v>112.1708282805</v>
      </c>
      <c r="AS778" s="10">
        <f t="shared" si="100"/>
        <v>157.16636258400001</v>
      </c>
    </row>
    <row r="779" spans="1:45" x14ac:dyDescent="0.3">
      <c r="A779">
        <v>2025</v>
      </c>
      <c r="B779">
        <v>6</v>
      </c>
      <c r="C779" t="s">
        <v>55</v>
      </c>
      <c r="D779">
        <v>10</v>
      </c>
      <c r="E779" t="s">
        <v>36</v>
      </c>
      <c r="F779" t="s">
        <v>37</v>
      </c>
      <c r="G779" t="s">
        <v>38</v>
      </c>
      <c r="H779" t="s">
        <v>83</v>
      </c>
      <c r="I779" t="s">
        <v>190</v>
      </c>
      <c r="J779" t="s">
        <v>58</v>
      </c>
      <c r="K779" t="s">
        <v>59</v>
      </c>
      <c r="M779" t="s">
        <v>730</v>
      </c>
      <c r="N779" t="s">
        <v>731</v>
      </c>
      <c r="O779" t="s">
        <v>36</v>
      </c>
      <c r="Q779" t="s">
        <v>62</v>
      </c>
      <c r="R779" t="s">
        <v>732</v>
      </c>
      <c r="S779" t="s">
        <v>732</v>
      </c>
      <c r="T779" t="s">
        <v>47</v>
      </c>
      <c r="U779" t="s">
        <v>167</v>
      </c>
      <c r="V779" t="s">
        <v>49</v>
      </c>
      <c r="W779" t="s">
        <v>168</v>
      </c>
      <c r="X779" t="s">
        <v>686</v>
      </c>
      <c r="Y779" t="s">
        <v>351</v>
      </c>
      <c r="Z779" t="s">
        <v>351</v>
      </c>
      <c r="AA779" t="s">
        <v>871</v>
      </c>
      <c r="AB779" s="3">
        <f t="shared" si="101"/>
        <v>10</v>
      </c>
      <c r="AC779">
        <v>351.13</v>
      </c>
      <c r="AD779" s="2">
        <v>35.113</v>
      </c>
      <c r="AE779" s="2">
        <v>74.239999999999995</v>
      </c>
      <c r="AF779" s="2">
        <v>2.6</v>
      </c>
      <c r="AG779" s="2">
        <v>427.97</v>
      </c>
      <c r="AH779">
        <v>0</v>
      </c>
      <c r="AI779">
        <v>42.796999999999997</v>
      </c>
      <c r="AJ779">
        <v>2.13985</v>
      </c>
      <c r="AK779" t="s">
        <v>54</v>
      </c>
      <c r="AL779">
        <v>2.54</v>
      </c>
      <c r="AM779" s="4">
        <f t="shared" si="102"/>
        <v>42.797000000000004</v>
      </c>
      <c r="AN779" s="4">
        <f t="shared" si="103"/>
        <v>65.836874999999992</v>
      </c>
      <c r="AO779" s="4">
        <f t="shared" si="104"/>
        <v>73.144768124999985</v>
      </c>
      <c r="AP779" s="4">
        <f t="shared" si="105"/>
        <v>106.64915381249997</v>
      </c>
      <c r="AQ779" s="10">
        <f t="shared" si="98"/>
        <v>74.428262700000005</v>
      </c>
      <c r="AR779" s="10">
        <f t="shared" si="99"/>
        <v>82.697242685969997</v>
      </c>
      <c r="AS779" s="10">
        <f t="shared" si="100"/>
        <v>115.86991937136</v>
      </c>
    </row>
    <row r="780" spans="1:45" x14ac:dyDescent="0.3">
      <c r="A780">
        <v>2025</v>
      </c>
      <c r="B780">
        <v>6</v>
      </c>
      <c r="C780" t="s">
        <v>55</v>
      </c>
      <c r="D780">
        <v>10</v>
      </c>
      <c r="E780" t="s">
        <v>36</v>
      </c>
      <c r="F780" t="s">
        <v>37</v>
      </c>
      <c r="G780" t="s">
        <v>38</v>
      </c>
      <c r="H780" t="s">
        <v>83</v>
      </c>
      <c r="I780" t="s">
        <v>190</v>
      </c>
      <c r="J780" t="s">
        <v>58</v>
      </c>
      <c r="K780" t="s">
        <v>59</v>
      </c>
      <c r="M780" t="s">
        <v>730</v>
      </c>
      <c r="N780" t="s">
        <v>731</v>
      </c>
      <c r="O780" t="s">
        <v>36</v>
      </c>
      <c r="Q780" t="s">
        <v>62</v>
      </c>
      <c r="R780" t="s">
        <v>732</v>
      </c>
      <c r="S780" t="s">
        <v>732</v>
      </c>
      <c r="T780" t="s">
        <v>47</v>
      </c>
      <c r="U780" t="s">
        <v>167</v>
      </c>
      <c r="V780" t="s">
        <v>49</v>
      </c>
      <c r="W780" t="s">
        <v>168</v>
      </c>
      <c r="X780" t="s">
        <v>686</v>
      </c>
      <c r="Y780" t="s">
        <v>584</v>
      </c>
      <c r="Z780" t="s">
        <v>584</v>
      </c>
      <c r="AA780" t="s">
        <v>868</v>
      </c>
      <c r="AB780" s="3">
        <f t="shared" si="101"/>
        <v>10</v>
      </c>
      <c r="AC780">
        <v>351.96</v>
      </c>
      <c r="AD780" s="2">
        <v>35.195999999999998</v>
      </c>
      <c r="AE780" s="2">
        <v>74.42</v>
      </c>
      <c r="AF780" s="2">
        <v>2.6</v>
      </c>
      <c r="AG780" s="2">
        <v>428.98</v>
      </c>
      <c r="AH780">
        <v>0</v>
      </c>
      <c r="AI780">
        <v>42.898000000000003</v>
      </c>
      <c r="AJ780">
        <v>2.1448999999999998</v>
      </c>
      <c r="AK780" t="s">
        <v>54</v>
      </c>
      <c r="AL780">
        <v>2.54</v>
      </c>
      <c r="AM780" s="4">
        <f t="shared" si="102"/>
        <v>42.898000000000003</v>
      </c>
      <c r="AN780" s="4">
        <f t="shared" si="103"/>
        <v>65.992499999999993</v>
      </c>
      <c r="AO780" s="4">
        <f t="shared" si="104"/>
        <v>73.317667499999985</v>
      </c>
      <c r="AP780" s="4">
        <f t="shared" si="105"/>
        <v>106.90125074999997</v>
      </c>
      <c r="AQ780" s="10">
        <f t="shared" si="98"/>
        <v>74.603911800000006</v>
      </c>
      <c r="AR780" s="10">
        <f t="shared" si="99"/>
        <v>82.892406400980008</v>
      </c>
      <c r="AS780" s="10">
        <f t="shared" si="100"/>
        <v>116.14336989024001</v>
      </c>
    </row>
    <row r="781" spans="1:45" x14ac:dyDescent="0.3">
      <c r="A781">
        <v>2025</v>
      </c>
      <c r="B781">
        <v>6</v>
      </c>
      <c r="C781" t="s">
        <v>55</v>
      </c>
      <c r="D781">
        <v>10</v>
      </c>
      <c r="E781" t="s">
        <v>36</v>
      </c>
      <c r="F781" t="s">
        <v>37</v>
      </c>
      <c r="G781" t="s">
        <v>38</v>
      </c>
      <c r="H781" t="s">
        <v>83</v>
      </c>
      <c r="I781" t="s">
        <v>190</v>
      </c>
      <c r="J781" t="s">
        <v>58</v>
      </c>
      <c r="K781" t="s">
        <v>59</v>
      </c>
      <c r="M781" t="s">
        <v>730</v>
      </c>
      <c r="N781" t="s">
        <v>731</v>
      </c>
      <c r="O781" t="s">
        <v>36</v>
      </c>
      <c r="Q781" t="s">
        <v>62</v>
      </c>
      <c r="R781" t="s">
        <v>732</v>
      </c>
      <c r="S781" t="s">
        <v>732</v>
      </c>
      <c r="T781" t="s">
        <v>47</v>
      </c>
      <c r="U781" t="s">
        <v>163</v>
      </c>
      <c r="V781" t="s">
        <v>49</v>
      </c>
      <c r="W781" t="s">
        <v>164</v>
      </c>
      <c r="X781" t="s">
        <v>686</v>
      </c>
      <c r="Y781" t="s">
        <v>869</v>
      </c>
      <c r="Z781" t="s">
        <v>869</v>
      </c>
      <c r="AA781" t="s">
        <v>870</v>
      </c>
      <c r="AB781" s="3">
        <f t="shared" si="101"/>
        <v>9.9999999999999982</v>
      </c>
      <c r="AC781">
        <v>385.14</v>
      </c>
      <c r="AD781" s="2">
        <v>38.514000000000003</v>
      </c>
      <c r="AE781" s="2">
        <v>81.430000000000007</v>
      </c>
      <c r="AF781" s="2">
        <v>2.85</v>
      </c>
      <c r="AG781" s="2">
        <v>469.41</v>
      </c>
      <c r="AH781">
        <v>0</v>
      </c>
      <c r="AI781">
        <v>46.941000000000003</v>
      </c>
      <c r="AJ781">
        <v>2.3470499999999999</v>
      </c>
      <c r="AK781" t="s">
        <v>54</v>
      </c>
      <c r="AL781">
        <v>2.78</v>
      </c>
      <c r="AM781" s="4">
        <f t="shared" si="102"/>
        <v>46.94100000000001</v>
      </c>
      <c r="AN781" s="4">
        <f t="shared" si="103"/>
        <v>72.213750000000005</v>
      </c>
      <c r="AO781" s="4">
        <f t="shared" si="104"/>
        <v>80.229476250000005</v>
      </c>
      <c r="AP781" s="4">
        <f t="shared" si="105"/>
        <v>116.97905362500001</v>
      </c>
      <c r="AQ781" s="10">
        <f t="shared" si="98"/>
        <v>81.63509310000002</v>
      </c>
      <c r="AR781" s="10">
        <f t="shared" si="99"/>
        <v>90.704751943410017</v>
      </c>
      <c r="AS781" s="10">
        <f t="shared" si="100"/>
        <v>127.08951293808003</v>
      </c>
    </row>
    <row r="782" spans="1:45" x14ac:dyDescent="0.3">
      <c r="A782">
        <v>2025</v>
      </c>
      <c r="B782">
        <v>6</v>
      </c>
      <c r="C782" t="s">
        <v>55</v>
      </c>
      <c r="D782">
        <v>10</v>
      </c>
      <c r="E782" t="s">
        <v>36</v>
      </c>
      <c r="F782" t="s">
        <v>37</v>
      </c>
      <c r="G782" t="s">
        <v>38</v>
      </c>
      <c r="H782" t="s">
        <v>83</v>
      </c>
      <c r="I782" t="s">
        <v>190</v>
      </c>
      <c r="J782" t="s">
        <v>58</v>
      </c>
      <c r="K782" t="s">
        <v>59</v>
      </c>
      <c r="M782" t="s">
        <v>730</v>
      </c>
      <c r="N782" t="s">
        <v>731</v>
      </c>
      <c r="O782" t="s">
        <v>36</v>
      </c>
      <c r="Q782" t="s">
        <v>62</v>
      </c>
      <c r="R782" t="s">
        <v>732</v>
      </c>
      <c r="S782" t="s">
        <v>732</v>
      </c>
      <c r="T782" t="s">
        <v>47</v>
      </c>
      <c r="U782" t="s">
        <v>118</v>
      </c>
      <c r="V782" t="s">
        <v>49</v>
      </c>
      <c r="W782" t="s">
        <v>714</v>
      </c>
      <c r="X782" t="s">
        <v>686</v>
      </c>
      <c r="Y782" t="s">
        <v>573</v>
      </c>
      <c r="Z782" t="s">
        <v>573</v>
      </c>
      <c r="AA782" t="s">
        <v>858</v>
      </c>
      <c r="AB782" s="3">
        <f t="shared" si="101"/>
        <v>5.9999999999999991</v>
      </c>
      <c r="AC782">
        <v>1201.83</v>
      </c>
      <c r="AD782" s="2">
        <v>200.30500000000001</v>
      </c>
      <c r="AE782" s="2">
        <v>256.26</v>
      </c>
      <c r="AF782" s="2">
        <v>8.9700000000000006</v>
      </c>
      <c r="AG782" s="2">
        <v>1467.5</v>
      </c>
      <c r="AH782">
        <v>0</v>
      </c>
      <c r="AI782">
        <v>244.58333333332999</v>
      </c>
      <c r="AJ782">
        <v>7.3375000000000004</v>
      </c>
      <c r="AK782" t="s">
        <v>54</v>
      </c>
      <c r="AL782">
        <v>2.2799999999999998</v>
      </c>
      <c r="AM782" s="4">
        <f t="shared" si="102"/>
        <v>244.58333333333337</v>
      </c>
      <c r="AN782" s="4">
        <f t="shared" si="103"/>
        <v>375.57187500000003</v>
      </c>
      <c r="AO782" s="4">
        <f t="shared" si="104"/>
        <v>417.26035312500005</v>
      </c>
      <c r="AP782" s="4">
        <f t="shared" si="105"/>
        <v>608.38888031249996</v>
      </c>
      <c r="AQ782" s="10">
        <f t="shared" si="98"/>
        <v>425.35487500000011</v>
      </c>
      <c r="AR782" s="10">
        <f t="shared" si="99"/>
        <v>472.61180161250013</v>
      </c>
      <c r="AS782" s="10">
        <f t="shared" si="100"/>
        <v>662.19246940000016</v>
      </c>
    </row>
    <row r="783" spans="1:45" x14ac:dyDescent="0.3">
      <c r="A783">
        <v>2025</v>
      </c>
      <c r="B783">
        <v>6</v>
      </c>
      <c r="C783" t="s">
        <v>55</v>
      </c>
      <c r="D783">
        <v>10</v>
      </c>
      <c r="E783" t="s">
        <v>36</v>
      </c>
      <c r="F783" t="s">
        <v>37</v>
      </c>
      <c r="G783" t="s">
        <v>38</v>
      </c>
      <c r="H783" t="s">
        <v>141</v>
      </c>
      <c r="I783" t="s">
        <v>190</v>
      </c>
      <c r="J783" t="s">
        <v>58</v>
      </c>
      <c r="K783" t="s">
        <v>59</v>
      </c>
      <c r="M783" t="s">
        <v>730</v>
      </c>
      <c r="N783" t="s">
        <v>731</v>
      </c>
      <c r="O783" t="s">
        <v>36</v>
      </c>
      <c r="Q783" t="s">
        <v>62</v>
      </c>
      <c r="R783" t="s">
        <v>732</v>
      </c>
      <c r="S783" t="s">
        <v>732</v>
      </c>
      <c r="T783" t="s">
        <v>47</v>
      </c>
      <c r="U783" t="s">
        <v>118</v>
      </c>
      <c r="V783" t="s">
        <v>49</v>
      </c>
      <c r="W783" t="s">
        <v>714</v>
      </c>
      <c r="X783" t="s">
        <v>686</v>
      </c>
      <c r="Y783" t="s">
        <v>485</v>
      </c>
      <c r="Z783" t="s">
        <v>485</v>
      </c>
      <c r="AA783" t="s">
        <v>828</v>
      </c>
      <c r="AB783" s="3">
        <f t="shared" si="101"/>
        <v>1</v>
      </c>
      <c r="AC783">
        <v>160.88</v>
      </c>
      <c r="AD783" s="2">
        <v>160.88</v>
      </c>
      <c r="AE783" s="2">
        <v>34.1</v>
      </c>
      <c r="AF783" s="2">
        <v>1.19</v>
      </c>
      <c r="AG783" s="2">
        <v>196.8</v>
      </c>
      <c r="AH783">
        <v>0</v>
      </c>
      <c r="AI783">
        <v>196.8</v>
      </c>
      <c r="AJ783">
        <v>0.98399999999999999</v>
      </c>
      <c r="AK783" t="s">
        <v>54</v>
      </c>
      <c r="AL783">
        <v>1.1599999999999999</v>
      </c>
      <c r="AM783" s="4">
        <f t="shared" si="102"/>
        <v>196.8</v>
      </c>
      <c r="AN783" s="4">
        <f t="shared" si="103"/>
        <v>301.64999999999998</v>
      </c>
      <c r="AO783" s="4">
        <f t="shared" si="104"/>
        <v>335.13314999999994</v>
      </c>
      <c r="AP783" s="4">
        <f t="shared" si="105"/>
        <v>488.64283499999993</v>
      </c>
      <c r="AQ783" s="10">
        <f t="shared" si="98"/>
        <v>342.25488000000001</v>
      </c>
      <c r="AR783" s="10">
        <f t="shared" si="99"/>
        <v>380.279397168</v>
      </c>
      <c r="AS783" s="10">
        <f t="shared" si="100"/>
        <v>532.82239718400001</v>
      </c>
    </row>
    <row r="784" spans="1:45" x14ac:dyDescent="0.3">
      <c r="A784">
        <v>2025</v>
      </c>
      <c r="B784">
        <v>6</v>
      </c>
      <c r="C784" t="s">
        <v>55</v>
      </c>
      <c r="D784">
        <v>10</v>
      </c>
      <c r="E784" t="s">
        <v>36</v>
      </c>
      <c r="F784" t="s">
        <v>37</v>
      </c>
      <c r="G784" t="s">
        <v>38</v>
      </c>
      <c r="H784" t="s">
        <v>83</v>
      </c>
      <c r="I784" t="s">
        <v>190</v>
      </c>
      <c r="J784" t="s">
        <v>58</v>
      </c>
      <c r="K784" t="s">
        <v>59</v>
      </c>
      <c r="M784" t="s">
        <v>730</v>
      </c>
      <c r="N784" t="s">
        <v>731</v>
      </c>
      <c r="O784" t="s">
        <v>36</v>
      </c>
      <c r="Q784" t="s">
        <v>62</v>
      </c>
      <c r="R784" t="s">
        <v>732</v>
      </c>
      <c r="S784" t="s">
        <v>732</v>
      </c>
      <c r="T784" t="s">
        <v>47</v>
      </c>
      <c r="U784" t="s">
        <v>173</v>
      </c>
      <c r="V784" t="s">
        <v>49</v>
      </c>
      <c r="W784" t="s">
        <v>174</v>
      </c>
      <c r="X784" t="s">
        <v>686</v>
      </c>
      <c r="Y784" t="s">
        <v>813</v>
      </c>
      <c r="Z784" t="s">
        <v>813</v>
      </c>
      <c r="AA784" t="s">
        <v>814</v>
      </c>
      <c r="AB784" s="3">
        <f t="shared" si="101"/>
        <v>3</v>
      </c>
      <c r="AC784">
        <v>792.63</v>
      </c>
      <c r="AD784" s="2">
        <v>264.20999999999998</v>
      </c>
      <c r="AE784" s="2">
        <v>169.1</v>
      </c>
      <c r="AF784" s="2">
        <v>5.91</v>
      </c>
      <c r="AG784" s="2">
        <v>967.55</v>
      </c>
      <c r="AH784">
        <v>0</v>
      </c>
      <c r="AI784">
        <v>322.51666666667001</v>
      </c>
      <c r="AJ784">
        <v>4.8377499999999998</v>
      </c>
      <c r="AK784" t="s">
        <v>54</v>
      </c>
      <c r="AL784">
        <v>1.5</v>
      </c>
      <c r="AM784" s="4">
        <f t="shared" si="102"/>
        <v>322.51666666666665</v>
      </c>
      <c r="AN784" s="4">
        <f t="shared" si="103"/>
        <v>495.39374999999995</v>
      </c>
      <c r="AO784" s="4">
        <f t="shared" si="104"/>
        <v>550.3824562499999</v>
      </c>
      <c r="AP784" s="4">
        <f t="shared" si="105"/>
        <v>802.48833562499988</v>
      </c>
      <c r="AQ784" s="10">
        <f t="shared" si="98"/>
        <v>560.888735</v>
      </c>
      <c r="AR784" s="10">
        <f t="shared" si="99"/>
        <v>623.20347345849996</v>
      </c>
      <c r="AS784" s="10">
        <f t="shared" si="100"/>
        <v>873.19158264800001</v>
      </c>
    </row>
    <row r="785" spans="1:45" x14ac:dyDescent="0.3">
      <c r="A785">
        <v>2025</v>
      </c>
      <c r="B785">
        <v>6</v>
      </c>
      <c r="C785" t="s">
        <v>55</v>
      </c>
      <c r="D785">
        <v>10</v>
      </c>
      <c r="E785" t="s">
        <v>36</v>
      </c>
      <c r="F785" t="s">
        <v>37</v>
      </c>
      <c r="G785" t="s">
        <v>38</v>
      </c>
      <c r="H785" t="s">
        <v>83</v>
      </c>
      <c r="I785" t="s">
        <v>190</v>
      </c>
      <c r="J785" t="s">
        <v>58</v>
      </c>
      <c r="K785" t="s">
        <v>59</v>
      </c>
      <c r="M785" t="s">
        <v>730</v>
      </c>
      <c r="N785" t="s">
        <v>731</v>
      </c>
      <c r="O785" t="s">
        <v>36</v>
      </c>
      <c r="Q785" t="s">
        <v>62</v>
      </c>
      <c r="R785" t="s">
        <v>732</v>
      </c>
      <c r="S785" t="s">
        <v>732</v>
      </c>
      <c r="T785" t="s">
        <v>47</v>
      </c>
      <c r="U785" t="s">
        <v>244</v>
      </c>
      <c r="V785" t="s">
        <v>49</v>
      </c>
      <c r="W785" t="s">
        <v>90</v>
      </c>
      <c r="X785" t="s">
        <v>686</v>
      </c>
      <c r="Y785" t="s">
        <v>888</v>
      </c>
      <c r="Z785" t="s">
        <v>888</v>
      </c>
      <c r="AA785" t="s">
        <v>889</v>
      </c>
      <c r="AB785" s="3">
        <f t="shared" si="101"/>
        <v>2</v>
      </c>
      <c r="AC785">
        <v>837.75</v>
      </c>
      <c r="AD785" s="2">
        <v>418.875</v>
      </c>
      <c r="AE785" s="2">
        <v>177.13</v>
      </c>
      <c r="AF785" s="2">
        <v>6.2</v>
      </c>
      <c r="AG785" s="2">
        <v>1021.7</v>
      </c>
      <c r="AH785">
        <v>0</v>
      </c>
      <c r="AI785">
        <v>510.85</v>
      </c>
      <c r="AJ785">
        <v>5.1085000000000003</v>
      </c>
      <c r="AK785" t="s">
        <v>54</v>
      </c>
      <c r="AL785">
        <v>6.5</v>
      </c>
      <c r="AM785" s="4">
        <f t="shared" si="102"/>
        <v>510.85</v>
      </c>
      <c r="AN785" s="4">
        <f t="shared" si="103"/>
        <v>785.390625</v>
      </c>
      <c r="AO785" s="4">
        <f t="shared" si="104"/>
        <v>872.56898437500001</v>
      </c>
      <c r="AP785" s="4">
        <f t="shared" si="105"/>
        <v>1272.2542734374999</v>
      </c>
      <c r="AQ785" s="10">
        <f t="shared" si="98"/>
        <v>888.41923500000007</v>
      </c>
      <c r="AR785" s="10">
        <f t="shared" si="99"/>
        <v>987.12261200850003</v>
      </c>
      <c r="AS785" s="10">
        <f t="shared" si="100"/>
        <v>1383.091065048</v>
      </c>
    </row>
    <row r="786" spans="1:45" x14ac:dyDescent="0.3">
      <c r="A786">
        <v>2025</v>
      </c>
      <c r="B786">
        <v>6</v>
      </c>
      <c r="C786" t="s">
        <v>55</v>
      </c>
      <c r="D786">
        <v>10</v>
      </c>
      <c r="E786" t="s">
        <v>36</v>
      </c>
      <c r="F786" t="s">
        <v>37</v>
      </c>
      <c r="G786" t="s">
        <v>38</v>
      </c>
      <c r="H786" t="s">
        <v>78</v>
      </c>
      <c r="I786" t="s">
        <v>190</v>
      </c>
      <c r="J786" t="s">
        <v>58</v>
      </c>
      <c r="K786" t="s">
        <v>59</v>
      </c>
      <c r="M786" t="s">
        <v>730</v>
      </c>
      <c r="N786" t="s">
        <v>731</v>
      </c>
      <c r="O786" t="s">
        <v>36</v>
      </c>
      <c r="Q786" t="s">
        <v>62</v>
      </c>
      <c r="R786" t="s">
        <v>732</v>
      </c>
      <c r="S786" t="s">
        <v>732</v>
      </c>
      <c r="T786" t="s">
        <v>47</v>
      </c>
      <c r="U786" t="s">
        <v>118</v>
      </c>
      <c r="V786" t="s">
        <v>49</v>
      </c>
      <c r="W786" t="s">
        <v>714</v>
      </c>
      <c r="X786" t="s">
        <v>686</v>
      </c>
      <c r="Y786" t="s">
        <v>786</v>
      </c>
      <c r="Z786" t="s">
        <v>786</v>
      </c>
      <c r="AA786" t="s">
        <v>787</v>
      </c>
      <c r="AB786" s="3">
        <f t="shared" si="101"/>
        <v>1.220000000000004</v>
      </c>
      <c r="AC786">
        <v>100.95</v>
      </c>
      <c r="AD786" s="2">
        <v>82.745901639343998</v>
      </c>
      <c r="AE786" s="2">
        <v>21.34</v>
      </c>
      <c r="AF786" s="2">
        <v>0.75</v>
      </c>
      <c r="AG786" s="2">
        <v>123.3</v>
      </c>
      <c r="AH786">
        <v>0</v>
      </c>
      <c r="AI786">
        <v>101.06557377049</v>
      </c>
      <c r="AJ786">
        <v>0.61650000000000005</v>
      </c>
      <c r="AK786" t="s">
        <v>54</v>
      </c>
      <c r="AL786">
        <v>0.73</v>
      </c>
      <c r="AM786" s="4">
        <f t="shared" si="102"/>
        <v>101.06557377049147</v>
      </c>
      <c r="AN786" s="4">
        <f t="shared" si="103"/>
        <v>155.14856557376999</v>
      </c>
      <c r="AO786" s="4">
        <f t="shared" si="104"/>
        <v>172.37005635245845</v>
      </c>
      <c r="AP786" s="4">
        <f t="shared" si="105"/>
        <v>251.32516137294999</v>
      </c>
      <c r="AQ786" s="10">
        <f t="shared" si="98"/>
        <v>175.76313934426173</v>
      </c>
      <c r="AR786" s="10">
        <f t="shared" si="99"/>
        <v>195.2904241254092</v>
      </c>
      <c r="AS786" s="10">
        <f t="shared" si="100"/>
        <v>273.62805533114664</v>
      </c>
    </row>
    <row r="787" spans="1:45" x14ac:dyDescent="0.3">
      <c r="A787">
        <v>2025</v>
      </c>
      <c r="B787">
        <v>6</v>
      </c>
      <c r="C787" t="s">
        <v>55</v>
      </c>
      <c r="D787">
        <v>10</v>
      </c>
      <c r="E787" t="s">
        <v>36</v>
      </c>
      <c r="F787" t="s">
        <v>37</v>
      </c>
      <c r="G787" t="s">
        <v>38</v>
      </c>
      <c r="H787" t="s">
        <v>78</v>
      </c>
      <c r="I787" t="s">
        <v>190</v>
      </c>
      <c r="J787" t="s">
        <v>58</v>
      </c>
      <c r="K787" t="s">
        <v>59</v>
      </c>
      <c r="M787" t="s">
        <v>730</v>
      </c>
      <c r="N787" t="s">
        <v>731</v>
      </c>
      <c r="O787" t="s">
        <v>36</v>
      </c>
      <c r="Q787" t="s">
        <v>62</v>
      </c>
      <c r="R787" t="s">
        <v>732</v>
      </c>
      <c r="S787" t="s">
        <v>732</v>
      </c>
      <c r="T787" t="s">
        <v>47</v>
      </c>
      <c r="U787" t="s">
        <v>118</v>
      </c>
      <c r="V787" t="s">
        <v>49</v>
      </c>
      <c r="W787" t="s">
        <v>714</v>
      </c>
      <c r="X787" t="s">
        <v>686</v>
      </c>
      <c r="Y787" t="s">
        <v>515</v>
      </c>
      <c r="Z787" t="s">
        <v>515</v>
      </c>
      <c r="AA787" t="s">
        <v>817</v>
      </c>
      <c r="AB787" s="3">
        <f t="shared" si="101"/>
        <v>8</v>
      </c>
      <c r="AC787">
        <v>891.54</v>
      </c>
      <c r="AD787" s="2">
        <v>111.4425</v>
      </c>
      <c r="AE787" s="2">
        <v>188.5</v>
      </c>
      <c r="AF787" s="2">
        <v>6.59</v>
      </c>
      <c r="AG787" s="2">
        <v>1086.6400000000001</v>
      </c>
      <c r="AH787">
        <v>0</v>
      </c>
      <c r="AI787">
        <v>135.83000000000001</v>
      </c>
      <c r="AJ787">
        <v>5.4332000000000003</v>
      </c>
      <c r="AK787" t="s">
        <v>54</v>
      </c>
      <c r="AL787">
        <v>6.44</v>
      </c>
      <c r="AM787" s="4">
        <f t="shared" si="102"/>
        <v>135.83000000000001</v>
      </c>
      <c r="AN787" s="4">
        <f t="shared" si="103"/>
        <v>208.95468749999998</v>
      </c>
      <c r="AO787" s="4">
        <f t="shared" si="104"/>
        <v>232.14865781249998</v>
      </c>
      <c r="AP787" s="4">
        <f t="shared" si="105"/>
        <v>338.48569828124994</v>
      </c>
      <c r="AQ787" s="10">
        <f t="shared" si="98"/>
        <v>236.22195300000004</v>
      </c>
      <c r="AR787" s="10">
        <f t="shared" si="99"/>
        <v>262.46621197830007</v>
      </c>
      <c r="AS787" s="10">
        <f t="shared" si="100"/>
        <v>367.75033643040007</v>
      </c>
    </row>
    <row r="788" spans="1:45" x14ac:dyDescent="0.3">
      <c r="A788">
        <v>2025</v>
      </c>
      <c r="B788">
        <v>6</v>
      </c>
      <c r="C788" t="s">
        <v>55</v>
      </c>
      <c r="D788">
        <v>10</v>
      </c>
      <c r="E788" t="s">
        <v>36</v>
      </c>
      <c r="F788" t="s">
        <v>37</v>
      </c>
      <c r="G788" t="s">
        <v>38</v>
      </c>
      <c r="H788" t="s">
        <v>101</v>
      </c>
      <c r="I788" t="s">
        <v>190</v>
      </c>
      <c r="J788" t="s">
        <v>58</v>
      </c>
      <c r="K788" t="s">
        <v>59</v>
      </c>
      <c r="M788" t="s">
        <v>730</v>
      </c>
      <c r="N788" t="s">
        <v>731</v>
      </c>
      <c r="O788" t="s">
        <v>36</v>
      </c>
      <c r="Q788" t="s">
        <v>62</v>
      </c>
      <c r="R788" t="s">
        <v>732</v>
      </c>
      <c r="S788" t="s">
        <v>732</v>
      </c>
      <c r="T788" t="s">
        <v>47</v>
      </c>
      <c r="U788" t="s">
        <v>118</v>
      </c>
      <c r="V788" t="s">
        <v>49</v>
      </c>
      <c r="W788" t="s">
        <v>714</v>
      </c>
      <c r="X788" t="s">
        <v>686</v>
      </c>
      <c r="Y788" t="s">
        <v>515</v>
      </c>
      <c r="Z788" t="s">
        <v>515</v>
      </c>
      <c r="AA788" t="s">
        <v>817</v>
      </c>
      <c r="AB788" s="3">
        <f t="shared" si="101"/>
        <v>2</v>
      </c>
      <c r="AC788">
        <v>222.89</v>
      </c>
      <c r="AD788" s="2">
        <v>111.44499999999999</v>
      </c>
      <c r="AE788" s="2">
        <v>47.13</v>
      </c>
      <c r="AF788" s="2">
        <v>1.65</v>
      </c>
      <c r="AG788" s="2">
        <v>271.66000000000003</v>
      </c>
      <c r="AH788">
        <v>0</v>
      </c>
      <c r="AI788">
        <v>135.83000000000001</v>
      </c>
      <c r="AJ788">
        <v>1.3583000000000001</v>
      </c>
      <c r="AK788" t="s">
        <v>54</v>
      </c>
      <c r="AL788">
        <v>1.61</v>
      </c>
      <c r="AM788" s="4">
        <f t="shared" si="102"/>
        <v>135.83000000000001</v>
      </c>
      <c r="AN788" s="4">
        <f t="shared" si="103"/>
        <v>208.95937499999999</v>
      </c>
      <c r="AO788" s="4">
        <f t="shared" si="104"/>
        <v>232.15386562499998</v>
      </c>
      <c r="AP788" s="4">
        <f t="shared" si="105"/>
        <v>338.49329156249996</v>
      </c>
      <c r="AQ788" s="10">
        <f t="shared" si="98"/>
        <v>236.22195300000004</v>
      </c>
      <c r="AR788" s="10">
        <f t="shared" si="99"/>
        <v>262.46621197830007</v>
      </c>
      <c r="AS788" s="10">
        <f t="shared" si="100"/>
        <v>367.75033643040007</v>
      </c>
    </row>
    <row r="789" spans="1:45" x14ac:dyDescent="0.3">
      <c r="A789">
        <v>2025</v>
      </c>
      <c r="B789">
        <v>6</v>
      </c>
      <c r="C789" t="s">
        <v>55</v>
      </c>
      <c r="D789">
        <v>10</v>
      </c>
      <c r="E789" t="s">
        <v>36</v>
      </c>
      <c r="F789" t="s">
        <v>37</v>
      </c>
      <c r="G789" t="s">
        <v>38</v>
      </c>
      <c r="H789" t="s">
        <v>101</v>
      </c>
      <c r="I789" t="s">
        <v>190</v>
      </c>
      <c r="J789" t="s">
        <v>58</v>
      </c>
      <c r="K789" t="s">
        <v>59</v>
      </c>
      <c r="M789" t="s">
        <v>730</v>
      </c>
      <c r="N789" t="s">
        <v>731</v>
      </c>
      <c r="O789" t="s">
        <v>36</v>
      </c>
      <c r="Q789" t="s">
        <v>62</v>
      </c>
      <c r="R789" t="s">
        <v>732</v>
      </c>
      <c r="S789" t="s">
        <v>732</v>
      </c>
      <c r="T789" t="s">
        <v>47</v>
      </c>
      <c r="U789" t="s">
        <v>118</v>
      </c>
      <c r="V789" t="s">
        <v>49</v>
      </c>
      <c r="W789" t="s">
        <v>714</v>
      </c>
      <c r="X789" t="s">
        <v>686</v>
      </c>
      <c r="Y789" t="s">
        <v>837</v>
      </c>
      <c r="Z789" t="s">
        <v>837</v>
      </c>
      <c r="AA789" t="s">
        <v>838</v>
      </c>
      <c r="AB789" s="3">
        <f t="shared" si="101"/>
        <v>6.9999999999999725</v>
      </c>
      <c r="AC789">
        <v>2574.89</v>
      </c>
      <c r="AD789" s="2">
        <v>367.84142857143001</v>
      </c>
      <c r="AE789" s="2">
        <v>544.41999999999996</v>
      </c>
      <c r="AF789" s="2">
        <v>19.5</v>
      </c>
      <c r="AG789" s="2">
        <v>3138.35</v>
      </c>
      <c r="AH789">
        <v>0</v>
      </c>
      <c r="AI789">
        <v>448.33571428571003</v>
      </c>
      <c r="AJ789">
        <v>15.691750000000001</v>
      </c>
      <c r="AK789" t="s">
        <v>54</v>
      </c>
      <c r="AL789">
        <v>18.61</v>
      </c>
      <c r="AM789" s="4">
        <f t="shared" si="102"/>
        <v>448.33571428571605</v>
      </c>
      <c r="AN789" s="4">
        <f t="shared" si="103"/>
        <v>689.70267857143131</v>
      </c>
      <c r="AO789" s="4">
        <f t="shared" si="104"/>
        <v>766.25967589286017</v>
      </c>
      <c r="AP789" s="4">
        <f t="shared" si="105"/>
        <v>1117.2493690178615</v>
      </c>
      <c r="AQ789" s="10">
        <f t="shared" si="98"/>
        <v>779.70064071428885</v>
      </c>
      <c r="AR789" s="10">
        <f t="shared" si="99"/>
        <v>866.32538189764637</v>
      </c>
      <c r="AS789" s="10">
        <f t="shared" si="100"/>
        <v>1213.8379574640048</v>
      </c>
    </row>
    <row r="790" spans="1:45" x14ac:dyDescent="0.3">
      <c r="A790">
        <v>2025</v>
      </c>
      <c r="B790">
        <v>6</v>
      </c>
      <c r="C790" t="s">
        <v>55</v>
      </c>
      <c r="D790">
        <v>10</v>
      </c>
      <c r="E790" t="s">
        <v>36</v>
      </c>
      <c r="F790" t="s">
        <v>37</v>
      </c>
      <c r="G790" t="s">
        <v>38</v>
      </c>
      <c r="H790" t="s">
        <v>101</v>
      </c>
      <c r="I790" t="s">
        <v>190</v>
      </c>
      <c r="J790" t="s">
        <v>58</v>
      </c>
      <c r="K790" t="s">
        <v>59</v>
      </c>
      <c r="M790" t="s">
        <v>730</v>
      </c>
      <c r="N790" t="s">
        <v>731</v>
      </c>
      <c r="O790" t="s">
        <v>36</v>
      </c>
      <c r="Q790" t="s">
        <v>62</v>
      </c>
      <c r="R790" t="s">
        <v>732</v>
      </c>
      <c r="S790" t="s">
        <v>732</v>
      </c>
      <c r="T790" t="s">
        <v>47</v>
      </c>
      <c r="U790" t="s">
        <v>118</v>
      </c>
      <c r="V790" t="s">
        <v>49</v>
      </c>
      <c r="W790" t="s">
        <v>714</v>
      </c>
      <c r="X790" t="s">
        <v>686</v>
      </c>
      <c r="Y790" t="s">
        <v>835</v>
      </c>
      <c r="Z790" t="s">
        <v>835</v>
      </c>
      <c r="AA790" t="s">
        <v>836</v>
      </c>
      <c r="AB790" s="3">
        <f t="shared" si="101"/>
        <v>3.0000000000000271</v>
      </c>
      <c r="AC790">
        <v>1103.53</v>
      </c>
      <c r="AD790" s="2">
        <v>367.84333333333001</v>
      </c>
      <c r="AE790" s="2">
        <v>233.32</v>
      </c>
      <c r="AF790" s="2">
        <v>8.16</v>
      </c>
      <c r="AG790" s="2">
        <v>1345.1</v>
      </c>
      <c r="AH790">
        <v>0</v>
      </c>
      <c r="AI790">
        <v>448.36666666667003</v>
      </c>
      <c r="AJ790">
        <v>6.7255000000000003</v>
      </c>
      <c r="AK790" t="s">
        <v>54</v>
      </c>
      <c r="AL790">
        <v>7.98</v>
      </c>
      <c r="AM790" s="4">
        <f t="shared" si="102"/>
        <v>448.36666666666258</v>
      </c>
      <c r="AN790" s="4">
        <f t="shared" si="103"/>
        <v>689.70624999999382</v>
      </c>
      <c r="AO790" s="4">
        <f t="shared" si="104"/>
        <v>766.26364374999309</v>
      </c>
      <c r="AP790" s="4">
        <f t="shared" si="105"/>
        <v>1117.2551543749898</v>
      </c>
      <c r="AQ790" s="10">
        <f t="shared" si="98"/>
        <v>779.75446999999292</v>
      </c>
      <c r="AR790" s="10">
        <f t="shared" si="99"/>
        <v>866.38519161699207</v>
      </c>
      <c r="AS790" s="10">
        <f t="shared" si="100"/>
        <v>1213.9217588959889</v>
      </c>
    </row>
    <row r="791" spans="1:45" x14ac:dyDescent="0.3">
      <c r="A791">
        <v>2025</v>
      </c>
      <c r="B791">
        <v>6</v>
      </c>
      <c r="C791" t="s">
        <v>55</v>
      </c>
      <c r="D791">
        <v>10</v>
      </c>
      <c r="E791" t="s">
        <v>36</v>
      </c>
      <c r="F791" t="s">
        <v>37</v>
      </c>
      <c r="G791" t="s">
        <v>38</v>
      </c>
      <c r="H791" t="s">
        <v>101</v>
      </c>
      <c r="I791" t="s">
        <v>190</v>
      </c>
      <c r="J791" t="s">
        <v>58</v>
      </c>
      <c r="K791" t="s">
        <v>59</v>
      </c>
      <c r="M791" t="s">
        <v>730</v>
      </c>
      <c r="N791" t="s">
        <v>731</v>
      </c>
      <c r="O791" t="s">
        <v>36</v>
      </c>
      <c r="Q791" t="s">
        <v>62</v>
      </c>
      <c r="R791" t="s">
        <v>732</v>
      </c>
      <c r="S791" t="s">
        <v>732</v>
      </c>
      <c r="T791" t="s">
        <v>47</v>
      </c>
      <c r="U791" t="s">
        <v>247</v>
      </c>
      <c r="V791" t="s">
        <v>49</v>
      </c>
      <c r="W791" t="s">
        <v>248</v>
      </c>
      <c r="X791" t="s">
        <v>686</v>
      </c>
      <c r="Y791" t="s">
        <v>826</v>
      </c>
      <c r="Z791" t="s">
        <v>826</v>
      </c>
      <c r="AA791" t="s">
        <v>827</v>
      </c>
      <c r="AB791" s="3">
        <f t="shared" si="101"/>
        <v>1</v>
      </c>
      <c r="AC791">
        <v>312.55</v>
      </c>
      <c r="AD791" s="2">
        <v>312.55</v>
      </c>
      <c r="AE791" s="2">
        <v>66.8</v>
      </c>
      <c r="AF791" s="2">
        <v>2.31</v>
      </c>
      <c r="AG791" s="2">
        <v>380.94</v>
      </c>
      <c r="AH791">
        <v>0</v>
      </c>
      <c r="AI791">
        <v>380.94</v>
      </c>
      <c r="AJ791">
        <v>1.9047000000000001</v>
      </c>
      <c r="AK791" t="s">
        <v>54</v>
      </c>
      <c r="AL791">
        <v>2.2599999999999998</v>
      </c>
      <c r="AM791" s="4">
        <f t="shared" si="102"/>
        <v>380.94</v>
      </c>
      <c r="AN791" s="4">
        <f t="shared" si="103"/>
        <v>586.03125</v>
      </c>
      <c r="AO791" s="4">
        <f t="shared" si="104"/>
        <v>651.08071874999996</v>
      </c>
      <c r="AP791" s="4">
        <f t="shared" si="105"/>
        <v>949.31202187499991</v>
      </c>
      <c r="AQ791" s="10">
        <f t="shared" si="98"/>
        <v>662.49275399999999</v>
      </c>
      <c r="AR791" s="10">
        <f t="shared" si="99"/>
        <v>736.09569896940002</v>
      </c>
      <c r="AS791" s="10">
        <f t="shared" si="100"/>
        <v>1031.3687194271999</v>
      </c>
    </row>
    <row r="792" spans="1:45" x14ac:dyDescent="0.3">
      <c r="A792">
        <v>2025</v>
      </c>
      <c r="B792">
        <v>6</v>
      </c>
      <c r="C792" t="s">
        <v>55</v>
      </c>
      <c r="D792">
        <v>10</v>
      </c>
      <c r="E792" t="s">
        <v>36</v>
      </c>
      <c r="F792" t="s">
        <v>37</v>
      </c>
      <c r="G792" t="s">
        <v>38</v>
      </c>
      <c r="H792" t="s">
        <v>83</v>
      </c>
      <c r="I792" t="s">
        <v>190</v>
      </c>
      <c r="J792" t="s">
        <v>58</v>
      </c>
      <c r="K792" t="s">
        <v>59</v>
      </c>
      <c r="M792" t="s">
        <v>730</v>
      </c>
      <c r="N792" t="s">
        <v>731</v>
      </c>
      <c r="O792" t="s">
        <v>36</v>
      </c>
      <c r="Q792" t="s">
        <v>62</v>
      </c>
      <c r="R792" t="s">
        <v>732</v>
      </c>
      <c r="S792" t="s">
        <v>732</v>
      </c>
      <c r="T792" t="s">
        <v>47</v>
      </c>
      <c r="U792" t="s">
        <v>359</v>
      </c>
      <c r="V792" t="s">
        <v>49</v>
      </c>
      <c r="W792" t="s">
        <v>896</v>
      </c>
      <c r="X792" t="s">
        <v>686</v>
      </c>
      <c r="Y792" t="s">
        <v>794</v>
      </c>
      <c r="Z792" t="s">
        <v>794</v>
      </c>
      <c r="AA792" t="s">
        <v>795</v>
      </c>
      <c r="AB792" s="3">
        <f t="shared" si="101"/>
        <v>1.7000000000000011</v>
      </c>
      <c r="AC792">
        <v>168.36</v>
      </c>
      <c r="AD792" s="2">
        <v>99.035294117646998</v>
      </c>
      <c r="AE792" s="2">
        <v>35.6</v>
      </c>
      <c r="AF792" s="2">
        <v>1.25</v>
      </c>
      <c r="AG792" s="2">
        <v>205.2</v>
      </c>
      <c r="AH792">
        <v>0</v>
      </c>
      <c r="AI792">
        <v>120.70588235293999</v>
      </c>
      <c r="AJ792">
        <v>1.026</v>
      </c>
      <c r="AK792" t="s">
        <v>54</v>
      </c>
      <c r="AL792">
        <v>1.22</v>
      </c>
      <c r="AM792" s="4">
        <f t="shared" si="102"/>
        <v>120.70588235294109</v>
      </c>
      <c r="AN792" s="4">
        <f t="shared" si="103"/>
        <v>185.69117647058812</v>
      </c>
      <c r="AO792" s="4">
        <f t="shared" si="104"/>
        <v>206.30289705882339</v>
      </c>
      <c r="AP792" s="4">
        <f t="shared" si="105"/>
        <v>300.80113676470569</v>
      </c>
      <c r="AQ792" s="10">
        <f t="shared" si="98"/>
        <v>209.91959999999986</v>
      </c>
      <c r="AR792" s="10">
        <f t="shared" si="99"/>
        <v>233.24166755999985</v>
      </c>
      <c r="AS792" s="10">
        <f t="shared" si="100"/>
        <v>326.80283327999979</v>
      </c>
    </row>
    <row r="793" spans="1:45" x14ac:dyDescent="0.3">
      <c r="A793">
        <v>2025</v>
      </c>
      <c r="B793">
        <v>6</v>
      </c>
      <c r="C793" t="s">
        <v>55</v>
      </c>
      <c r="D793">
        <v>10</v>
      </c>
      <c r="E793" t="s">
        <v>36</v>
      </c>
      <c r="F793" t="s">
        <v>37</v>
      </c>
      <c r="G793" t="s">
        <v>38</v>
      </c>
      <c r="H793" t="s">
        <v>78</v>
      </c>
      <c r="I793" t="s">
        <v>190</v>
      </c>
      <c r="J793" t="s">
        <v>58</v>
      </c>
      <c r="K793" t="s">
        <v>59</v>
      </c>
      <c r="M793" t="s">
        <v>730</v>
      </c>
      <c r="N793" t="s">
        <v>731</v>
      </c>
      <c r="O793" t="s">
        <v>36</v>
      </c>
      <c r="Q793" t="s">
        <v>62</v>
      </c>
      <c r="R793" t="s">
        <v>732</v>
      </c>
      <c r="S793" t="s">
        <v>732</v>
      </c>
      <c r="T793" t="s">
        <v>47</v>
      </c>
      <c r="U793" t="s">
        <v>118</v>
      </c>
      <c r="V793" t="s">
        <v>49</v>
      </c>
      <c r="W793" t="s">
        <v>714</v>
      </c>
      <c r="X793" t="s">
        <v>686</v>
      </c>
      <c r="Y793" t="s">
        <v>620</v>
      </c>
      <c r="Z793" t="s">
        <v>620</v>
      </c>
      <c r="AA793" t="s">
        <v>897</v>
      </c>
      <c r="AB793" s="3">
        <f t="shared" si="101"/>
        <v>9.9999999999999982</v>
      </c>
      <c r="AC793">
        <v>871.65</v>
      </c>
      <c r="AD793" s="2">
        <v>87.165000000000006</v>
      </c>
      <c r="AE793" s="2">
        <v>184.3</v>
      </c>
      <c r="AF793" s="2">
        <v>6.45</v>
      </c>
      <c r="AG793" s="2">
        <v>1062.3900000000001</v>
      </c>
      <c r="AH793">
        <v>0</v>
      </c>
      <c r="AI793">
        <v>106.239</v>
      </c>
      <c r="AJ793">
        <v>5.3119500000000004</v>
      </c>
      <c r="AK793" t="s">
        <v>54</v>
      </c>
      <c r="AL793">
        <v>6.3</v>
      </c>
      <c r="AM793" s="4">
        <f t="shared" si="102"/>
        <v>106.23900000000003</v>
      </c>
      <c r="AN793" s="4">
        <f t="shared" si="103"/>
        <v>163.43437500000002</v>
      </c>
      <c r="AO793" s="4">
        <f t="shared" si="104"/>
        <v>181.57559062500002</v>
      </c>
      <c r="AP793" s="4">
        <f t="shared" si="105"/>
        <v>264.74734406250002</v>
      </c>
      <c r="AQ793" s="10">
        <f t="shared" si="98"/>
        <v>184.76024490000006</v>
      </c>
      <c r="AR793" s="10">
        <f t="shared" si="99"/>
        <v>205.28710810839007</v>
      </c>
      <c r="AS793" s="10">
        <f t="shared" si="100"/>
        <v>287.63474926032006</v>
      </c>
    </row>
    <row r="794" spans="1:45" x14ac:dyDescent="0.3">
      <c r="A794">
        <v>2025</v>
      </c>
      <c r="B794">
        <v>6</v>
      </c>
      <c r="C794" t="s">
        <v>55</v>
      </c>
      <c r="D794">
        <v>10</v>
      </c>
      <c r="E794" t="s">
        <v>36</v>
      </c>
      <c r="F794" t="s">
        <v>37</v>
      </c>
      <c r="G794" t="s">
        <v>38</v>
      </c>
      <c r="H794" t="s">
        <v>83</v>
      </c>
      <c r="I794" t="s">
        <v>190</v>
      </c>
      <c r="J794" t="s">
        <v>58</v>
      </c>
      <c r="K794" t="s">
        <v>59</v>
      </c>
      <c r="M794" t="s">
        <v>730</v>
      </c>
      <c r="N794" t="s">
        <v>731</v>
      </c>
      <c r="O794" t="s">
        <v>36</v>
      </c>
      <c r="Q794" t="s">
        <v>62</v>
      </c>
      <c r="R794" t="s">
        <v>732</v>
      </c>
      <c r="S794" t="s">
        <v>732</v>
      </c>
      <c r="T794" t="s">
        <v>47</v>
      </c>
      <c r="U794" t="s">
        <v>118</v>
      </c>
      <c r="V794" t="s">
        <v>49</v>
      </c>
      <c r="W794" t="s">
        <v>714</v>
      </c>
      <c r="X794" t="s">
        <v>686</v>
      </c>
      <c r="Y794" t="s">
        <v>125</v>
      </c>
      <c r="Z794" t="s">
        <v>125</v>
      </c>
      <c r="AA794" t="s">
        <v>834</v>
      </c>
      <c r="AB794" s="3">
        <f t="shared" si="101"/>
        <v>9.9999999999999982</v>
      </c>
      <c r="AC794">
        <v>2790.45</v>
      </c>
      <c r="AD794" s="2">
        <v>279.04500000000002</v>
      </c>
      <c r="AE794" s="2">
        <v>590</v>
      </c>
      <c r="AF794" s="2">
        <v>20.64</v>
      </c>
      <c r="AG794" s="2">
        <v>3401.9</v>
      </c>
      <c r="AH794">
        <v>0</v>
      </c>
      <c r="AI794">
        <v>340.19</v>
      </c>
      <c r="AJ794">
        <v>17.009499999999999</v>
      </c>
      <c r="AK794" t="s">
        <v>54</v>
      </c>
      <c r="AL794">
        <v>20.170000000000002</v>
      </c>
      <c r="AM794" s="4">
        <f t="shared" si="102"/>
        <v>340.19000000000005</v>
      </c>
      <c r="AN794" s="4">
        <f t="shared" si="103"/>
        <v>523.20937500000002</v>
      </c>
      <c r="AO794" s="4">
        <f t="shared" si="104"/>
        <v>581.28561562499999</v>
      </c>
      <c r="AP794" s="4">
        <f t="shared" si="105"/>
        <v>847.54686656249999</v>
      </c>
      <c r="AQ794" s="10">
        <f t="shared" si="98"/>
        <v>591.62442900000008</v>
      </c>
      <c r="AR794" s="10">
        <f t="shared" si="99"/>
        <v>657.35390306190004</v>
      </c>
      <c r="AS794" s="10">
        <f t="shared" si="100"/>
        <v>921.04091106720011</v>
      </c>
    </row>
    <row r="795" spans="1:45" x14ac:dyDescent="0.3">
      <c r="A795">
        <v>2025</v>
      </c>
      <c r="B795">
        <v>4</v>
      </c>
      <c r="C795" t="s">
        <v>55</v>
      </c>
      <c r="D795">
        <v>10</v>
      </c>
      <c r="E795" t="s">
        <v>36</v>
      </c>
      <c r="F795" t="s">
        <v>37</v>
      </c>
      <c r="G795" t="s">
        <v>38</v>
      </c>
      <c r="H795" t="s">
        <v>78</v>
      </c>
      <c r="I795" t="s">
        <v>375</v>
      </c>
      <c r="J795" t="s">
        <v>376</v>
      </c>
      <c r="K795" t="s">
        <v>59</v>
      </c>
      <c r="M795">
        <v>2503061</v>
      </c>
      <c r="N795" t="s">
        <v>377</v>
      </c>
      <c r="O795" t="s">
        <v>36</v>
      </c>
      <c r="Q795" t="s">
        <v>62</v>
      </c>
      <c r="R795" t="s">
        <v>378</v>
      </c>
      <c r="S795" t="s">
        <v>378</v>
      </c>
      <c r="T795" t="s">
        <v>47</v>
      </c>
      <c r="U795" t="s">
        <v>118</v>
      </c>
      <c r="V795" t="s">
        <v>49</v>
      </c>
      <c r="W795" t="s">
        <v>119</v>
      </c>
      <c r="X795" t="s">
        <v>51</v>
      </c>
      <c r="Y795" t="s">
        <v>830</v>
      </c>
      <c r="Z795" t="s">
        <v>830</v>
      </c>
      <c r="AA795" t="s">
        <v>831</v>
      </c>
      <c r="AB795" s="3">
        <f t="shared" si="101"/>
        <v>1</v>
      </c>
      <c r="AC795">
        <v>187.32</v>
      </c>
      <c r="AD795" s="2">
        <v>187.32</v>
      </c>
      <c r="AE795" s="2">
        <v>39.61</v>
      </c>
      <c r="AF795" s="2">
        <v>1.39</v>
      </c>
      <c r="AG795" s="2">
        <v>228.31</v>
      </c>
      <c r="AH795">
        <v>0</v>
      </c>
      <c r="AI795">
        <v>228.31</v>
      </c>
      <c r="AJ795">
        <v>1.1415500000000001</v>
      </c>
      <c r="AK795" t="s">
        <v>54</v>
      </c>
      <c r="AL795">
        <v>1.35</v>
      </c>
      <c r="AM795" s="4">
        <f t="shared" si="102"/>
        <v>228.31</v>
      </c>
      <c r="AN795" s="4">
        <f t="shared" si="103"/>
        <v>351.22499999999997</v>
      </c>
      <c r="AO795" s="4">
        <f t="shared" si="104"/>
        <v>390.21097499999996</v>
      </c>
      <c r="AP795" s="4">
        <f t="shared" si="105"/>
        <v>568.94937749999985</v>
      </c>
      <c r="AQ795" s="10">
        <f t="shared" si="98"/>
        <v>397.053921</v>
      </c>
      <c r="AR795" s="10">
        <f t="shared" si="99"/>
        <v>441.16661162309998</v>
      </c>
      <c r="AS795" s="10">
        <f t="shared" si="100"/>
        <v>618.13354421279996</v>
      </c>
    </row>
    <row r="796" spans="1:45" x14ac:dyDescent="0.3">
      <c r="A796">
        <v>2025</v>
      </c>
      <c r="B796">
        <v>4</v>
      </c>
      <c r="C796" t="s">
        <v>55</v>
      </c>
      <c r="D796">
        <v>10</v>
      </c>
      <c r="E796" t="s">
        <v>36</v>
      </c>
      <c r="F796" t="s">
        <v>37</v>
      </c>
      <c r="G796" t="s">
        <v>38</v>
      </c>
      <c r="H796" t="s">
        <v>78</v>
      </c>
      <c r="I796" t="s">
        <v>190</v>
      </c>
      <c r="J796" t="s">
        <v>58</v>
      </c>
      <c r="K796" t="s">
        <v>59</v>
      </c>
      <c r="M796" t="s">
        <v>383</v>
      </c>
      <c r="N796" t="s">
        <v>384</v>
      </c>
      <c r="O796" t="s">
        <v>36</v>
      </c>
      <c r="Q796" t="s">
        <v>62</v>
      </c>
      <c r="R796" t="s">
        <v>385</v>
      </c>
      <c r="S796" t="s">
        <v>385</v>
      </c>
      <c r="T796" t="s">
        <v>47</v>
      </c>
      <c r="U796" t="s">
        <v>118</v>
      </c>
      <c r="V796" t="s">
        <v>49</v>
      </c>
      <c r="W796" t="s">
        <v>119</v>
      </c>
      <c r="X796" t="s">
        <v>388</v>
      </c>
      <c r="Y796" t="s">
        <v>109</v>
      </c>
      <c r="Z796" t="s">
        <v>109</v>
      </c>
      <c r="AA796" t="s">
        <v>484</v>
      </c>
      <c r="AB796" s="3">
        <f t="shared" si="101"/>
        <v>6.0000000000000009</v>
      </c>
      <c r="AC796">
        <v>539.85</v>
      </c>
      <c r="AD796" s="2">
        <v>89.974999999999994</v>
      </c>
      <c r="AE796" s="2">
        <v>90.52</v>
      </c>
      <c r="AF796" s="2">
        <v>3.78</v>
      </c>
      <c r="AG796" s="2">
        <v>634.16</v>
      </c>
      <c r="AH796">
        <v>0</v>
      </c>
      <c r="AI796">
        <v>105.69333333333</v>
      </c>
      <c r="AJ796">
        <v>3.1707999999999998</v>
      </c>
      <c r="AK796" t="s">
        <v>54</v>
      </c>
      <c r="AL796">
        <v>4.32</v>
      </c>
      <c r="AM796" s="4">
        <f t="shared" si="102"/>
        <v>105.69333333333331</v>
      </c>
      <c r="AN796" s="4">
        <f t="shared" si="103"/>
        <v>168.703125</v>
      </c>
      <c r="AO796" s="4">
        <f t="shared" si="104"/>
        <v>187.42917187500001</v>
      </c>
      <c r="AP796" s="4">
        <f t="shared" si="105"/>
        <v>273.28219218749996</v>
      </c>
      <c r="AQ796" s="10">
        <f t="shared" si="98"/>
        <v>183.81127599999996</v>
      </c>
      <c r="AR796" s="10">
        <f t="shared" si="99"/>
        <v>204.23270876359996</v>
      </c>
      <c r="AS796" s="10">
        <f t="shared" si="100"/>
        <v>286.15739447679994</v>
      </c>
    </row>
    <row r="797" spans="1:45" x14ac:dyDescent="0.3">
      <c r="A797">
        <v>2025</v>
      </c>
      <c r="B797">
        <v>4</v>
      </c>
      <c r="C797" t="s">
        <v>55</v>
      </c>
      <c r="D797">
        <v>10</v>
      </c>
      <c r="E797" t="s">
        <v>36</v>
      </c>
      <c r="F797" t="s">
        <v>37</v>
      </c>
      <c r="G797" t="s">
        <v>38</v>
      </c>
      <c r="H797" t="s">
        <v>83</v>
      </c>
      <c r="I797" t="s">
        <v>375</v>
      </c>
      <c r="J797" t="s">
        <v>376</v>
      </c>
      <c r="K797" t="s">
        <v>59</v>
      </c>
      <c r="M797">
        <v>2503061</v>
      </c>
      <c r="N797" t="s">
        <v>377</v>
      </c>
      <c r="O797" t="s">
        <v>36</v>
      </c>
      <c r="Q797" t="s">
        <v>62</v>
      </c>
      <c r="R797" t="s">
        <v>378</v>
      </c>
      <c r="S797" t="s">
        <v>378</v>
      </c>
      <c r="T797" t="s">
        <v>47</v>
      </c>
      <c r="U797" t="s">
        <v>167</v>
      </c>
      <c r="V797" t="s">
        <v>49</v>
      </c>
      <c r="W797" t="s">
        <v>168</v>
      </c>
      <c r="X797" t="s">
        <v>51</v>
      </c>
      <c r="Y797" t="s">
        <v>109</v>
      </c>
      <c r="Z797" t="s">
        <v>109</v>
      </c>
      <c r="AA797" t="s">
        <v>484</v>
      </c>
      <c r="AB797" s="3">
        <f t="shared" si="101"/>
        <v>8</v>
      </c>
      <c r="AC797">
        <v>481.82</v>
      </c>
      <c r="AD797" s="2">
        <v>60.227499999999999</v>
      </c>
      <c r="AE797" s="2">
        <v>122.59</v>
      </c>
      <c r="AF797" s="2">
        <v>3.02</v>
      </c>
      <c r="AG797" s="2">
        <v>607.42999999999995</v>
      </c>
      <c r="AH797">
        <v>0</v>
      </c>
      <c r="AI797">
        <v>75.928749999999994</v>
      </c>
      <c r="AJ797">
        <v>3.03715</v>
      </c>
      <c r="AK797" t="s">
        <v>54</v>
      </c>
      <c r="AL797">
        <v>6.24</v>
      </c>
      <c r="AM797" s="4">
        <f t="shared" si="102"/>
        <v>75.928749999999994</v>
      </c>
      <c r="AN797" s="4">
        <f t="shared" si="103"/>
        <v>112.9265625</v>
      </c>
      <c r="AO797" s="4">
        <f t="shared" si="104"/>
        <v>125.46141093750001</v>
      </c>
      <c r="AP797" s="4">
        <f t="shared" si="105"/>
        <v>182.92973859374999</v>
      </c>
      <c r="AQ797" s="10">
        <f t="shared" si="98"/>
        <v>132.04768912500001</v>
      </c>
      <c r="AR797" s="10">
        <f t="shared" si="99"/>
        <v>146.71818738678749</v>
      </c>
      <c r="AS797" s="10">
        <f t="shared" si="100"/>
        <v>205.5718424298</v>
      </c>
    </row>
    <row r="798" spans="1:45" x14ac:dyDescent="0.3">
      <c r="A798">
        <v>2025</v>
      </c>
      <c r="B798">
        <v>8</v>
      </c>
      <c r="C798" t="s">
        <v>55</v>
      </c>
      <c r="D798">
        <v>10</v>
      </c>
      <c r="E798" t="s">
        <v>36</v>
      </c>
      <c r="F798" t="s">
        <v>37</v>
      </c>
      <c r="G798" t="s">
        <v>38</v>
      </c>
      <c r="H798" t="s">
        <v>83</v>
      </c>
      <c r="I798" t="s">
        <v>190</v>
      </c>
      <c r="J798" t="s">
        <v>58</v>
      </c>
      <c r="K798" t="s">
        <v>59</v>
      </c>
      <c r="L798" t="s">
        <v>1194</v>
      </c>
      <c r="M798" t="s">
        <v>1195</v>
      </c>
      <c r="N798" t="s">
        <v>1196</v>
      </c>
      <c r="O798" t="s">
        <v>1197</v>
      </c>
      <c r="Q798" t="s">
        <v>62</v>
      </c>
      <c r="R798" t="s">
        <v>1198</v>
      </c>
      <c r="S798" t="s">
        <v>1198</v>
      </c>
      <c r="T798" t="s">
        <v>47</v>
      </c>
      <c r="U798" t="s">
        <v>559</v>
      </c>
      <c r="V798" t="s">
        <v>49</v>
      </c>
      <c r="W798" t="s">
        <v>560</v>
      </c>
      <c r="X798" t="s">
        <v>388</v>
      </c>
      <c r="Y798" t="s">
        <v>573</v>
      </c>
      <c r="Z798" t="s">
        <v>573</v>
      </c>
      <c r="AA798" t="s">
        <v>574</v>
      </c>
      <c r="AB798" s="3">
        <f t="shared" si="101"/>
        <v>6</v>
      </c>
      <c r="AC798">
        <v>726.09</v>
      </c>
      <c r="AD798" s="2">
        <v>121.015</v>
      </c>
      <c r="AE798" s="2">
        <v>90.52</v>
      </c>
      <c r="AF798" s="2">
        <v>5.12</v>
      </c>
      <c r="AG798" s="2">
        <v>821.73</v>
      </c>
      <c r="AH798">
        <v>0</v>
      </c>
      <c r="AI798">
        <v>136.95500000000001</v>
      </c>
      <c r="AJ798">
        <v>4.1086499999999999</v>
      </c>
      <c r="AK798" t="s">
        <v>54</v>
      </c>
      <c r="AL798">
        <v>4.32</v>
      </c>
      <c r="AM798" s="4">
        <f t="shared" si="102"/>
        <v>136.95500000000001</v>
      </c>
      <c r="AN798" s="4">
        <f t="shared" si="103"/>
        <v>226.90312499999999</v>
      </c>
      <c r="AO798" s="4">
        <f t="shared" si="104"/>
        <v>252.08937187499998</v>
      </c>
      <c r="AP798" s="4">
        <f t="shared" si="105"/>
        <v>367.56037218749998</v>
      </c>
      <c r="AQ798" s="10">
        <f t="shared" si="98"/>
        <v>238.17844050000002</v>
      </c>
      <c r="AR798" s="10">
        <f t="shared" si="99"/>
        <v>264.64006523955004</v>
      </c>
      <c r="AS798" s="10">
        <f t="shared" si="100"/>
        <v>370.79619617040004</v>
      </c>
    </row>
    <row r="799" spans="1:45" x14ac:dyDescent="0.3">
      <c r="A799">
        <v>2025</v>
      </c>
      <c r="B799">
        <v>9</v>
      </c>
      <c r="C799" t="s">
        <v>55</v>
      </c>
      <c r="D799">
        <v>10</v>
      </c>
      <c r="E799" t="s">
        <v>36</v>
      </c>
      <c r="F799" t="s">
        <v>37</v>
      </c>
      <c r="G799" t="s">
        <v>38</v>
      </c>
      <c r="H799" t="s">
        <v>78</v>
      </c>
      <c r="I799" t="s">
        <v>375</v>
      </c>
      <c r="J799" t="s">
        <v>376</v>
      </c>
      <c r="K799" t="s">
        <v>41</v>
      </c>
      <c r="L799" t="s">
        <v>1503</v>
      </c>
      <c r="M799" t="s">
        <v>1504</v>
      </c>
      <c r="N799" t="s">
        <v>377</v>
      </c>
      <c r="O799" t="s">
        <v>1197</v>
      </c>
      <c r="Q799" t="s">
        <v>62</v>
      </c>
      <c r="R799" t="s">
        <v>1505</v>
      </c>
      <c r="S799" t="s">
        <v>1505</v>
      </c>
      <c r="T799" t="s">
        <v>47</v>
      </c>
      <c r="U799" t="s">
        <v>118</v>
      </c>
      <c r="V799" t="s">
        <v>49</v>
      </c>
      <c r="W799" t="s">
        <v>714</v>
      </c>
      <c r="X799" t="s">
        <v>388</v>
      </c>
      <c r="Y799" t="s">
        <v>1106</v>
      </c>
      <c r="Z799" t="s">
        <v>1106</v>
      </c>
      <c r="AA799" t="s">
        <v>574</v>
      </c>
      <c r="AB799" s="3">
        <f t="shared" si="101"/>
        <v>10</v>
      </c>
      <c r="AC799">
        <v>1074.0999999999999</v>
      </c>
      <c r="AD799" s="2">
        <v>107.41</v>
      </c>
      <c r="AE799" s="2">
        <v>76.97</v>
      </c>
      <c r="AF799" s="2">
        <v>6.95</v>
      </c>
      <c r="AG799" s="2">
        <v>1158.2</v>
      </c>
      <c r="AH799">
        <v>0</v>
      </c>
      <c r="AI799">
        <v>115.82</v>
      </c>
      <c r="AJ799">
        <v>5.7910000000000004</v>
      </c>
      <c r="AK799" t="s">
        <v>54</v>
      </c>
      <c r="AL799">
        <v>9.4</v>
      </c>
      <c r="AM799" s="4">
        <f t="shared" si="102"/>
        <v>115.82000000000001</v>
      </c>
      <c r="AN799" s="4">
        <f t="shared" si="103"/>
        <v>201.39374999999998</v>
      </c>
      <c r="AO799" s="4">
        <f t="shared" si="104"/>
        <v>223.74845624999998</v>
      </c>
      <c r="AP799" s="4">
        <f t="shared" si="105"/>
        <v>326.23773562499997</v>
      </c>
      <c r="AQ799" s="10">
        <f t="shared" si="98"/>
        <v>201.42256200000003</v>
      </c>
      <c r="AR799" s="10">
        <f t="shared" si="99"/>
        <v>223.80060863820003</v>
      </c>
      <c r="AS799" s="10">
        <f t="shared" si="100"/>
        <v>313.57464452160002</v>
      </c>
    </row>
    <row r="800" spans="1:45" x14ac:dyDescent="0.3">
      <c r="A800">
        <v>2025</v>
      </c>
      <c r="B800">
        <v>4</v>
      </c>
      <c r="C800" t="s">
        <v>55</v>
      </c>
      <c r="D800">
        <v>10</v>
      </c>
      <c r="E800" t="s">
        <v>36</v>
      </c>
      <c r="F800" t="s">
        <v>37</v>
      </c>
      <c r="G800" t="s">
        <v>38</v>
      </c>
      <c r="H800" t="s">
        <v>78</v>
      </c>
      <c r="I800" t="s">
        <v>375</v>
      </c>
      <c r="J800" t="s">
        <v>376</v>
      </c>
      <c r="K800" t="s">
        <v>59</v>
      </c>
      <c r="M800">
        <v>2503061</v>
      </c>
      <c r="N800" t="s">
        <v>377</v>
      </c>
      <c r="O800" t="s">
        <v>36</v>
      </c>
      <c r="Q800" t="s">
        <v>62</v>
      </c>
      <c r="R800" t="s">
        <v>378</v>
      </c>
      <c r="S800" t="s">
        <v>378</v>
      </c>
      <c r="T800" t="s">
        <v>47</v>
      </c>
      <c r="U800" t="s">
        <v>118</v>
      </c>
      <c r="V800" t="s">
        <v>49</v>
      </c>
      <c r="W800" t="s">
        <v>119</v>
      </c>
      <c r="X800" t="s">
        <v>51</v>
      </c>
      <c r="Y800" t="s">
        <v>1520</v>
      </c>
      <c r="Z800" t="s">
        <v>1520</v>
      </c>
      <c r="AA800" t="s">
        <v>1521</v>
      </c>
      <c r="AB800" s="3">
        <f t="shared" si="101"/>
        <v>6</v>
      </c>
      <c r="AC800">
        <v>1190.1600000000001</v>
      </c>
      <c r="AD800" s="2">
        <v>198.36</v>
      </c>
      <c r="AE800" s="2">
        <v>432.76</v>
      </c>
      <c r="AF800" s="2">
        <v>9.9600000000000009</v>
      </c>
      <c r="AG800" s="2">
        <v>1632.88</v>
      </c>
      <c r="AH800">
        <v>0</v>
      </c>
      <c r="AI800">
        <v>272.14666666667</v>
      </c>
      <c r="AJ800">
        <v>8.1644000000000005</v>
      </c>
      <c r="AK800" t="s">
        <v>54</v>
      </c>
      <c r="AL800">
        <v>13.35</v>
      </c>
      <c r="AM800" s="4">
        <f t="shared" si="102"/>
        <v>272.1466666666667</v>
      </c>
      <c r="AN800" s="4">
        <f t="shared" si="103"/>
        <v>371.92500000000001</v>
      </c>
      <c r="AO800" s="4">
        <f t="shared" si="104"/>
        <v>413.20867500000003</v>
      </c>
      <c r="AP800" s="4">
        <f t="shared" si="105"/>
        <v>602.48130749999996</v>
      </c>
      <c r="AQ800" s="10">
        <f t="shared" si="98"/>
        <v>473.29026800000008</v>
      </c>
      <c r="AR800" s="10">
        <f t="shared" si="99"/>
        <v>525.87281677480007</v>
      </c>
      <c r="AS800" s="10">
        <f t="shared" si="100"/>
        <v>736.81828922240015</v>
      </c>
    </row>
    <row r="801" spans="1:45" x14ac:dyDescent="0.3">
      <c r="A801">
        <v>2025</v>
      </c>
      <c r="B801">
        <v>7</v>
      </c>
      <c r="C801" t="s">
        <v>55</v>
      </c>
      <c r="D801">
        <v>10</v>
      </c>
      <c r="E801" t="s">
        <v>36</v>
      </c>
      <c r="F801" t="s">
        <v>37</v>
      </c>
      <c r="G801" t="s">
        <v>38</v>
      </c>
      <c r="H801" t="s">
        <v>83</v>
      </c>
      <c r="I801" t="s">
        <v>190</v>
      </c>
      <c r="J801" t="s">
        <v>58</v>
      </c>
      <c r="K801" t="s">
        <v>41</v>
      </c>
      <c r="L801" t="s">
        <v>953</v>
      </c>
      <c r="M801" t="s">
        <v>954</v>
      </c>
      <c r="N801" t="s">
        <v>731</v>
      </c>
      <c r="O801" t="s">
        <v>36</v>
      </c>
      <c r="Q801" t="s">
        <v>62</v>
      </c>
      <c r="R801" t="s">
        <v>955</v>
      </c>
      <c r="S801" t="s">
        <v>956</v>
      </c>
      <c r="T801" t="s">
        <v>47</v>
      </c>
      <c r="U801" t="s">
        <v>247</v>
      </c>
      <c r="V801" t="s">
        <v>49</v>
      </c>
      <c r="W801" t="s">
        <v>248</v>
      </c>
      <c r="X801" t="s">
        <v>51</v>
      </c>
      <c r="Y801" t="s">
        <v>492</v>
      </c>
      <c r="Z801" t="s">
        <v>492</v>
      </c>
      <c r="AA801" t="s">
        <v>493</v>
      </c>
      <c r="AB801" s="3">
        <f t="shared" si="101"/>
        <v>5</v>
      </c>
      <c r="AC801">
        <v>894.64</v>
      </c>
      <c r="AD801" s="2">
        <v>178.928</v>
      </c>
      <c r="AE801" s="2">
        <v>117.97</v>
      </c>
      <c r="AF801" s="2">
        <v>6.32</v>
      </c>
      <c r="AG801" s="2">
        <v>1018.93</v>
      </c>
      <c r="AH801">
        <v>0</v>
      </c>
      <c r="AI801">
        <v>203.786</v>
      </c>
      <c r="AJ801">
        <v>5.0946499999999997</v>
      </c>
      <c r="AK801" t="s">
        <v>54</v>
      </c>
      <c r="AL801">
        <v>5.63</v>
      </c>
      <c r="AM801" s="4">
        <f t="shared" si="102"/>
        <v>203.786</v>
      </c>
      <c r="AN801" s="4">
        <f t="shared" si="103"/>
        <v>335.49</v>
      </c>
      <c r="AO801" s="4">
        <f t="shared" si="104"/>
        <v>372.72939000000002</v>
      </c>
      <c r="AP801" s="4">
        <f t="shared" si="105"/>
        <v>543.46025099999997</v>
      </c>
      <c r="AQ801" s="10">
        <f t="shared" si="98"/>
        <v>354.4042326</v>
      </c>
      <c r="AR801" s="10">
        <f t="shared" si="99"/>
        <v>393.77854284185997</v>
      </c>
      <c r="AS801" s="10">
        <f t="shared" si="100"/>
        <v>551.73650931168004</v>
      </c>
    </row>
    <row r="802" spans="1:45" x14ac:dyDescent="0.3">
      <c r="A802">
        <v>2025</v>
      </c>
      <c r="B802">
        <v>11</v>
      </c>
      <c r="C802" t="s">
        <v>55</v>
      </c>
      <c r="D802">
        <v>10</v>
      </c>
      <c r="E802" t="s">
        <v>36</v>
      </c>
      <c r="F802" t="s">
        <v>37</v>
      </c>
      <c r="G802" t="s">
        <v>38</v>
      </c>
      <c r="H802" t="s">
        <v>83</v>
      </c>
      <c r="I802" t="s">
        <v>190</v>
      </c>
      <c r="J802" t="s">
        <v>58</v>
      </c>
      <c r="K802" t="s">
        <v>59</v>
      </c>
      <c r="L802" t="s">
        <v>1629</v>
      </c>
      <c r="M802" t="s">
        <v>1630</v>
      </c>
      <c r="N802" t="s">
        <v>1485</v>
      </c>
      <c r="O802" t="s">
        <v>1197</v>
      </c>
      <c r="Q802" t="s">
        <v>62</v>
      </c>
      <c r="R802" t="s">
        <v>1631</v>
      </c>
      <c r="S802" t="s">
        <v>1631</v>
      </c>
      <c r="T802" t="s">
        <v>47</v>
      </c>
      <c r="U802" t="s">
        <v>356</v>
      </c>
      <c r="V802" t="s">
        <v>49</v>
      </c>
      <c r="W802" t="s">
        <v>357</v>
      </c>
      <c r="X802" t="s">
        <v>1578</v>
      </c>
      <c r="Y802" t="s">
        <v>796</v>
      </c>
      <c r="Z802" t="s">
        <v>796</v>
      </c>
      <c r="AA802" t="s">
        <v>1025</v>
      </c>
      <c r="AB802" s="3">
        <f t="shared" si="101"/>
        <v>4.3100000000001204</v>
      </c>
      <c r="AC802">
        <v>73.569999999999993</v>
      </c>
      <c r="AD802" s="2">
        <v>17.069605568444999</v>
      </c>
      <c r="AE802" s="2">
        <v>58.8</v>
      </c>
      <c r="AF802" s="2">
        <v>0.47</v>
      </c>
      <c r="AG802" s="2">
        <v>132.12</v>
      </c>
      <c r="AH802">
        <v>0</v>
      </c>
      <c r="AI802">
        <v>30.654292343386999</v>
      </c>
      <c r="AJ802">
        <v>0.66059999999999997</v>
      </c>
      <c r="AK802" t="s">
        <v>54</v>
      </c>
      <c r="AL802">
        <v>4.3499999999999996</v>
      </c>
      <c r="AM802" s="4">
        <f t="shared" si="102"/>
        <v>30.654292343386615</v>
      </c>
      <c r="AN802" s="4">
        <f t="shared" si="103"/>
        <v>32.005510440834371</v>
      </c>
      <c r="AO802" s="4">
        <f t="shared" si="104"/>
        <v>35.558122099766983</v>
      </c>
      <c r="AP802" s="4">
        <f t="shared" si="105"/>
        <v>51.845726363107595</v>
      </c>
      <c r="AQ802" s="10">
        <f t="shared" ref="AQ802:AQ865" si="106">SUM(AM802)*1.7391</f>
        <v>53.310879814383668</v>
      </c>
      <c r="AR802" s="10">
        <f t="shared" ref="AR802:AR865" si="107">SUM(AQ802)*1.1111</f>
        <v>59.233718561761691</v>
      </c>
      <c r="AS802" s="10">
        <f t="shared" ref="AS802:AS865" si="108">SUM(AQ802)*1.5568</f>
        <v>82.994377695032497</v>
      </c>
    </row>
    <row r="803" spans="1:45" x14ac:dyDescent="0.3">
      <c r="A803">
        <v>2025</v>
      </c>
      <c r="B803">
        <v>4</v>
      </c>
      <c r="C803" t="s">
        <v>55</v>
      </c>
      <c r="D803">
        <v>10</v>
      </c>
      <c r="E803" t="s">
        <v>36</v>
      </c>
      <c r="F803" t="s">
        <v>37</v>
      </c>
      <c r="G803" t="s">
        <v>38</v>
      </c>
      <c r="H803" t="s">
        <v>78</v>
      </c>
      <c r="I803" t="s">
        <v>190</v>
      </c>
      <c r="J803" t="s">
        <v>58</v>
      </c>
      <c r="K803" t="s">
        <v>59</v>
      </c>
      <c r="M803" t="s">
        <v>383</v>
      </c>
      <c r="N803" t="s">
        <v>384</v>
      </c>
      <c r="O803" t="s">
        <v>36</v>
      </c>
      <c r="Q803" t="s">
        <v>62</v>
      </c>
      <c r="R803" t="s">
        <v>385</v>
      </c>
      <c r="S803" t="s">
        <v>385</v>
      </c>
      <c r="T803" t="s">
        <v>47</v>
      </c>
      <c r="U803" t="s">
        <v>118</v>
      </c>
      <c r="V803" t="s">
        <v>49</v>
      </c>
      <c r="W803" t="s">
        <v>119</v>
      </c>
      <c r="X803" t="s">
        <v>388</v>
      </c>
      <c r="Y803" t="s">
        <v>1430</v>
      </c>
      <c r="Z803" t="s">
        <v>1430</v>
      </c>
      <c r="AA803" t="s">
        <v>1739</v>
      </c>
      <c r="AB803" s="3">
        <f t="shared" si="101"/>
        <v>1</v>
      </c>
      <c r="AC803">
        <v>762.63</v>
      </c>
      <c r="AD803" s="2">
        <v>762.63</v>
      </c>
      <c r="AE803" s="2">
        <v>198.57</v>
      </c>
      <c r="AF803" s="2">
        <v>5.87</v>
      </c>
      <c r="AG803" s="2">
        <v>967.7</v>
      </c>
      <c r="AH803">
        <v>0</v>
      </c>
      <c r="AI803">
        <v>967.7</v>
      </c>
      <c r="AJ803">
        <v>4.8384999999999998</v>
      </c>
      <c r="AK803" t="s">
        <v>54</v>
      </c>
      <c r="AL803">
        <v>9.6</v>
      </c>
      <c r="AM803" s="4">
        <f t="shared" si="102"/>
        <v>967.7</v>
      </c>
      <c r="AN803" s="4">
        <f t="shared" si="103"/>
        <v>1429.9312500000001</v>
      </c>
      <c r="AO803" s="4">
        <f t="shared" si="104"/>
        <v>1588.6536187500001</v>
      </c>
      <c r="AP803" s="4">
        <f t="shared" si="105"/>
        <v>2316.345631875</v>
      </c>
      <c r="AQ803" s="10">
        <f t="shared" si="106"/>
        <v>1682.9270700000002</v>
      </c>
      <c r="AR803" s="10">
        <f t="shared" si="107"/>
        <v>1869.9002674770002</v>
      </c>
      <c r="AS803" s="10">
        <f t="shared" si="108"/>
        <v>2619.9808625760002</v>
      </c>
    </row>
    <row r="804" spans="1:45" x14ac:dyDescent="0.3">
      <c r="A804">
        <v>2025</v>
      </c>
      <c r="B804">
        <v>8</v>
      </c>
      <c r="C804" t="s">
        <v>55</v>
      </c>
      <c r="D804">
        <v>10</v>
      </c>
      <c r="E804" t="s">
        <v>36</v>
      </c>
      <c r="F804" t="s">
        <v>37</v>
      </c>
      <c r="G804" t="s">
        <v>38</v>
      </c>
      <c r="H804" t="s">
        <v>78</v>
      </c>
      <c r="I804" t="s">
        <v>190</v>
      </c>
      <c r="J804" t="s">
        <v>58</v>
      </c>
      <c r="K804" t="s">
        <v>59</v>
      </c>
      <c r="L804" t="s">
        <v>1194</v>
      </c>
      <c r="M804" t="s">
        <v>1195</v>
      </c>
      <c r="N804" t="s">
        <v>1196</v>
      </c>
      <c r="O804" t="s">
        <v>1197</v>
      </c>
      <c r="Q804" t="s">
        <v>62</v>
      </c>
      <c r="R804" t="s">
        <v>1198</v>
      </c>
      <c r="S804" t="s">
        <v>1198</v>
      </c>
      <c r="T804" t="s">
        <v>47</v>
      </c>
      <c r="U804" t="s">
        <v>118</v>
      </c>
      <c r="V804" t="s">
        <v>49</v>
      </c>
      <c r="W804" t="s">
        <v>714</v>
      </c>
      <c r="X804" t="s">
        <v>388</v>
      </c>
      <c r="Y804" t="s">
        <v>125</v>
      </c>
      <c r="Z804" t="s">
        <v>125</v>
      </c>
      <c r="AA804" t="s">
        <v>503</v>
      </c>
      <c r="AB804" s="3">
        <f t="shared" si="101"/>
        <v>2</v>
      </c>
      <c r="AC804">
        <v>518.29999999999995</v>
      </c>
      <c r="AD804" s="2">
        <v>259.14999999999998</v>
      </c>
      <c r="AE804" s="2">
        <v>30.65</v>
      </c>
      <c r="AF804" s="2">
        <v>3.5</v>
      </c>
      <c r="AG804" s="2">
        <v>552.45000000000005</v>
      </c>
      <c r="AH804">
        <v>0</v>
      </c>
      <c r="AI804">
        <v>276.22500000000002</v>
      </c>
      <c r="AJ804">
        <v>2.7622499999999999</v>
      </c>
      <c r="AK804" t="s">
        <v>54</v>
      </c>
      <c r="AL804">
        <v>1.56</v>
      </c>
      <c r="AM804" s="4">
        <f t="shared" si="102"/>
        <v>276.22500000000002</v>
      </c>
      <c r="AN804" s="4">
        <f t="shared" si="103"/>
        <v>485.90624999999994</v>
      </c>
      <c r="AO804" s="4">
        <f t="shared" si="104"/>
        <v>539.84184374999995</v>
      </c>
      <c r="AP804" s="4">
        <f t="shared" si="105"/>
        <v>787.11953437499983</v>
      </c>
      <c r="AQ804" s="10">
        <f t="shared" si="106"/>
        <v>480.38289750000007</v>
      </c>
      <c r="AR804" s="10">
        <f t="shared" si="107"/>
        <v>533.75343741225004</v>
      </c>
      <c r="AS804" s="10">
        <f t="shared" si="108"/>
        <v>747.86009482800011</v>
      </c>
    </row>
    <row r="805" spans="1:45" x14ac:dyDescent="0.3">
      <c r="A805">
        <v>2025</v>
      </c>
      <c r="B805">
        <v>4</v>
      </c>
      <c r="C805" t="s">
        <v>55</v>
      </c>
      <c r="D805">
        <v>10</v>
      </c>
      <c r="E805" t="s">
        <v>36</v>
      </c>
      <c r="F805" t="s">
        <v>37</v>
      </c>
      <c r="G805" t="s">
        <v>38</v>
      </c>
      <c r="H805" t="s">
        <v>83</v>
      </c>
      <c r="I805" t="s">
        <v>375</v>
      </c>
      <c r="J805" t="s">
        <v>376</v>
      </c>
      <c r="K805" t="s">
        <v>59</v>
      </c>
      <c r="M805">
        <v>2503061</v>
      </c>
      <c r="N805" t="s">
        <v>377</v>
      </c>
      <c r="O805" t="s">
        <v>36</v>
      </c>
      <c r="Q805" t="s">
        <v>62</v>
      </c>
      <c r="R805" t="s">
        <v>378</v>
      </c>
      <c r="S805" t="s">
        <v>378</v>
      </c>
      <c r="T805" t="s">
        <v>47</v>
      </c>
      <c r="U805" t="s">
        <v>178</v>
      </c>
      <c r="V805" t="s">
        <v>49</v>
      </c>
      <c r="W805" t="s">
        <v>179</v>
      </c>
      <c r="X805" t="s">
        <v>51</v>
      </c>
      <c r="Y805" t="s">
        <v>1101</v>
      </c>
      <c r="Z805" t="s">
        <v>1101</v>
      </c>
      <c r="AA805" t="s">
        <v>503</v>
      </c>
      <c r="AB805" s="3">
        <f t="shared" si="101"/>
        <v>5.9999999999999991</v>
      </c>
      <c r="AC805">
        <v>1289.3699999999999</v>
      </c>
      <c r="AD805" s="2">
        <v>214.89500000000001</v>
      </c>
      <c r="AE805" s="2">
        <v>92.4</v>
      </c>
      <c r="AF805" s="2">
        <v>8.34</v>
      </c>
      <c r="AG805" s="2">
        <v>1390.11</v>
      </c>
      <c r="AH805">
        <v>0</v>
      </c>
      <c r="AI805">
        <v>231.685</v>
      </c>
      <c r="AJ805">
        <v>6.9505499999999998</v>
      </c>
      <c r="AK805" t="s">
        <v>54</v>
      </c>
      <c r="AL805">
        <v>10.86</v>
      </c>
      <c r="AM805" s="4">
        <f t="shared" si="102"/>
        <v>231.68500000000003</v>
      </c>
      <c r="AN805" s="4">
        <f t="shared" si="103"/>
        <v>402.92812500000002</v>
      </c>
      <c r="AO805" s="4">
        <f t="shared" si="104"/>
        <v>447.653146875</v>
      </c>
      <c r="AP805" s="4">
        <f t="shared" si="105"/>
        <v>652.70326968749998</v>
      </c>
      <c r="AQ805" s="10">
        <f t="shared" si="106"/>
        <v>402.92338350000006</v>
      </c>
      <c r="AR805" s="10">
        <f t="shared" si="107"/>
        <v>447.68817140685007</v>
      </c>
      <c r="AS805" s="10">
        <f t="shared" si="108"/>
        <v>627.2711234328001</v>
      </c>
    </row>
    <row r="806" spans="1:45" x14ac:dyDescent="0.3">
      <c r="A806">
        <v>2025</v>
      </c>
      <c r="B806">
        <v>7</v>
      </c>
      <c r="C806" t="s">
        <v>55</v>
      </c>
      <c r="D806">
        <v>10</v>
      </c>
      <c r="E806" t="s">
        <v>36</v>
      </c>
      <c r="F806" t="s">
        <v>37</v>
      </c>
      <c r="G806" t="s">
        <v>38</v>
      </c>
      <c r="H806" t="s">
        <v>78</v>
      </c>
      <c r="I806" t="s">
        <v>190</v>
      </c>
      <c r="J806" t="s">
        <v>58</v>
      </c>
      <c r="K806" t="s">
        <v>41</v>
      </c>
      <c r="L806" t="s">
        <v>953</v>
      </c>
      <c r="M806" t="s">
        <v>954</v>
      </c>
      <c r="N806" t="s">
        <v>731</v>
      </c>
      <c r="O806" t="s">
        <v>36</v>
      </c>
      <c r="Q806" t="s">
        <v>62</v>
      </c>
      <c r="R806" t="s">
        <v>955</v>
      </c>
      <c r="S806" t="s">
        <v>956</v>
      </c>
      <c r="T806" t="s">
        <v>47</v>
      </c>
      <c r="U806" t="s">
        <v>118</v>
      </c>
      <c r="V806" t="s">
        <v>49</v>
      </c>
      <c r="W806" t="s">
        <v>714</v>
      </c>
      <c r="X806" t="s">
        <v>51</v>
      </c>
      <c r="Y806" t="s">
        <v>637</v>
      </c>
      <c r="Z806" t="s">
        <v>637</v>
      </c>
      <c r="AA806" t="s">
        <v>638</v>
      </c>
      <c r="AB806" s="3">
        <f t="shared" si="101"/>
        <v>1</v>
      </c>
      <c r="AC806">
        <v>124.58</v>
      </c>
      <c r="AD806" s="2">
        <v>124.58</v>
      </c>
      <c r="AE806" s="2">
        <v>23.68</v>
      </c>
      <c r="AF806" s="2">
        <v>0.87</v>
      </c>
      <c r="AG806" s="2">
        <v>149.13</v>
      </c>
      <c r="AH806">
        <v>0</v>
      </c>
      <c r="AI806">
        <v>149.13</v>
      </c>
      <c r="AJ806">
        <v>0.74565000000000003</v>
      </c>
      <c r="AK806" t="s">
        <v>54</v>
      </c>
      <c r="AL806">
        <v>1.1299999999999999</v>
      </c>
      <c r="AM806" s="4">
        <f t="shared" si="102"/>
        <v>149.13</v>
      </c>
      <c r="AN806" s="4">
        <f t="shared" si="103"/>
        <v>233.58750000000001</v>
      </c>
      <c r="AO806" s="4">
        <f t="shared" si="104"/>
        <v>259.51571250000001</v>
      </c>
      <c r="AP806" s="4">
        <f t="shared" si="105"/>
        <v>378.38839124999998</v>
      </c>
      <c r="AQ806" s="10">
        <f t="shared" si="106"/>
        <v>259.35198300000002</v>
      </c>
      <c r="AR806" s="10">
        <f t="shared" si="107"/>
        <v>288.1659883113</v>
      </c>
      <c r="AS806" s="10">
        <f t="shared" si="108"/>
        <v>403.7591671344</v>
      </c>
    </row>
    <row r="807" spans="1:45" x14ac:dyDescent="0.3">
      <c r="A807">
        <v>2025</v>
      </c>
      <c r="B807">
        <v>7</v>
      </c>
      <c r="C807" t="s">
        <v>55</v>
      </c>
      <c r="D807">
        <v>10</v>
      </c>
      <c r="E807" t="s">
        <v>36</v>
      </c>
      <c r="F807" t="s">
        <v>37</v>
      </c>
      <c r="G807" t="s">
        <v>38</v>
      </c>
      <c r="H807" t="s">
        <v>78</v>
      </c>
      <c r="I807" t="s">
        <v>190</v>
      </c>
      <c r="J807" t="s">
        <v>58</v>
      </c>
      <c r="K807" t="s">
        <v>41</v>
      </c>
      <c r="L807" t="s">
        <v>953</v>
      </c>
      <c r="M807" t="s">
        <v>954</v>
      </c>
      <c r="N807" t="s">
        <v>731</v>
      </c>
      <c r="O807" t="s">
        <v>36</v>
      </c>
      <c r="Q807" t="s">
        <v>62</v>
      </c>
      <c r="R807" t="s">
        <v>955</v>
      </c>
      <c r="S807" t="s">
        <v>956</v>
      </c>
      <c r="T807" t="s">
        <v>47</v>
      </c>
      <c r="U807" t="s">
        <v>118</v>
      </c>
      <c r="V807" t="s">
        <v>49</v>
      </c>
      <c r="W807" t="s">
        <v>714</v>
      </c>
      <c r="X807" t="s">
        <v>51</v>
      </c>
      <c r="Y807" t="s">
        <v>1101</v>
      </c>
      <c r="Z807" t="s">
        <v>1101</v>
      </c>
      <c r="AA807" t="s">
        <v>1102</v>
      </c>
      <c r="AB807" s="3">
        <f t="shared" si="101"/>
        <v>4</v>
      </c>
      <c r="AC807">
        <v>1248.71</v>
      </c>
      <c r="AD807" s="2">
        <v>312.17750000000001</v>
      </c>
      <c r="AE807" s="2">
        <v>116.17</v>
      </c>
      <c r="AF807" s="2">
        <v>8.75</v>
      </c>
      <c r="AG807" s="2">
        <v>1373.63</v>
      </c>
      <c r="AH807">
        <v>0</v>
      </c>
      <c r="AI807">
        <v>343.40750000000003</v>
      </c>
      <c r="AJ807">
        <v>6.86815</v>
      </c>
      <c r="AK807" t="s">
        <v>54</v>
      </c>
      <c r="AL807">
        <v>8.6999999999999993</v>
      </c>
      <c r="AM807" s="4">
        <f t="shared" si="102"/>
        <v>343.40750000000003</v>
      </c>
      <c r="AN807" s="4">
        <f t="shared" si="103"/>
        <v>585.33281250000005</v>
      </c>
      <c r="AO807" s="4">
        <f t="shared" si="104"/>
        <v>650.30475468750001</v>
      </c>
      <c r="AP807" s="4">
        <f t="shared" si="105"/>
        <v>948.18062296874996</v>
      </c>
      <c r="AQ807" s="10">
        <f t="shared" si="106"/>
        <v>597.21998325000004</v>
      </c>
      <c r="AR807" s="10">
        <f t="shared" si="107"/>
        <v>663.57112338907507</v>
      </c>
      <c r="AS807" s="10">
        <f t="shared" si="108"/>
        <v>929.75206992360006</v>
      </c>
    </row>
    <row r="808" spans="1:45" x14ac:dyDescent="0.3">
      <c r="A808">
        <v>2025</v>
      </c>
      <c r="B808">
        <v>7</v>
      </c>
      <c r="C808" t="s">
        <v>55</v>
      </c>
      <c r="D808">
        <v>10</v>
      </c>
      <c r="E808" t="s">
        <v>36</v>
      </c>
      <c r="F808" t="s">
        <v>37</v>
      </c>
      <c r="G808" t="s">
        <v>38</v>
      </c>
      <c r="H808" t="s">
        <v>83</v>
      </c>
      <c r="I808" t="s">
        <v>190</v>
      </c>
      <c r="J808" t="s">
        <v>58</v>
      </c>
      <c r="K808" t="s">
        <v>41</v>
      </c>
      <c r="L808" t="s">
        <v>953</v>
      </c>
      <c r="M808" t="s">
        <v>954</v>
      </c>
      <c r="N808" t="s">
        <v>731</v>
      </c>
      <c r="O808" t="s">
        <v>36</v>
      </c>
      <c r="Q808" t="s">
        <v>62</v>
      </c>
      <c r="R808" t="s">
        <v>955</v>
      </c>
      <c r="S808" t="s">
        <v>956</v>
      </c>
      <c r="T808" t="s">
        <v>47</v>
      </c>
      <c r="U808" t="s">
        <v>167</v>
      </c>
      <c r="V808" t="s">
        <v>49</v>
      </c>
      <c r="W808" t="s">
        <v>168</v>
      </c>
      <c r="X808" t="s">
        <v>51</v>
      </c>
      <c r="Y808" t="s">
        <v>1101</v>
      </c>
      <c r="Z808" t="s">
        <v>1101</v>
      </c>
      <c r="AA808" t="s">
        <v>1102</v>
      </c>
      <c r="AB808" s="3">
        <f t="shared" si="101"/>
        <v>1</v>
      </c>
      <c r="AC808">
        <v>312.18</v>
      </c>
      <c r="AD808" s="2">
        <v>312.18</v>
      </c>
      <c r="AE808" s="2">
        <v>29.4</v>
      </c>
      <c r="AF808" s="2">
        <v>2.19</v>
      </c>
      <c r="AG808" s="2">
        <v>343.41</v>
      </c>
      <c r="AH808">
        <v>0</v>
      </c>
      <c r="AI808">
        <v>343.41</v>
      </c>
      <c r="AJ808">
        <v>1.71705</v>
      </c>
      <c r="AK808" t="s">
        <v>54</v>
      </c>
      <c r="AL808">
        <v>2.17</v>
      </c>
      <c r="AM808" s="4">
        <f t="shared" si="102"/>
        <v>343.41</v>
      </c>
      <c r="AN808" s="4">
        <f t="shared" si="103"/>
        <v>585.33749999999998</v>
      </c>
      <c r="AO808" s="4">
        <f t="shared" si="104"/>
        <v>650.30996249999998</v>
      </c>
      <c r="AP808" s="4">
        <f t="shared" si="105"/>
        <v>948.18821624999987</v>
      </c>
      <c r="AQ808" s="10">
        <f t="shared" si="106"/>
        <v>597.22433100000012</v>
      </c>
      <c r="AR808" s="10">
        <f t="shared" si="107"/>
        <v>663.57595417410016</v>
      </c>
      <c r="AS808" s="10">
        <f t="shared" si="108"/>
        <v>929.75883850080015</v>
      </c>
    </row>
    <row r="809" spans="1:45" x14ac:dyDescent="0.3">
      <c r="A809">
        <v>2025</v>
      </c>
      <c r="B809">
        <v>7</v>
      </c>
      <c r="C809" t="s">
        <v>55</v>
      </c>
      <c r="D809">
        <v>10</v>
      </c>
      <c r="E809" t="s">
        <v>36</v>
      </c>
      <c r="F809" t="s">
        <v>37</v>
      </c>
      <c r="G809" t="s">
        <v>38</v>
      </c>
      <c r="H809" t="s">
        <v>83</v>
      </c>
      <c r="I809" t="s">
        <v>190</v>
      </c>
      <c r="J809" t="s">
        <v>58</v>
      </c>
      <c r="K809" t="s">
        <v>41</v>
      </c>
      <c r="L809" t="s">
        <v>953</v>
      </c>
      <c r="M809" t="s">
        <v>954</v>
      </c>
      <c r="N809" t="s">
        <v>731</v>
      </c>
      <c r="O809" t="s">
        <v>36</v>
      </c>
      <c r="Q809" t="s">
        <v>62</v>
      </c>
      <c r="R809" t="s">
        <v>955</v>
      </c>
      <c r="S809" t="s">
        <v>956</v>
      </c>
      <c r="T809" t="s">
        <v>47</v>
      </c>
      <c r="U809" t="s">
        <v>167</v>
      </c>
      <c r="V809" t="s">
        <v>49</v>
      </c>
      <c r="W809" t="s">
        <v>168</v>
      </c>
      <c r="X809" t="s">
        <v>51</v>
      </c>
      <c r="Y809" t="s">
        <v>1129</v>
      </c>
      <c r="Z809" t="s">
        <v>1129</v>
      </c>
      <c r="AA809" t="s">
        <v>1130</v>
      </c>
      <c r="AB809" s="3">
        <f t="shared" si="101"/>
        <v>1</v>
      </c>
      <c r="AC809">
        <v>54.42</v>
      </c>
      <c r="AD809" s="2">
        <v>54.42</v>
      </c>
      <c r="AE809" s="2">
        <v>29.4</v>
      </c>
      <c r="AF809" s="2">
        <v>0.36</v>
      </c>
      <c r="AG809" s="2">
        <v>83.82</v>
      </c>
      <c r="AH809">
        <v>0</v>
      </c>
      <c r="AI809">
        <v>83.82</v>
      </c>
      <c r="AJ809">
        <v>0.41909999999999997</v>
      </c>
      <c r="AK809" t="s">
        <v>54</v>
      </c>
      <c r="AL809">
        <v>2.17</v>
      </c>
      <c r="AM809" s="4">
        <f t="shared" si="102"/>
        <v>83.82</v>
      </c>
      <c r="AN809" s="4">
        <f t="shared" si="103"/>
        <v>102.03750000000001</v>
      </c>
      <c r="AO809" s="4">
        <f t="shared" si="104"/>
        <v>113.3636625</v>
      </c>
      <c r="AP809" s="4">
        <f t="shared" si="105"/>
        <v>165.29054625000001</v>
      </c>
      <c r="AQ809" s="10">
        <f t="shared" si="106"/>
        <v>145.77136199999998</v>
      </c>
      <c r="AR809" s="10">
        <f t="shared" si="107"/>
        <v>161.96656031819998</v>
      </c>
      <c r="AS809" s="10">
        <f t="shared" si="108"/>
        <v>226.93685636159998</v>
      </c>
    </row>
    <row r="810" spans="1:45" x14ac:dyDescent="0.3">
      <c r="A810">
        <v>2025</v>
      </c>
      <c r="B810">
        <v>8</v>
      </c>
      <c r="C810" t="s">
        <v>55</v>
      </c>
      <c r="D810">
        <v>10</v>
      </c>
      <c r="E810" t="s">
        <v>36</v>
      </c>
      <c r="F810" t="s">
        <v>37</v>
      </c>
      <c r="G810" t="s">
        <v>38</v>
      </c>
      <c r="H810" t="s">
        <v>83</v>
      </c>
      <c r="I810" t="s">
        <v>190</v>
      </c>
      <c r="J810" t="s">
        <v>58</v>
      </c>
      <c r="K810" t="s">
        <v>59</v>
      </c>
      <c r="L810" t="s">
        <v>1194</v>
      </c>
      <c r="M810" t="s">
        <v>1195</v>
      </c>
      <c r="N810" t="s">
        <v>1196</v>
      </c>
      <c r="O810" t="s">
        <v>1197</v>
      </c>
      <c r="Q810" t="s">
        <v>62</v>
      </c>
      <c r="R810" t="s">
        <v>1198</v>
      </c>
      <c r="S810" t="s">
        <v>1198</v>
      </c>
      <c r="T810" t="s">
        <v>47</v>
      </c>
      <c r="U810" t="s">
        <v>167</v>
      </c>
      <c r="V810" t="s">
        <v>49</v>
      </c>
      <c r="W810" t="s">
        <v>168</v>
      </c>
      <c r="X810" t="s">
        <v>388</v>
      </c>
      <c r="Y810" t="s">
        <v>1133</v>
      </c>
      <c r="Z810" t="s">
        <v>1133</v>
      </c>
      <c r="AA810" t="s">
        <v>1134</v>
      </c>
      <c r="AB810" s="3">
        <f t="shared" si="101"/>
        <v>2</v>
      </c>
      <c r="AC810">
        <v>177.58</v>
      </c>
      <c r="AD810" s="2">
        <v>88.79</v>
      </c>
      <c r="AE810" s="2">
        <v>58.8</v>
      </c>
      <c r="AF810" s="2">
        <v>1.21</v>
      </c>
      <c r="AG810" s="2">
        <v>236.87</v>
      </c>
      <c r="AH810">
        <v>0</v>
      </c>
      <c r="AI810">
        <v>118.435</v>
      </c>
      <c r="AJ810">
        <v>1.18435</v>
      </c>
      <c r="AK810" t="s">
        <v>54</v>
      </c>
      <c r="AL810">
        <v>4.3499999999999996</v>
      </c>
      <c r="AM810" s="4">
        <f t="shared" si="102"/>
        <v>118.435</v>
      </c>
      <c r="AN810" s="4">
        <f t="shared" si="103"/>
        <v>166.48125000000002</v>
      </c>
      <c r="AO810" s="4">
        <f t="shared" si="104"/>
        <v>184.96066875000002</v>
      </c>
      <c r="AP810" s="4">
        <f t="shared" si="105"/>
        <v>269.68297687500001</v>
      </c>
      <c r="AQ810" s="10">
        <f t="shared" si="106"/>
        <v>205.97030850000002</v>
      </c>
      <c r="AR810" s="10">
        <f t="shared" si="107"/>
        <v>228.85360977435002</v>
      </c>
      <c r="AS810" s="10">
        <f t="shared" si="108"/>
        <v>320.6545762728</v>
      </c>
    </row>
    <row r="811" spans="1:45" x14ac:dyDescent="0.3">
      <c r="A811">
        <v>2025</v>
      </c>
      <c r="B811">
        <v>7</v>
      </c>
      <c r="C811" t="s">
        <v>55</v>
      </c>
      <c r="D811">
        <v>10</v>
      </c>
      <c r="E811" t="s">
        <v>36</v>
      </c>
      <c r="F811" t="s">
        <v>37</v>
      </c>
      <c r="G811" t="s">
        <v>38</v>
      </c>
      <c r="H811" t="s">
        <v>83</v>
      </c>
      <c r="I811" t="s">
        <v>190</v>
      </c>
      <c r="J811" t="s">
        <v>58</v>
      </c>
      <c r="K811" t="s">
        <v>41</v>
      </c>
      <c r="L811" t="s">
        <v>953</v>
      </c>
      <c r="M811" t="s">
        <v>954</v>
      </c>
      <c r="N811" t="s">
        <v>731</v>
      </c>
      <c r="O811" t="s">
        <v>36</v>
      </c>
      <c r="Q811" t="s">
        <v>62</v>
      </c>
      <c r="R811" t="s">
        <v>955</v>
      </c>
      <c r="S811" t="s">
        <v>956</v>
      </c>
      <c r="T811" t="s">
        <v>47</v>
      </c>
      <c r="U811" t="s">
        <v>167</v>
      </c>
      <c r="V811" t="s">
        <v>49</v>
      </c>
      <c r="W811" t="s">
        <v>168</v>
      </c>
      <c r="X811" t="s">
        <v>51</v>
      </c>
      <c r="Y811" t="s">
        <v>1133</v>
      </c>
      <c r="Z811" t="s">
        <v>1133</v>
      </c>
      <c r="AA811" t="s">
        <v>1134</v>
      </c>
      <c r="AB811" s="3">
        <f t="shared" si="101"/>
        <v>2.9999999999999893</v>
      </c>
      <c r="AC811">
        <v>277.64</v>
      </c>
      <c r="AD811" s="2">
        <v>92.546666666666994</v>
      </c>
      <c r="AE811" s="2">
        <v>19.899999999999999</v>
      </c>
      <c r="AF811" s="2">
        <v>1.8</v>
      </c>
      <c r="AG811" s="2">
        <v>299.33999999999997</v>
      </c>
      <c r="AH811">
        <v>0</v>
      </c>
      <c r="AI811">
        <v>99.78</v>
      </c>
      <c r="AJ811">
        <v>1.4966999999999999</v>
      </c>
      <c r="AK811" t="s">
        <v>54</v>
      </c>
      <c r="AL811">
        <v>2.34</v>
      </c>
      <c r="AM811" s="4">
        <f t="shared" si="102"/>
        <v>99.780000000000342</v>
      </c>
      <c r="AN811" s="4">
        <f t="shared" si="103"/>
        <v>173.5250000000006</v>
      </c>
      <c r="AO811" s="4">
        <f t="shared" si="104"/>
        <v>192.78627500000067</v>
      </c>
      <c r="AP811" s="4">
        <f t="shared" si="105"/>
        <v>281.09314750000095</v>
      </c>
      <c r="AQ811" s="10">
        <f t="shared" si="106"/>
        <v>173.5273980000006</v>
      </c>
      <c r="AR811" s="10">
        <f t="shared" si="107"/>
        <v>192.80629191780068</v>
      </c>
      <c r="AS811" s="10">
        <f t="shared" si="108"/>
        <v>270.14745320640094</v>
      </c>
    </row>
    <row r="812" spans="1:45" x14ac:dyDescent="0.3">
      <c r="A812">
        <v>2025</v>
      </c>
      <c r="B812">
        <v>7</v>
      </c>
      <c r="C812" t="s">
        <v>55</v>
      </c>
      <c r="D812">
        <v>10</v>
      </c>
      <c r="E812" t="s">
        <v>36</v>
      </c>
      <c r="F812" t="s">
        <v>37</v>
      </c>
      <c r="G812" t="s">
        <v>38</v>
      </c>
      <c r="H812" t="s">
        <v>83</v>
      </c>
      <c r="I812" t="s">
        <v>190</v>
      </c>
      <c r="J812" t="s">
        <v>58</v>
      </c>
      <c r="K812" t="s">
        <v>41</v>
      </c>
      <c r="L812" t="s">
        <v>953</v>
      </c>
      <c r="M812" t="s">
        <v>954</v>
      </c>
      <c r="N812" t="s">
        <v>731</v>
      </c>
      <c r="O812" t="s">
        <v>36</v>
      </c>
      <c r="Q812" t="s">
        <v>62</v>
      </c>
      <c r="R812" t="s">
        <v>955</v>
      </c>
      <c r="S812" t="s">
        <v>956</v>
      </c>
      <c r="T812" t="s">
        <v>47</v>
      </c>
      <c r="U812" t="s">
        <v>614</v>
      </c>
      <c r="V812" t="s">
        <v>49</v>
      </c>
      <c r="W812" t="s">
        <v>615</v>
      </c>
      <c r="X812" t="s">
        <v>51</v>
      </c>
      <c r="Y812" t="s">
        <v>1127</v>
      </c>
      <c r="Z812" t="s">
        <v>1127</v>
      </c>
      <c r="AA812" t="s">
        <v>1128</v>
      </c>
      <c r="AB812" s="3">
        <f t="shared" si="101"/>
        <v>1</v>
      </c>
      <c r="AC812">
        <v>38.57</v>
      </c>
      <c r="AD812" s="2">
        <v>38.57</v>
      </c>
      <c r="AE812" s="2">
        <v>29.4</v>
      </c>
      <c r="AF812" s="2">
        <v>0.25</v>
      </c>
      <c r="AG812" s="2">
        <v>67.86</v>
      </c>
      <c r="AH812">
        <v>0</v>
      </c>
      <c r="AI812">
        <v>67.86</v>
      </c>
      <c r="AJ812">
        <v>0.33929999999999999</v>
      </c>
      <c r="AK812" t="s">
        <v>54</v>
      </c>
      <c r="AL812">
        <v>2.17</v>
      </c>
      <c r="AM812" s="4">
        <f t="shared" si="102"/>
        <v>67.86</v>
      </c>
      <c r="AN812" s="4">
        <f t="shared" si="103"/>
        <v>72.318749999999994</v>
      </c>
      <c r="AO812" s="4">
        <f t="shared" si="104"/>
        <v>80.346131249999999</v>
      </c>
      <c r="AP812" s="4">
        <f t="shared" si="105"/>
        <v>117.14914312499998</v>
      </c>
      <c r="AQ812" s="10">
        <f t="shared" si="106"/>
        <v>118.015326</v>
      </c>
      <c r="AR812" s="10">
        <f t="shared" si="107"/>
        <v>131.1268287186</v>
      </c>
      <c r="AS812" s="10">
        <f t="shared" si="108"/>
        <v>183.72625951679998</v>
      </c>
    </row>
    <row r="813" spans="1:45" x14ac:dyDescent="0.3">
      <c r="A813">
        <v>2025</v>
      </c>
      <c r="B813">
        <v>3</v>
      </c>
      <c r="C813" t="s">
        <v>55</v>
      </c>
      <c r="D813">
        <v>10</v>
      </c>
      <c r="E813" t="s">
        <v>36</v>
      </c>
      <c r="F813" t="s">
        <v>37</v>
      </c>
      <c r="G813" t="s">
        <v>38</v>
      </c>
      <c r="H813" t="s">
        <v>78</v>
      </c>
      <c r="I813" t="s">
        <v>190</v>
      </c>
      <c r="J813" t="s">
        <v>58</v>
      </c>
      <c r="K813" t="s">
        <v>59</v>
      </c>
      <c r="M813" t="s">
        <v>209</v>
      </c>
      <c r="N813" t="s">
        <v>61</v>
      </c>
      <c r="O813" t="s">
        <v>43</v>
      </c>
      <c r="Q813" t="s">
        <v>62</v>
      </c>
      <c r="R813" t="s">
        <v>210</v>
      </c>
      <c r="S813" t="s">
        <v>211</v>
      </c>
      <c r="T813" t="s">
        <v>47</v>
      </c>
      <c r="U813" t="s">
        <v>118</v>
      </c>
      <c r="V813" t="s">
        <v>49</v>
      </c>
      <c r="W813" t="s">
        <v>119</v>
      </c>
      <c r="X813" t="s">
        <v>51</v>
      </c>
      <c r="Y813" t="s">
        <v>1151</v>
      </c>
      <c r="Z813" t="s">
        <v>1151</v>
      </c>
      <c r="AA813" t="s">
        <v>1152</v>
      </c>
      <c r="AB813" s="3">
        <f t="shared" si="101"/>
        <v>1</v>
      </c>
      <c r="AC813">
        <v>1347.95</v>
      </c>
      <c r="AD813" s="2">
        <v>1347.95</v>
      </c>
      <c r="AE813" s="2">
        <v>29.4</v>
      </c>
      <c r="AF813" s="2">
        <v>9.5299999999999994</v>
      </c>
      <c r="AG813" s="2">
        <v>1386.52</v>
      </c>
      <c r="AH813">
        <v>0</v>
      </c>
      <c r="AI813">
        <v>1386.52</v>
      </c>
      <c r="AJ813">
        <v>6.9325999999999999</v>
      </c>
      <c r="AK813" t="s">
        <v>54</v>
      </c>
      <c r="AL813">
        <v>2.17</v>
      </c>
      <c r="AM813" s="4">
        <f t="shared" si="102"/>
        <v>1386.52</v>
      </c>
      <c r="AN813" s="4">
        <f t="shared" si="103"/>
        <v>2527.40625</v>
      </c>
      <c r="AO813" s="4">
        <f t="shared" si="104"/>
        <v>2807.9483437499998</v>
      </c>
      <c r="AP813" s="4">
        <f t="shared" si="105"/>
        <v>4094.1453843749996</v>
      </c>
      <c r="AQ813" s="10">
        <f t="shared" si="106"/>
        <v>2411.2969320000002</v>
      </c>
      <c r="AR813" s="10">
        <f t="shared" si="107"/>
        <v>2679.1920211452002</v>
      </c>
      <c r="AS813" s="10">
        <f t="shared" si="108"/>
        <v>3753.9070637376003</v>
      </c>
    </row>
    <row r="814" spans="1:45" x14ac:dyDescent="0.3">
      <c r="A814">
        <v>2025</v>
      </c>
      <c r="B814">
        <v>7</v>
      </c>
      <c r="C814" t="s">
        <v>55</v>
      </c>
      <c r="D814">
        <v>10</v>
      </c>
      <c r="E814" t="s">
        <v>36</v>
      </c>
      <c r="F814" t="s">
        <v>37</v>
      </c>
      <c r="G814" t="s">
        <v>38</v>
      </c>
      <c r="H814" t="s">
        <v>78</v>
      </c>
      <c r="I814" t="s">
        <v>190</v>
      </c>
      <c r="J814" t="s">
        <v>58</v>
      </c>
      <c r="K814" t="s">
        <v>41</v>
      </c>
      <c r="L814" t="s">
        <v>953</v>
      </c>
      <c r="M814" t="s">
        <v>954</v>
      </c>
      <c r="N814" t="s">
        <v>731</v>
      </c>
      <c r="O814" t="s">
        <v>36</v>
      </c>
      <c r="Q814" t="s">
        <v>62</v>
      </c>
      <c r="R814" t="s">
        <v>955</v>
      </c>
      <c r="S814" t="s">
        <v>956</v>
      </c>
      <c r="T814" t="s">
        <v>47</v>
      </c>
      <c r="U814" t="s">
        <v>118</v>
      </c>
      <c r="V814" t="s">
        <v>49</v>
      </c>
      <c r="W814" t="s">
        <v>714</v>
      </c>
      <c r="X814" t="s">
        <v>51</v>
      </c>
      <c r="Y814" t="s">
        <v>303</v>
      </c>
      <c r="Z814" t="s">
        <v>64</v>
      </c>
      <c r="AA814" t="s">
        <v>322</v>
      </c>
      <c r="AB814" s="3">
        <f t="shared" si="101"/>
        <v>4</v>
      </c>
      <c r="AC814">
        <v>1018.19</v>
      </c>
      <c r="AD814" s="2">
        <v>254.54750000000001</v>
      </c>
      <c r="AE814" s="2">
        <v>227.43</v>
      </c>
      <c r="AF814" s="2">
        <v>7.46</v>
      </c>
      <c r="AG814" s="2">
        <v>1253.07</v>
      </c>
      <c r="AH814">
        <v>0</v>
      </c>
      <c r="AI814">
        <v>313.26749999999998</v>
      </c>
      <c r="AJ814">
        <v>6.2653499999999998</v>
      </c>
      <c r="AK814" t="s">
        <v>54</v>
      </c>
      <c r="AL814">
        <v>8.81</v>
      </c>
      <c r="AM814" s="4">
        <f t="shared" si="102"/>
        <v>313.26749999999998</v>
      </c>
      <c r="AN814" s="4">
        <f t="shared" si="103"/>
        <v>477.27656250000001</v>
      </c>
      <c r="AO814" s="4">
        <f t="shared" si="104"/>
        <v>530.25426093750002</v>
      </c>
      <c r="AP814" s="4">
        <f t="shared" si="105"/>
        <v>773.14030359374999</v>
      </c>
      <c r="AQ814" s="10">
        <f t="shared" si="106"/>
        <v>544.80350925000005</v>
      </c>
      <c r="AR814" s="10">
        <f t="shared" si="107"/>
        <v>605.331179127675</v>
      </c>
      <c r="AS814" s="10">
        <f t="shared" si="108"/>
        <v>848.15010320040005</v>
      </c>
    </row>
    <row r="815" spans="1:45" x14ac:dyDescent="0.3">
      <c r="A815">
        <v>2025</v>
      </c>
      <c r="B815">
        <v>4</v>
      </c>
      <c r="C815" t="s">
        <v>55</v>
      </c>
      <c r="D815">
        <v>10</v>
      </c>
      <c r="E815" t="s">
        <v>36</v>
      </c>
      <c r="F815" t="s">
        <v>37</v>
      </c>
      <c r="G815" t="s">
        <v>38</v>
      </c>
      <c r="H815" t="s">
        <v>83</v>
      </c>
      <c r="I815" t="s">
        <v>190</v>
      </c>
      <c r="J815" t="s">
        <v>58</v>
      </c>
      <c r="K815" t="s">
        <v>59</v>
      </c>
      <c r="M815" t="s">
        <v>383</v>
      </c>
      <c r="N815" t="s">
        <v>384</v>
      </c>
      <c r="O815" t="s">
        <v>36</v>
      </c>
      <c r="Q815" t="s">
        <v>62</v>
      </c>
      <c r="R815" t="s">
        <v>385</v>
      </c>
      <c r="S815" t="s">
        <v>385</v>
      </c>
      <c r="T815" t="s">
        <v>47</v>
      </c>
      <c r="U815" t="s">
        <v>559</v>
      </c>
      <c r="V815" t="s">
        <v>49</v>
      </c>
      <c r="W815" t="s">
        <v>560</v>
      </c>
      <c r="X815" t="s">
        <v>388</v>
      </c>
      <c r="Y815" t="s">
        <v>1081</v>
      </c>
      <c r="Z815" t="s">
        <v>1081</v>
      </c>
      <c r="AA815" t="s">
        <v>322</v>
      </c>
      <c r="AB815" s="3">
        <f t="shared" si="101"/>
        <v>4.9999999999999991</v>
      </c>
      <c r="AC815">
        <v>1113.8699999999999</v>
      </c>
      <c r="AD815" s="2">
        <v>222.774</v>
      </c>
      <c r="AE815" s="2">
        <v>145.21</v>
      </c>
      <c r="AF815" s="2">
        <v>7.67</v>
      </c>
      <c r="AG815" s="2">
        <v>1266.75</v>
      </c>
      <c r="AH815">
        <v>0</v>
      </c>
      <c r="AI815">
        <v>253.35</v>
      </c>
      <c r="AJ815">
        <v>6.3337500000000002</v>
      </c>
      <c r="AK815" t="s">
        <v>54</v>
      </c>
      <c r="AL815">
        <v>10.87</v>
      </c>
      <c r="AM815" s="4">
        <f t="shared" si="102"/>
        <v>253.35000000000005</v>
      </c>
      <c r="AN815" s="4">
        <f t="shared" si="103"/>
        <v>417.70125000000002</v>
      </c>
      <c r="AO815" s="4">
        <f t="shared" si="104"/>
        <v>464.06608875000001</v>
      </c>
      <c r="AP815" s="4">
        <f t="shared" si="105"/>
        <v>676.63425487500001</v>
      </c>
      <c r="AQ815" s="10">
        <f t="shared" si="106"/>
        <v>440.60098500000009</v>
      </c>
      <c r="AR815" s="10">
        <f t="shared" si="107"/>
        <v>489.55175443350009</v>
      </c>
      <c r="AS815" s="10">
        <f t="shared" si="108"/>
        <v>685.9276134480001</v>
      </c>
    </row>
    <row r="816" spans="1:45" x14ac:dyDescent="0.3">
      <c r="A816">
        <v>2025</v>
      </c>
      <c r="B816">
        <v>8</v>
      </c>
      <c r="C816" t="s">
        <v>55</v>
      </c>
      <c r="D816">
        <v>10</v>
      </c>
      <c r="E816" t="s">
        <v>36</v>
      </c>
      <c r="F816" t="s">
        <v>37</v>
      </c>
      <c r="G816" t="s">
        <v>38</v>
      </c>
      <c r="H816" t="s">
        <v>83</v>
      </c>
      <c r="I816" t="s">
        <v>190</v>
      </c>
      <c r="J816" t="s">
        <v>58</v>
      </c>
      <c r="K816" t="s">
        <v>59</v>
      </c>
      <c r="L816" t="s">
        <v>1194</v>
      </c>
      <c r="M816" t="s">
        <v>1195</v>
      </c>
      <c r="N816" t="s">
        <v>1196</v>
      </c>
      <c r="O816" t="s">
        <v>1197</v>
      </c>
      <c r="Q816" t="s">
        <v>62</v>
      </c>
      <c r="R816" t="s">
        <v>1198</v>
      </c>
      <c r="S816" t="s">
        <v>1198</v>
      </c>
      <c r="T816" t="s">
        <v>47</v>
      </c>
      <c r="U816" t="s">
        <v>167</v>
      </c>
      <c r="V816" t="s">
        <v>49</v>
      </c>
      <c r="W816" t="s">
        <v>168</v>
      </c>
      <c r="X816" t="s">
        <v>388</v>
      </c>
      <c r="Y816" t="s">
        <v>564</v>
      </c>
      <c r="Z816" t="s">
        <v>564</v>
      </c>
      <c r="AA816" t="s">
        <v>565</v>
      </c>
      <c r="AB816" s="3">
        <f t="shared" si="101"/>
        <v>5</v>
      </c>
      <c r="AC816">
        <v>525.99</v>
      </c>
      <c r="AD816" s="2">
        <v>105.19799999999999</v>
      </c>
      <c r="AE816" s="2">
        <v>76.62</v>
      </c>
      <c r="AF816" s="2">
        <v>3.44</v>
      </c>
      <c r="AG816" s="2">
        <v>606.04999999999995</v>
      </c>
      <c r="AH816">
        <v>0</v>
      </c>
      <c r="AI816">
        <v>121.21</v>
      </c>
      <c r="AJ816">
        <v>3.0302500000000001</v>
      </c>
      <c r="AK816" t="s">
        <v>54</v>
      </c>
      <c r="AL816">
        <v>3.9</v>
      </c>
      <c r="AM816" s="4">
        <f t="shared" si="102"/>
        <v>121.21</v>
      </c>
      <c r="AN816" s="4">
        <f t="shared" si="103"/>
        <v>197.24624999999997</v>
      </c>
      <c r="AO816" s="4">
        <f t="shared" si="104"/>
        <v>219.14058374999996</v>
      </c>
      <c r="AP816" s="4">
        <f t="shared" si="105"/>
        <v>319.51920037499991</v>
      </c>
      <c r="AQ816" s="10">
        <f t="shared" si="106"/>
        <v>210.796311</v>
      </c>
      <c r="AR816" s="10">
        <f t="shared" si="107"/>
        <v>234.21578115209999</v>
      </c>
      <c r="AS816" s="10">
        <f t="shared" si="108"/>
        <v>328.16769696479997</v>
      </c>
    </row>
    <row r="817" spans="1:45" x14ac:dyDescent="0.3">
      <c r="A817">
        <v>2025</v>
      </c>
      <c r="B817">
        <v>3</v>
      </c>
      <c r="C817" t="s">
        <v>55</v>
      </c>
      <c r="D817">
        <v>10</v>
      </c>
      <c r="E817" t="s">
        <v>36</v>
      </c>
      <c r="F817" t="s">
        <v>37</v>
      </c>
      <c r="G817" t="s">
        <v>38</v>
      </c>
      <c r="H817" t="s">
        <v>83</v>
      </c>
      <c r="I817" t="s">
        <v>190</v>
      </c>
      <c r="J817" t="s">
        <v>58</v>
      </c>
      <c r="K817" t="s">
        <v>59</v>
      </c>
      <c r="M817" t="s">
        <v>213</v>
      </c>
      <c r="N817" t="s">
        <v>61</v>
      </c>
      <c r="O817" t="s">
        <v>43</v>
      </c>
      <c r="Q817" t="s">
        <v>62</v>
      </c>
      <c r="R817" t="s">
        <v>214</v>
      </c>
      <c r="S817" t="s">
        <v>215</v>
      </c>
      <c r="T817" t="s">
        <v>47</v>
      </c>
      <c r="U817" t="s">
        <v>167</v>
      </c>
      <c r="V817" t="s">
        <v>49</v>
      </c>
      <c r="W817" t="s">
        <v>168</v>
      </c>
      <c r="X817" t="s">
        <v>51</v>
      </c>
      <c r="Y817" t="s">
        <v>1411</v>
      </c>
      <c r="Z817" t="s">
        <v>1411</v>
      </c>
      <c r="AA817" t="s">
        <v>1412</v>
      </c>
      <c r="AB817" s="3">
        <f t="shared" si="101"/>
        <v>4</v>
      </c>
      <c r="AC817">
        <v>682.14</v>
      </c>
      <c r="AD817" s="2">
        <v>170.535</v>
      </c>
      <c r="AE817" s="2">
        <v>48.89</v>
      </c>
      <c r="AF817" s="2">
        <v>4.41</v>
      </c>
      <c r="AG817" s="2">
        <v>735.44</v>
      </c>
      <c r="AH817">
        <v>0</v>
      </c>
      <c r="AI817">
        <v>183.86</v>
      </c>
      <c r="AJ817">
        <v>3.6772</v>
      </c>
      <c r="AK817" t="s">
        <v>54</v>
      </c>
      <c r="AL817">
        <v>5.74</v>
      </c>
      <c r="AM817" s="4">
        <f t="shared" si="102"/>
        <v>183.86</v>
      </c>
      <c r="AN817" s="4">
        <f t="shared" si="103"/>
        <v>319.75312500000001</v>
      </c>
      <c r="AO817" s="4">
        <f t="shared" si="104"/>
        <v>355.24572187500002</v>
      </c>
      <c r="AP817" s="4">
        <f t="shared" si="105"/>
        <v>517.96808718750003</v>
      </c>
      <c r="AQ817" s="10">
        <f t="shared" si="106"/>
        <v>319.75092600000005</v>
      </c>
      <c r="AR817" s="10">
        <f t="shared" si="107"/>
        <v>355.27525387860004</v>
      </c>
      <c r="AS817" s="10">
        <f t="shared" si="108"/>
        <v>497.78824159680005</v>
      </c>
    </row>
    <row r="818" spans="1:45" x14ac:dyDescent="0.3">
      <c r="A818">
        <v>2025</v>
      </c>
      <c r="B818">
        <v>4</v>
      </c>
      <c r="C818" t="s">
        <v>55</v>
      </c>
      <c r="D818">
        <v>10</v>
      </c>
      <c r="E818" t="s">
        <v>36</v>
      </c>
      <c r="F818" t="s">
        <v>37</v>
      </c>
      <c r="G818" t="s">
        <v>38</v>
      </c>
      <c r="H818" t="s">
        <v>83</v>
      </c>
      <c r="I818" t="s">
        <v>375</v>
      </c>
      <c r="J818" t="s">
        <v>376</v>
      </c>
      <c r="K818" t="s">
        <v>59</v>
      </c>
      <c r="M818">
        <v>2503061</v>
      </c>
      <c r="N818" t="s">
        <v>377</v>
      </c>
      <c r="O818" t="s">
        <v>36</v>
      </c>
      <c r="Q818" t="s">
        <v>62</v>
      </c>
      <c r="R818" t="s">
        <v>378</v>
      </c>
      <c r="S818" t="s">
        <v>378</v>
      </c>
      <c r="T818" t="s">
        <v>47</v>
      </c>
      <c r="U818" t="s">
        <v>167</v>
      </c>
      <c r="V818" t="s">
        <v>49</v>
      </c>
      <c r="W818" t="s">
        <v>168</v>
      </c>
      <c r="X818" t="s">
        <v>51</v>
      </c>
      <c r="Y818" t="s">
        <v>155</v>
      </c>
      <c r="Z818" t="s">
        <v>64</v>
      </c>
      <c r="AA818" t="s">
        <v>355</v>
      </c>
      <c r="AB818" s="3">
        <f t="shared" si="101"/>
        <v>5</v>
      </c>
      <c r="AC818">
        <v>302.32</v>
      </c>
      <c r="AD818" s="2">
        <v>60.463999999999999</v>
      </c>
      <c r="AE818" s="2">
        <v>63.44</v>
      </c>
      <c r="AF818" s="2">
        <v>2.2400000000000002</v>
      </c>
      <c r="AG818" s="2">
        <v>368</v>
      </c>
      <c r="AH818">
        <v>0</v>
      </c>
      <c r="AI818">
        <v>73.599999999999994</v>
      </c>
      <c r="AJ818">
        <v>1.84</v>
      </c>
      <c r="AK818" t="s">
        <v>54</v>
      </c>
      <c r="AL818">
        <v>9.7200000000000006</v>
      </c>
      <c r="AM818" s="4">
        <f t="shared" si="102"/>
        <v>73.599999999999994</v>
      </c>
      <c r="AN818" s="4">
        <f t="shared" si="103"/>
        <v>113.37</v>
      </c>
      <c r="AO818" s="4">
        <f t="shared" si="104"/>
        <v>125.95407</v>
      </c>
      <c r="AP818" s="4">
        <f t="shared" si="105"/>
        <v>183.64806300000001</v>
      </c>
      <c r="AQ818" s="10">
        <f t="shared" si="106"/>
        <v>127.99776</v>
      </c>
      <c r="AR818" s="10">
        <f t="shared" si="107"/>
        <v>142.21831113599998</v>
      </c>
      <c r="AS818" s="10">
        <f t="shared" si="108"/>
        <v>199.266912768</v>
      </c>
    </row>
    <row r="819" spans="1:45" x14ac:dyDescent="0.3">
      <c r="A819">
        <v>2025</v>
      </c>
      <c r="B819">
        <v>11</v>
      </c>
      <c r="C819" t="s">
        <v>55</v>
      </c>
      <c r="D819">
        <v>10</v>
      </c>
      <c r="E819" t="s">
        <v>36</v>
      </c>
      <c r="F819" t="s">
        <v>37</v>
      </c>
      <c r="G819" t="s">
        <v>38</v>
      </c>
      <c r="H819" t="s">
        <v>83</v>
      </c>
      <c r="I819" t="s">
        <v>190</v>
      </c>
      <c r="J819" t="s">
        <v>58</v>
      </c>
      <c r="K819" t="s">
        <v>59</v>
      </c>
      <c r="L819" t="s">
        <v>1629</v>
      </c>
      <c r="M819" t="s">
        <v>1630</v>
      </c>
      <c r="N819" t="s">
        <v>1485</v>
      </c>
      <c r="O819" t="s">
        <v>1197</v>
      </c>
      <c r="Q819" t="s">
        <v>62</v>
      </c>
      <c r="R819" t="s">
        <v>1631</v>
      </c>
      <c r="S819" t="s">
        <v>1631</v>
      </c>
      <c r="T819" t="s">
        <v>47</v>
      </c>
      <c r="U819" t="s">
        <v>167</v>
      </c>
      <c r="V819" t="s">
        <v>49</v>
      </c>
      <c r="W819" t="s">
        <v>168</v>
      </c>
      <c r="X819" t="s">
        <v>1578</v>
      </c>
      <c r="Y819" t="s">
        <v>155</v>
      </c>
      <c r="Z819" t="s">
        <v>155</v>
      </c>
      <c r="AA819" t="s">
        <v>355</v>
      </c>
      <c r="AB819" s="3">
        <f t="shared" si="101"/>
        <v>10</v>
      </c>
      <c r="AC819">
        <v>599.75</v>
      </c>
      <c r="AD819" s="2">
        <v>59.975000000000001</v>
      </c>
      <c r="AE819" s="2">
        <v>150.87</v>
      </c>
      <c r="AF819" s="2">
        <v>4.16</v>
      </c>
      <c r="AG819" s="2">
        <v>754.78</v>
      </c>
      <c r="AH819">
        <v>0</v>
      </c>
      <c r="AI819">
        <v>75.477999999999994</v>
      </c>
      <c r="AJ819">
        <v>3.7738999999999998</v>
      </c>
      <c r="AK819" t="s">
        <v>54</v>
      </c>
      <c r="AL819">
        <v>7.2</v>
      </c>
      <c r="AM819" s="4">
        <f t="shared" si="102"/>
        <v>75.477999999999994</v>
      </c>
      <c r="AN819" s="4">
        <f t="shared" si="103"/>
        <v>112.453125</v>
      </c>
      <c r="AO819" s="4">
        <f t="shared" si="104"/>
        <v>124.935421875</v>
      </c>
      <c r="AP819" s="4">
        <f t="shared" si="105"/>
        <v>182.1628171875</v>
      </c>
      <c r="AQ819" s="10">
        <f t="shared" si="106"/>
        <v>131.26378979999998</v>
      </c>
      <c r="AR819" s="10">
        <f t="shared" si="107"/>
        <v>145.84719684677998</v>
      </c>
      <c r="AS819" s="10">
        <f t="shared" si="108"/>
        <v>204.35146796063998</v>
      </c>
    </row>
    <row r="820" spans="1:45" x14ac:dyDescent="0.3">
      <c r="A820">
        <v>2025</v>
      </c>
      <c r="B820">
        <v>7</v>
      </c>
      <c r="C820" t="s">
        <v>55</v>
      </c>
      <c r="D820">
        <v>10</v>
      </c>
      <c r="E820" t="s">
        <v>36</v>
      </c>
      <c r="F820" t="s">
        <v>37</v>
      </c>
      <c r="G820" t="s">
        <v>38</v>
      </c>
      <c r="H820" t="s">
        <v>83</v>
      </c>
      <c r="I820" t="s">
        <v>190</v>
      </c>
      <c r="J820" t="s">
        <v>58</v>
      </c>
      <c r="K820" t="s">
        <v>41</v>
      </c>
      <c r="L820" t="s">
        <v>953</v>
      </c>
      <c r="M820" t="s">
        <v>954</v>
      </c>
      <c r="N820" t="s">
        <v>731</v>
      </c>
      <c r="O820" t="s">
        <v>36</v>
      </c>
      <c r="Q820" t="s">
        <v>62</v>
      </c>
      <c r="R820" t="s">
        <v>955</v>
      </c>
      <c r="S820" t="s">
        <v>956</v>
      </c>
      <c r="T820" t="s">
        <v>47</v>
      </c>
      <c r="U820" t="s">
        <v>167</v>
      </c>
      <c r="V820" t="s">
        <v>49</v>
      </c>
      <c r="W820" t="s">
        <v>168</v>
      </c>
      <c r="X820" t="s">
        <v>51</v>
      </c>
      <c r="Y820" t="s">
        <v>1733</v>
      </c>
      <c r="Z820" t="s">
        <v>1733</v>
      </c>
      <c r="AA820" t="s">
        <v>355</v>
      </c>
      <c r="AB820" s="3">
        <f t="shared" si="101"/>
        <v>2</v>
      </c>
      <c r="AC820">
        <v>116.34</v>
      </c>
      <c r="AD820" s="2">
        <v>58.17</v>
      </c>
      <c r="AE820" s="2">
        <v>30.29</v>
      </c>
      <c r="AF820" s="2">
        <v>0.9</v>
      </c>
      <c r="AG820" s="2">
        <v>147.52000000000001</v>
      </c>
      <c r="AH820">
        <v>0</v>
      </c>
      <c r="AI820">
        <v>73.760000000000005</v>
      </c>
      <c r="AJ820">
        <v>0.73760000000000003</v>
      </c>
      <c r="AK820" t="s">
        <v>54</v>
      </c>
      <c r="AL820">
        <v>1.46</v>
      </c>
      <c r="AM820" s="4">
        <f t="shared" si="102"/>
        <v>73.760000000000005</v>
      </c>
      <c r="AN820" s="4">
        <f t="shared" si="103"/>
        <v>109.06875000000001</v>
      </c>
      <c r="AO820" s="4">
        <f t="shared" si="104"/>
        <v>121.17538125000002</v>
      </c>
      <c r="AP820" s="4">
        <f t="shared" si="105"/>
        <v>176.680468125</v>
      </c>
      <c r="AQ820" s="10">
        <f t="shared" si="106"/>
        <v>128.27601600000003</v>
      </c>
      <c r="AR820" s="10">
        <f t="shared" si="107"/>
        <v>142.52748137760003</v>
      </c>
      <c r="AS820" s="10">
        <f t="shared" si="108"/>
        <v>199.70010170880005</v>
      </c>
    </row>
    <row r="821" spans="1:45" x14ac:dyDescent="0.3">
      <c r="A821">
        <v>2025</v>
      </c>
      <c r="B821">
        <v>7</v>
      </c>
      <c r="C821" t="s">
        <v>55</v>
      </c>
      <c r="D821">
        <v>10</v>
      </c>
      <c r="E821" t="s">
        <v>36</v>
      </c>
      <c r="F821" t="s">
        <v>37</v>
      </c>
      <c r="G821" t="s">
        <v>38</v>
      </c>
      <c r="H821" t="s">
        <v>78</v>
      </c>
      <c r="I821" t="s">
        <v>190</v>
      </c>
      <c r="J821" t="s">
        <v>58</v>
      </c>
      <c r="K821" t="s">
        <v>41</v>
      </c>
      <c r="L821" t="s">
        <v>953</v>
      </c>
      <c r="M821" t="s">
        <v>954</v>
      </c>
      <c r="N821" t="s">
        <v>731</v>
      </c>
      <c r="O821" t="s">
        <v>36</v>
      </c>
      <c r="Q821" t="s">
        <v>62</v>
      </c>
      <c r="R821" t="s">
        <v>955</v>
      </c>
      <c r="S821" t="s">
        <v>956</v>
      </c>
      <c r="T821" t="s">
        <v>47</v>
      </c>
      <c r="U821" t="s">
        <v>118</v>
      </c>
      <c r="V821" t="s">
        <v>49</v>
      </c>
      <c r="W821" t="s">
        <v>714</v>
      </c>
      <c r="X821" t="s">
        <v>51</v>
      </c>
      <c r="Y821" t="s">
        <v>1143</v>
      </c>
      <c r="Z821" t="s">
        <v>1143</v>
      </c>
      <c r="AA821" t="s">
        <v>1144</v>
      </c>
      <c r="AB821" s="3">
        <f t="shared" si="101"/>
        <v>1</v>
      </c>
      <c r="AC821">
        <v>249.95</v>
      </c>
      <c r="AD821" s="2">
        <v>249.95</v>
      </c>
      <c r="AE821" s="2">
        <v>29.4</v>
      </c>
      <c r="AF821" s="2">
        <v>1.75</v>
      </c>
      <c r="AG821" s="2">
        <v>280.74</v>
      </c>
      <c r="AH821">
        <v>0</v>
      </c>
      <c r="AI821">
        <v>280.74</v>
      </c>
      <c r="AJ821">
        <v>1.4036999999999999</v>
      </c>
      <c r="AK821" t="s">
        <v>54</v>
      </c>
      <c r="AL821">
        <v>2.17</v>
      </c>
      <c r="AM821" s="4">
        <f t="shared" si="102"/>
        <v>280.74</v>
      </c>
      <c r="AN821" s="4">
        <f t="shared" si="103"/>
        <v>468.65625</v>
      </c>
      <c r="AO821" s="4">
        <f t="shared" si="104"/>
        <v>520.67709375000004</v>
      </c>
      <c r="AP821" s="4">
        <f t="shared" si="105"/>
        <v>759.17625937499997</v>
      </c>
      <c r="AQ821" s="10">
        <f t="shared" si="106"/>
        <v>488.23493400000007</v>
      </c>
      <c r="AR821" s="10">
        <f t="shared" si="107"/>
        <v>542.47783516740003</v>
      </c>
      <c r="AS821" s="10">
        <f t="shared" si="108"/>
        <v>760.08414525120008</v>
      </c>
    </row>
    <row r="822" spans="1:45" x14ac:dyDescent="0.3">
      <c r="A822">
        <v>2025</v>
      </c>
      <c r="B822">
        <v>3</v>
      </c>
      <c r="C822" t="s">
        <v>55</v>
      </c>
      <c r="D822">
        <v>10</v>
      </c>
      <c r="E822" t="s">
        <v>36</v>
      </c>
      <c r="F822" t="s">
        <v>37</v>
      </c>
      <c r="G822" t="s">
        <v>38</v>
      </c>
      <c r="H822" t="s">
        <v>78</v>
      </c>
      <c r="I822" t="s">
        <v>190</v>
      </c>
      <c r="J822" t="s">
        <v>58</v>
      </c>
      <c r="K822" t="s">
        <v>59</v>
      </c>
      <c r="M822" t="s">
        <v>209</v>
      </c>
      <c r="N822" t="s">
        <v>61</v>
      </c>
      <c r="O822" t="s">
        <v>43</v>
      </c>
      <c r="Q822" t="s">
        <v>62</v>
      </c>
      <c r="R822" t="s">
        <v>210</v>
      </c>
      <c r="S822" t="s">
        <v>211</v>
      </c>
      <c r="T822" t="s">
        <v>47</v>
      </c>
      <c r="U822" t="s">
        <v>72</v>
      </c>
      <c r="V822" t="s">
        <v>49</v>
      </c>
      <c r="W822" t="s">
        <v>73</v>
      </c>
      <c r="X822" t="s">
        <v>51</v>
      </c>
      <c r="Y822" t="s">
        <v>1095</v>
      </c>
      <c r="Z822" t="s">
        <v>1095</v>
      </c>
      <c r="AA822" t="s">
        <v>1096</v>
      </c>
      <c r="AB822" s="3">
        <f t="shared" si="101"/>
        <v>1</v>
      </c>
      <c r="AC822">
        <v>84.6</v>
      </c>
      <c r="AD822" s="2">
        <v>84.6</v>
      </c>
      <c r="AE822" s="2">
        <v>29.4</v>
      </c>
      <c r="AF822" s="2">
        <v>0.56999999999999995</v>
      </c>
      <c r="AG822" s="2">
        <v>113.67</v>
      </c>
      <c r="AH822">
        <v>0</v>
      </c>
      <c r="AI822">
        <v>113.67</v>
      </c>
      <c r="AJ822">
        <v>0.56835000000000002</v>
      </c>
      <c r="AK822" t="s">
        <v>54</v>
      </c>
      <c r="AL822">
        <v>2.17</v>
      </c>
      <c r="AM822" s="4">
        <f t="shared" si="102"/>
        <v>113.67</v>
      </c>
      <c r="AN822" s="4">
        <f t="shared" si="103"/>
        <v>158.625</v>
      </c>
      <c r="AO822" s="4">
        <f t="shared" si="104"/>
        <v>176.23237499999999</v>
      </c>
      <c r="AP822" s="4">
        <f t="shared" si="105"/>
        <v>256.9566375</v>
      </c>
      <c r="AQ822" s="10">
        <f t="shared" si="106"/>
        <v>197.68349700000002</v>
      </c>
      <c r="AR822" s="10">
        <f t="shared" si="107"/>
        <v>219.64613351670002</v>
      </c>
      <c r="AS822" s="10">
        <f t="shared" si="108"/>
        <v>307.75366812960004</v>
      </c>
    </row>
    <row r="823" spans="1:45" x14ac:dyDescent="0.3">
      <c r="A823">
        <v>2025</v>
      </c>
      <c r="B823">
        <v>8</v>
      </c>
      <c r="C823" t="s">
        <v>55</v>
      </c>
      <c r="D823">
        <v>10</v>
      </c>
      <c r="E823" t="s">
        <v>36</v>
      </c>
      <c r="F823" t="s">
        <v>37</v>
      </c>
      <c r="G823" t="s">
        <v>38</v>
      </c>
      <c r="H823" t="s">
        <v>78</v>
      </c>
      <c r="I823" t="s">
        <v>190</v>
      </c>
      <c r="J823" t="s">
        <v>58</v>
      </c>
      <c r="K823" t="s">
        <v>59</v>
      </c>
      <c r="L823" t="s">
        <v>1194</v>
      </c>
      <c r="M823" t="s">
        <v>1195</v>
      </c>
      <c r="N823" t="s">
        <v>1196</v>
      </c>
      <c r="O823" t="s">
        <v>1197</v>
      </c>
      <c r="Q823" t="s">
        <v>62</v>
      </c>
      <c r="R823" t="s">
        <v>1198</v>
      </c>
      <c r="S823" t="s">
        <v>1198</v>
      </c>
      <c r="T823" t="s">
        <v>47</v>
      </c>
      <c r="U823" t="s">
        <v>72</v>
      </c>
      <c r="V823" t="s">
        <v>49</v>
      </c>
      <c r="W823" t="s">
        <v>73</v>
      </c>
      <c r="X823" t="s">
        <v>388</v>
      </c>
      <c r="Y823" t="s">
        <v>74</v>
      </c>
      <c r="Z823" t="s">
        <v>64</v>
      </c>
      <c r="AA823" t="s">
        <v>212</v>
      </c>
      <c r="AB823" s="3">
        <f t="shared" si="101"/>
        <v>2</v>
      </c>
      <c r="AC823">
        <v>318.67</v>
      </c>
      <c r="AD823" s="2">
        <v>159.33500000000001</v>
      </c>
      <c r="AE823" s="2">
        <v>71.180000000000007</v>
      </c>
      <c r="AF823" s="2">
        <v>2.34</v>
      </c>
      <c r="AG823" s="2">
        <v>392.18</v>
      </c>
      <c r="AH823">
        <v>0</v>
      </c>
      <c r="AI823">
        <v>196.09</v>
      </c>
      <c r="AJ823">
        <v>1.9609000000000001</v>
      </c>
      <c r="AK823" t="s">
        <v>54</v>
      </c>
      <c r="AL823">
        <v>4.4000000000000004</v>
      </c>
      <c r="AM823" s="4">
        <f t="shared" si="102"/>
        <v>196.09</v>
      </c>
      <c r="AN823" s="4">
        <f t="shared" si="103"/>
        <v>298.75312500000001</v>
      </c>
      <c r="AO823" s="4">
        <f t="shared" si="104"/>
        <v>331.914721875</v>
      </c>
      <c r="AP823" s="4">
        <f t="shared" si="105"/>
        <v>483.95018718749998</v>
      </c>
      <c r="AQ823" s="10">
        <f t="shared" si="106"/>
        <v>341.02011900000002</v>
      </c>
      <c r="AR823" s="10">
        <f t="shared" si="107"/>
        <v>378.90745422090004</v>
      </c>
      <c r="AS823" s="10">
        <f t="shared" si="108"/>
        <v>530.90012125919998</v>
      </c>
    </row>
    <row r="824" spans="1:45" x14ac:dyDescent="0.3">
      <c r="A824">
        <v>2025</v>
      </c>
      <c r="B824">
        <v>11</v>
      </c>
      <c r="C824" t="s">
        <v>55</v>
      </c>
      <c r="D824">
        <v>10</v>
      </c>
      <c r="E824" t="s">
        <v>36</v>
      </c>
      <c r="F824" t="s">
        <v>37</v>
      </c>
      <c r="G824" t="s">
        <v>38</v>
      </c>
      <c r="H824" t="s">
        <v>78</v>
      </c>
      <c r="I824" t="s">
        <v>375</v>
      </c>
      <c r="J824" t="s">
        <v>376</v>
      </c>
      <c r="K824" t="s">
        <v>51</v>
      </c>
      <c r="L824" t="s">
        <v>1622</v>
      </c>
      <c r="M824" t="s">
        <v>1623</v>
      </c>
      <c r="N824" t="s">
        <v>1485</v>
      </c>
      <c r="O824" t="s">
        <v>1197</v>
      </c>
      <c r="Q824" t="s">
        <v>62</v>
      </c>
      <c r="R824" t="s">
        <v>1624</v>
      </c>
      <c r="S824" t="s">
        <v>1624</v>
      </c>
      <c r="T824" t="s">
        <v>47</v>
      </c>
      <c r="U824" t="s">
        <v>72</v>
      </c>
      <c r="V824" t="s">
        <v>49</v>
      </c>
      <c r="W824" t="s">
        <v>73</v>
      </c>
      <c r="X824" t="s">
        <v>51</v>
      </c>
      <c r="Y824" t="s">
        <v>1201</v>
      </c>
      <c r="Z824" t="s">
        <v>1201</v>
      </c>
      <c r="AA824" t="s">
        <v>212</v>
      </c>
      <c r="AB824" s="3">
        <f t="shared" si="101"/>
        <v>5.0000000000000009</v>
      </c>
      <c r="AC824">
        <v>699.72</v>
      </c>
      <c r="AD824" s="2">
        <v>139.94399999999999</v>
      </c>
      <c r="AE824" s="2">
        <v>50.15</v>
      </c>
      <c r="AF824" s="2">
        <v>4.53</v>
      </c>
      <c r="AG824" s="2">
        <v>754.4</v>
      </c>
      <c r="AH824">
        <v>0</v>
      </c>
      <c r="AI824">
        <v>150.88</v>
      </c>
      <c r="AJ824">
        <v>3.7719999999999998</v>
      </c>
      <c r="AK824" t="s">
        <v>54</v>
      </c>
      <c r="AL824">
        <v>5.89</v>
      </c>
      <c r="AM824" s="4">
        <f t="shared" si="102"/>
        <v>150.87999999999997</v>
      </c>
      <c r="AN824" s="4">
        <f t="shared" si="103"/>
        <v>262.39499999999998</v>
      </c>
      <c r="AO824" s="4">
        <f t="shared" si="104"/>
        <v>291.52084499999995</v>
      </c>
      <c r="AP824" s="4">
        <f t="shared" si="105"/>
        <v>425.05366049999992</v>
      </c>
      <c r="AQ824" s="10">
        <f t="shared" si="106"/>
        <v>262.39540799999997</v>
      </c>
      <c r="AR824" s="10">
        <f t="shared" si="107"/>
        <v>291.54753782879999</v>
      </c>
      <c r="AS824" s="10">
        <f t="shared" si="108"/>
        <v>408.49717117439997</v>
      </c>
    </row>
    <row r="825" spans="1:45" x14ac:dyDescent="0.3">
      <c r="A825">
        <v>2025</v>
      </c>
      <c r="B825">
        <v>12</v>
      </c>
      <c r="C825" t="s">
        <v>55</v>
      </c>
      <c r="D825">
        <v>10</v>
      </c>
      <c r="E825" t="s">
        <v>36</v>
      </c>
      <c r="F825" t="s">
        <v>37</v>
      </c>
      <c r="G825" t="s">
        <v>38</v>
      </c>
      <c r="H825" t="s">
        <v>78</v>
      </c>
      <c r="I825" t="s">
        <v>57</v>
      </c>
      <c r="J825" t="s">
        <v>58</v>
      </c>
      <c r="K825" t="s">
        <v>59</v>
      </c>
      <c r="L825" t="s">
        <v>1769</v>
      </c>
      <c r="M825" t="s">
        <v>1770</v>
      </c>
      <c r="N825" t="s">
        <v>1771</v>
      </c>
      <c r="O825" t="s">
        <v>1197</v>
      </c>
      <c r="Q825" t="s">
        <v>62</v>
      </c>
      <c r="R825" t="s">
        <v>1772</v>
      </c>
      <c r="S825" t="s">
        <v>1772</v>
      </c>
      <c r="T825" t="s">
        <v>47</v>
      </c>
      <c r="U825" t="s">
        <v>72</v>
      </c>
      <c r="V825" t="s">
        <v>49</v>
      </c>
      <c r="W825" t="s">
        <v>73</v>
      </c>
      <c r="X825" t="s">
        <v>51</v>
      </c>
      <c r="Y825" t="s">
        <v>1625</v>
      </c>
      <c r="Z825" t="s">
        <v>1625</v>
      </c>
      <c r="AA825" t="s">
        <v>212</v>
      </c>
      <c r="AB825" s="3">
        <f t="shared" si="101"/>
        <v>1</v>
      </c>
      <c r="AC825">
        <v>134.51</v>
      </c>
      <c r="AD825" s="2">
        <v>134.51</v>
      </c>
      <c r="AE825" s="2">
        <v>18.829999999999998</v>
      </c>
      <c r="AF825" s="2">
        <v>0.93</v>
      </c>
      <c r="AG825" s="2">
        <v>154.27000000000001</v>
      </c>
      <c r="AH825">
        <v>0</v>
      </c>
      <c r="AI825">
        <v>154.27000000000001</v>
      </c>
      <c r="AJ825">
        <v>0.77134999999999998</v>
      </c>
      <c r="AK825" t="s">
        <v>54</v>
      </c>
      <c r="AL825">
        <v>0.71</v>
      </c>
      <c r="AM825" s="4">
        <f t="shared" si="102"/>
        <v>154.27000000000001</v>
      </c>
      <c r="AN825" s="4">
        <f t="shared" si="103"/>
        <v>252.20624999999998</v>
      </c>
      <c r="AO825" s="4">
        <f t="shared" si="104"/>
        <v>280.20114374999997</v>
      </c>
      <c r="AP825" s="4">
        <f t="shared" si="105"/>
        <v>408.54890437499995</v>
      </c>
      <c r="AQ825" s="10">
        <f t="shared" si="106"/>
        <v>268.29095700000005</v>
      </c>
      <c r="AR825" s="10">
        <f t="shared" si="107"/>
        <v>298.09808232270007</v>
      </c>
      <c r="AS825" s="10">
        <f t="shared" si="108"/>
        <v>417.67536185760008</v>
      </c>
    </row>
    <row r="826" spans="1:45" x14ac:dyDescent="0.3">
      <c r="A826">
        <v>2025</v>
      </c>
      <c r="B826">
        <v>12</v>
      </c>
      <c r="C826" t="s">
        <v>55</v>
      </c>
      <c r="D826">
        <v>10</v>
      </c>
      <c r="E826" t="s">
        <v>36</v>
      </c>
      <c r="F826" t="s">
        <v>37</v>
      </c>
      <c r="G826" t="s">
        <v>38</v>
      </c>
      <c r="H826" t="s">
        <v>78</v>
      </c>
      <c r="I826" t="s">
        <v>57</v>
      </c>
      <c r="J826" t="s">
        <v>58</v>
      </c>
      <c r="K826" t="s">
        <v>59</v>
      </c>
      <c r="L826" t="s">
        <v>1769</v>
      </c>
      <c r="M826" t="s">
        <v>1770</v>
      </c>
      <c r="N826" t="s">
        <v>1771</v>
      </c>
      <c r="O826" t="s">
        <v>1197</v>
      </c>
      <c r="Q826" t="s">
        <v>62</v>
      </c>
      <c r="R826" t="s">
        <v>1772</v>
      </c>
      <c r="S826" t="s">
        <v>1772</v>
      </c>
      <c r="T826" t="s">
        <v>47</v>
      </c>
      <c r="U826" t="s">
        <v>72</v>
      </c>
      <c r="V826" t="s">
        <v>49</v>
      </c>
      <c r="W826" t="s">
        <v>73</v>
      </c>
      <c r="X826" t="s">
        <v>51</v>
      </c>
      <c r="Y826" t="s">
        <v>1201</v>
      </c>
      <c r="Z826" t="s">
        <v>1201</v>
      </c>
      <c r="AA826" t="s">
        <v>212</v>
      </c>
      <c r="AB826" s="3">
        <f t="shared" si="101"/>
        <v>4</v>
      </c>
      <c r="AC826">
        <v>564.21</v>
      </c>
      <c r="AD826" s="2">
        <v>141.05250000000001</v>
      </c>
      <c r="AE826" s="2">
        <v>167.49</v>
      </c>
      <c r="AF826" s="2">
        <v>4.24</v>
      </c>
      <c r="AG826" s="2">
        <v>735.94</v>
      </c>
      <c r="AH826">
        <v>0</v>
      </c>
      <c r="AI826">
        <v>183.98500000000001</v>
      </c>
      <c r="AJ826">
        <v>3.6797</v>
      </c>
      <c r="AK826" t="s">
        <v>54</v>
      </c>
      <c r="AL826">
        <v>4.1900000000000004</v>
      </c>
      <c r="AM826" s="4">
        <f t="shared" si="102"/>
        <v>183.98500000000001</v>
      </c>
      <c r="AN826" s="4">
        <f t="shared" si="103"/>
        <v>264.47343750000005</v>
      </c>
      <c r="AO826" s="4">
        <f t="shared" si="104"/>
        <v>293.82998906250003</v>
      </c>
      <c r="AP826" s="4">
        <f t="shared" si="105"/>
        <v>428.42052140625003</v>
      </c>
      <c r="AQ826" s="10">
        <f t="shared" si="106"/>
        <v>319.96831350000002</v>
      </c>
      <c r="AR826" s="10">
        <f t="shared" si="107"/>
        <v>355.51679312985004</v>
      </c>
      <c r="AS826" s="10">
        <f t="shared" si="108"/>
        <v>498.12667045680001</v>
      </c>
    </row>
    <row r="827" spans="1:45" x14ac:dyDescent="0.3">
      <c r="A827">
        <v>2025</v>
      </c>
      <c r="B827">
        <v>7</v>
      </c>
      <c r="C827" t="s">
        <v>55</v>
      </c>
      <c r="D827">
        <v>10</v>
      </c>
      <c r="E827" t="s">
        <v>36</v>
      </c>
      <c r="F827" t="s">
        <v>37</v>
      </c>
      <c r="G827" t="s">
        <v>38</v>
      </c>
      <c r="H827" t="s">
        <v>78</v>
      </c>
      <c r="I827" t="s">
        <v>190</v>
      </c>
      <c r="J827" t="s">
        <v>58</v>
      </c>
      <c r="K827" t="s">
        <v>41</v>
      </c>
      <c r="L827" t="s">
        <v>953</v>
      </c>
      <c r="M827" t="s">
        <v>954</v>
      </c>
      <c r="N827" t="s">
        <v>731</v>
      </c>
      <c r="O827" t="s">
        <v>36</v>
      </c>
      <c r="Q827" t="s">
        <v>62</v>
      </c>
      <c r="R827" t="s">
        <v>955</v>
      </c>
      <c r="S827" t="s">
        <v>956</v>
      </c>
      <c r="T827" t="s">
        <v>47</v>
      </c>
      <c r="U827" t="s">
        <v>118</v>
      </c>
      <c r="V827" t="s">
        <v>49</v>
      </c>
      <c r="W827" t="s">
        <v>714</v>
      </c>
      <c r="X827" t="s">
        <v>51</v>
      </c>
      <c r="Y827" t="s">
        <v>1201</v>
      </c>
      <c r="Z827" t="s">
        <v>1201</v>
      </c>
      <c r="AA827" t="s">
        <v>212</v>
      </c>
      <c r="AB827" s="3">
        <f t="shared" si="101"/>
        <v>4</v>
      </c>
      <c r="AC827">
        <v>564.21</v>
      </c>
      <c r="AD827" s="2">
        <v>141.05250000000001</v>
      </c>
      <c r="AE827" s="2">
        <v>167.49</v>
      </c>
      <c r="AF827" s="2">
        <v>4.24</v>
      </c>
      <c r="AG827" s="2">
        <v>735.94</v>
      </c>
      <c r="AH827">
        <v>0</v>
      </c>
      <c r="AI827">
        <v>183.98500000000001</v>
      </c>
      <c r="AJ827">
        <v>3.6797</v>
      </c>
      <c r="AK827" t="s">
        <v>54</v>
      </c>
      <c r="AL827">
        <v>4.1900000000000004</v>
      </c>
      <c r="AM827" s="4">
        <f t="shared" si="102"/>
        <v>183.98500000000001</v>
      </c>
      <c r="AN827" s="4">
        <f t="shared" si="103"/>
        <v>264.47343750000005</v>
      </c>
      <c r="AO827" s="4">
        <f t="shared" si="104"/>
        <v>293.82998906250003</v>
      </c>
      <c r="AP827" s="4">
        <f t="shared" si="105"/>
        <v>428.42052140625003</v>
      </c>
      <c r="AQ827" s="10">
        <f t="shared" si="106"/>
        <v>319.96831350000002</v>
      </c>
      <c r="AR827" s="10">
        <f t="shared" si="107"/>
        <v>355.51679312985004</v>
      </c>
      <c r="AS827" s="10">
        <f t="shared" si="108"/>
        <v>498.12667045680001</v>
      </c>
    </row>
    <row r="828" spans="1:45" x14ac:dyDescent="0.3">
      <c r="A828">
        <v>2025</v>
      </c>
      <c r="B828">
        <v>12</v>
      </c>
      <c r="C828" t="s">
        <v>55</v>
      </c>
      <c r="D828">
        <v>10</v>
      </c>
      <c r="E828" t="s">
        <v>36</v>
      </c>
      <c r="F828" t="s">
        <v>37</v>
      </c>
      <c r="G828" t="s">
        <v>38</v>
      </c>
      <c r="H828" t="s">
        <v>78</v>
      </c>
      <c r="I828" t="s">
        <v>57</v>
      </c>
      <c r="J828" t="s">
        <v>58</v>
      </c>
      <c r="K828" t="s">
        <v>59</v>
      </c>
      <c r="L828" t="s">
        <v>1769</v>
      </c>
      <c r="M828" t="s">
        <v>1770</v>
      </c>
      <c r="N828" t="s">
        <v>1771</v>
      </c>
      <c r="O828" t="s">
        <v>1197</v>
      </c>
      <c r="Q828" t="s">
        <v>62</v>
      </c>
      <c r="R828" t="s">
        <v>1772</v>
      </c>
      <c r="S828" t="s">
        <v>1772</v>
      </c>
      <c r="T828" t="s">
        <v>47</v>
      </c>
      <c r="U828" t="s">
        <v>118</v>
      </c>
      <c r="V828" t="s">
        <v>49</v>
      </c>
      <c r="W828" t="s">
        <v>714</v>
      </c>
      <c r="X828" t="s">
        <v>51</v>
      </c>
      <c r="Y828" t="s">
        <v>1097</v>
      </c>
      <c r="Z828" t="s">
        <v>1097</v>
      </c>
      <c r="AA828" t="s">
        <v>1098</v>
      </c>
      <c r="AB828" s="3">
        <f t="shared" si="101"/>
        <v>5</v>
      </c>
      <c r="AC828">
        <v>574.27</v>
      </c>
      <c r="AD828" s="2">
        <v>114.854</v>
      </c>
      <c r="AE828" s="2">
        <v>145.21</v>
      </c>
      <c r="AF828" s="2">
        <v>3.95</v>
      </c>
      <c r="AG828" s="2">
        <v>723.42</v>
      </c>
      <c r="AH828">
        <v>0</v>
      </c>
      <c r="AI828">
        <v>144.684</v>
      </c>
      <c r="AJ828">
        <v>3.6171000000000002</v>
      </c>
      <c r="AK828" t="s">
        <v>54</v>
      </c>
      <c r="AL828">
        <v>10.87</v>
      </c>
      <c r="AM828" s="4">
        <f t="shared" si="102"/>
        <v>144.684</v>
      </c>
      <c r="AN828" s="4">
        <f t="shared" si="103"/>
        <v>215.35124999999999</v>
      </c>
      <c r="AO828" s="4">
        <f t="shared" si="104"/>
        <v>239.25523874999999</v>
      </c>
      <c r="AP828" s="4">
        <f t="shared" si="105"/>
        <v>348.84748987499995</v>
      </c>
      <c r="AQ828" s="10">
        <f t="shared" si="106"/>
        <v>251.61994440000001</v>
      </c>
      <c r="AR828" s="10">
        <f t="shared" si="107"/>
        <v>279.57492022283998</v>
      </c>
      <c r="AS828" s="10">
        <f t="shared" si="108"/>
        <v>391.72192944192</v>
      </c>
    </row>
    <row r="829" spans="1:45" x14ac:dyDescent="0.3">
      <c r="A829">
        <v>2025</v>
      </c>
      <c r="B829">
        <v>7</v>
      </c>
      <c r="C829" t="s">
        <v>55</v>
      </c>
      <c r="D829">
        <v>10</v>
      </c>
      <c r="E829" t="s">
        <v>36</v>
      </c>
      <c r="F829" t="s">
        <v>37</v>
      </c>
      <c r="G829" t="s">
        <v>38</v>
      </c>
      <c r="H829" t="s">
        <v>83</v>
      </c>
      <c r="I829" t="s">
        <v>190</v>
      </c>
      <c r="J829" t="s">
        <v>58</v>
      </c>
      <c r="K829" t="s">
        <v>41</v>
      </c>
      <c r="L829" t="s">
        <v>953</v>
      </c>
      <c r="M829" t="s">
        <v>954</v>
      </c>
      <c r="N829" t="s">
        <v>731</v>
      </c>
      <c r="O829" t="s">
        <v>36</v>
      </c>
      <c r="Q829" t="s">
        <v>62</v>
      </c>
      <c r="R829" t="s">
        <v>955</v>
      </c>
      <c r="S829" t="s">
        <v>956</v>
      </c>
      <c r="T829" t="s">
        <v>47</v>
      </c>
      <c r="U829" t="s">
        <v>363</v>
      </c>
      <c r="V829" t="s">
        <v>49</v>
      </c>
      <c r="W829" t="s">
        <v>911</v>
      </c>
      <c r="X829" t="s">
        <v>51</v>
      </c>
      <c r="Y829" t="s">
        <v>1097</v>
      </c>
      <c r="Z829" t="s">
        <v>1097</v>
      </c>
      <c r="AA829" t="s">
        <v>1098</v>
      </c>
      <c r="AB829" s="3">
        <f t="shared" si="101"/>
        <v>5</v>
      </c>
      <c r="AC829">
        <v>610.86</v>
      </c>
      <c r="AD829" s="2">
        <v>122.172</v>
      </c>
      <c r="AE829" s="2">
        <v>181.34</v>
      </c>
      <c r="AF829" s="2">
        <v>4.59</v>
      </c>
      <c r="AG829" s="2">
        <v>796.79</v>
      </c>
      <c r="AH829">
        <v>0</v>
      </c>
      <c r="AI829">
        <v>159.358</v>
      </c>
      <c r="AJ829">
        <v>3.9839500000000001</v>
      </c>
      <c r="AK829" t="s">
        <v>54</v>
      </c>
      <c r="AL829">
        <v>4.54</v>
      </c>
      <c r="AM829" s="4">
        <f t="shared" si="102"/>
        <v>159.358</v>
      </c>
      <c r="AN829" s="4">
        <f t="shared" si="103"/>
        <v>229.07249999999999</v>
      </c>
      <c r="AO829" s="4">
        <f t="shared" si="104"/>
        <v>254.49954749999998</v>
      </c>
      <c r="AP829" s="4">
        <f t="shared" si="105"/>
        <v>371.07454274999998</v>
      </c>
      <c r="AQ829" s="10">
        <f t="shared" si="106"/>
        <v>277.13949780000002</v>
      </c>
      <c r="AR829" s="10">
        <f t="shared" si="107"/>
        <v>307.92969600558001</v>
      </c>
      <c r="AS829" s="10">
        <f t="shared" si="108"/>
        <v>431.45077017504002</v>
      </c>
    </row>
    <row r="830" spans="1:45" x14ac:dyDescent="0.3">
      <c r="A830">
        <v>2025</v>
      </c>
      <c r="B830">
        <v>7</v>
      </c>
      <c r="C830" t="s">
        <v>55</v>
      </c>
      <c r="D830">
        <v>10</v>
      </c>
      <c r="E830" t="s">
        <v>36</v>
      </c>
      <c r="F830" t="s">
        <v>37</v>
      </c>
      <c r="G830" t="s">
        <v>38</v>
      </c>
      <c r="H830" t="s">
        <v>83</v>
      </c>
      <c r="I830" t="s">
        <v>190</v>
      </c>
      <c r="J830" t="s">
        <v>58</v>
      </c>
      <c r="K830" t="s">
        <v>41</v>
      </c>
      <c r="L830" t="s">
        <v>953</v>
      </c>
      <c r="M830" t="s">
        <v>954</v>
      </c>
      <c r="N830" t="s">
        <v>731</v>
      </c>
      <c r="O830" t="s">
        <v>36</v>
      </c>
      <c r="Q830" t="s">
        <v>62</v>
      </c>
      <c r="R830" t="s">
        <v>955</v>
      </c>
      <c r="S830" t="s">
        <v>956</v>
      </c>
      <c r="T830" t="s">
        <v>47</v>
      </c>
      <c r="U830" t="s">
        <v>356</v>
      </c>
      <c r="V830" t="s">
        <v>49</v>
      </c>
      <c r="W830" t="s">
        <v>357</v>
      </c>
      <c r="X830" t="s">
        <v>51</v>
      </c>
      <c r="Y830" t="s">
        <v>1149</v>
      </c>
      <c r="Z830" t="s">
        <v>1149</v>
      </c>
      <c r="AA830" t="s">
        <v>1167</v>
      </c>
      <c r="AB830" s="3">
        <f t="shared" si="101"/>
        <v>1</v>
      </c>
      <c r="AC830">
        <v>28.38</v>
      </c>
      <c r="AD830" s="2">
        <v>28.38</v>
      </c>
      <c r="AE830" s="2">
        <v>29.4</v>
      </c>
      <c r="AF830" s="2">
        <v>0.18</v>
      </c>
      <c r="AG830" s="2">
        <v>57.6</v>
      </c>
      <c r="AH830">
        <v>0</v>
      </c>
      <c r="AI830">
        <v>57.6</v>
      </c>
      <c r="AJ830">
        <v>0.28799999999999998</v>
      </c>
      <c r="AK830" t="s">
        <v>54</v>
      </c>
      <c r="AL830">
        <v>2.17</v>
      </c>
      <c r="AM830" s="4">
        <f t="shared" si="102"/>
        <v>57.6</v>
      </c>
      <c r="AN830" s="4">
        <f t="shared" si="103"/>
        <v>53.212499999999999</v>
      </c>
      <c r="AO830" s="4">
        <f t="shared" si="104"/>
        <v>59.119087499999999</v>
      </c>
      <c r="AP830" s="4">
        <f t="shared" si="105"/>
        <v>86.198928749999993</v>
      </c>
      <c r="AQ830" s="10">
        <f t="shared" si="106"/>
        <v>100.17216000000001</v>
      </c>
      <c r="AR830" s="10">
        <f t="shared" si="107"/>
        <v>111.301286976</v>
      </c>
      <c r="AS830" s="10">
        <f t="shared" si="108"/>
        <v>155.94801868799999</v>
      </c>
    </row>
    <row r="831" spans="1:45" x14ac:dyDescent="0.3">
      <c r="A831">
        <v>2025</v>
      </c>
      <c r="B831">
        <v>4</v>
      </c>
      <c r="C831" t="s">
        <v>55</v>
      </c>
      <c r="D831">
        <v>10</v>
      </c>
      <c r="E831" t="s">
        <v>36</v>
      </c>
      <c r="F831" t="s">
        <v>37</v>
      </c>
      <c r="G831" t="s">
        <v>38</v>
      </c>
      <c r="H831" t="s">
        <v>83</v>
      </c>
      <c r="I831" t="s">
        <v>190</v>
      </c>
      <c r="J831" t="s">
        <v>58</v>
      </c>
      <c r="K831" t="s">
        <v>59</v>
      </c>
      <c r="M831" t="s">
        <v>383</v>
      </c>
      <c r="N831" t="s">
        <v>384</v>
      </c>
      <c r="O831" t="s">
        <v>36</v>
      </c>
      <c r="Q831" t="s">
        <v>62</v>
      </c>
      <c r="R831" t="s">
        <v>385</v>
      </c>
      <c r="S831" t="s">
        <v>385</v>
      </c>
      <c r="T831" t="s">
        <v>47</v>
      </c>
      <c r="U831" t="s">
        <v>247</v>
      </c>
      <c r="V831" t="s">
        <v>49</v>
      </c>
      <c r="W831" t="s">
        <v>248</v>
      </c>
      <c r="X831" t="s">
        <v>388</v>
      </c>
      <c r="Y831" t="s">
        <v>1149</v>
      </c>
      <c r="Z831" t="s">
        <v>1149</v>
      </c>
      <c r="AA831" t="s">
        <v>1150</v>
      </c>
      <c r="AB831" s="3">
        <f t="shared" si="101"/>
        <v>1</v>
      </c>
      <c r="AC831">
        <v>545.6</v>
      </c>
      <c r="AD831" s="2">
        <v>545.6</v>
      </c>
      <c r="AE831" s="2">
        <v>29.4</v>
      </c>
      <c r="AF831" s="2">
        <v>3.84</v>
      </c>
      <c r="AG831" s="2">
        <v>578.48</v>
      </c>
      <c r="AH831">
        <v>0</v>
      </c>
      <c r="AI831">
        <v>578.48</v>
      </c>
      <c r="AJ831">
        <v>2.8923999999999999</v>
      </c>
      <c r="AK831" t="s">
        <v>54</v>
      </c>
      <c r="AL831">
        <v>2.17</v>
      </c>
      <c r="AM831" s="4">
        <f t="shared" si="102"/>
        <v>578.48</v>
      </c>
      <c r="AN831" s="4">
        <f t="shared" si="103"/>
        <v>1023</v>
      </c>
      <c r="AO831" s="4">
        <f t="shared" si="104"/>
        <v>1136.5529999999999</v>
      </c>
      <c r="AP831" s="4">
        <f t="shared" si="105"/>
        <v>1657.1577</v>
      </c>
      <c r="AQ831" s="10">
        <f t="shared" si="106"/>
        <v>1006.034568</v>
      </c>
      <c r="AR831" s="10">
        <f t="shared" si="107"/>
        <v>1117.8050085048001</v>
      </c>
      <c r="AS831" s="10">
        <f t="shared" si="108"/>
        <v>1566.1946154624</v>
      </c>
    </row>
    <row r="832" spans="1:45" x14ac:dyDescent="0.3">
      <c r="A832">
        <v>2025</v>
      </c>
      <c r="B832">
        <v>4</v>
      </c>
      <c r="C832" t="s">
        <v>55</v>
      </c>
      <c r="D832">
        <v>10</v>
      </c>
      <c r="E832" t="s">
        <v>36</v>
      </c>
      <c r="F832" t="s">
        <v>37</v>
      </c>
      <c r="G832" t="s">
        <v>38</v>
      </c>
      <c r="H832" t="s">
        <v>83</v>
      </c>
      <c r="I832" t="s">
        <v>190</v>
      </c>
      <c r="J832" t="s">
        <v>58</v>
      </c>
      <c r="K832" t="s">
        <v>59</v>
      </c>
      <c r="M832" t="s">
        <v>383</v>
      </c>
      <c r="N832" t="s">
        <v>384</v>
      </c>
      <c r="O832" t="s">
        <v>36</v>
      </c>
      <c r="Q832" t="s">
        <v>62</v>
      </c>
      <c r="R832" t="s">
        <v>385</v>
      </c>
      <c r="S832" t="s">
        <v>385</v>
      </c>
      <c r="T832" t="s">
        <v>47</v>
      </c>
      <c r="U832" t="s">
        <v>356</v>
      </c>
      <c r="V832" t="s">
        <v>49</v>
      </c>
      <c r="W832" t="s">
        <v>357</v>
      </c>
      <c r="X832" t="s">
        <v>388</v>
      </c>
      <c r="Y832" t="s">
        <v>439</v>
      </c>
      <c r="Z832" t="s">
        <v>439</v>
      </c>
      <c r="AA832" t="s">
        <v>440</v>
      </c>
      <c r="AB832" s="3">
        <f t="shared" si="101"/>
        <v>6.8100000000000183</v>
      </c>
      <c r="AC832">
        <v>416.79</v>
      </c>
      <c r="AD832" s="2">
        <v>61.202643171806002</v>
      </c>
      <c r="AE832" s="2">
        <v>76.62</v>
      </c>
      <c r="AF832" s="2">
        <v>2.68</v>
      </c>
      <c r="AG832" s="2">
        <v>496.1</v>
      </c>
      <c r="AH832">
        <v>0</v>
      </c>
      <c r="AI832">
        <v>72.848751835536007</v>
      </c>
      <c r="AJ832">
        <v>2.4805000000000001</v>
      </c>
      <c r="AK832" t="s">
        <v>54</v>
      </c>
      <c r="AL832">
        <v>3.9</v>
      </c>
      <c r="AM832" s="4">
        <f t="shared" si="102"/>
        <v>72.848751835535779</v>
      </c>
      <c r="AN832" s="4">
        <f t="shared" si="103"/>
        <v>114.75495594713625</v>
      </c>
      <c r="AO832" s="4">
        <f t="shared" si="104"/>
        <v>127.49275605726838</v>
      </c>
      <c r="AP832" s="4">
        <f t="shared" si="105"/>
        <v>185.891553138766</v>
      </c>
      <c r="AQ832" s="10">
        <f t="shared" si="106"/>
        <v>126.69126431718028</v>
      </c>
      <c r="AR832" s="10">
        <f t="shared" si="107"/>
        <v>140.76666378281902</v>
      </c>
      <c r="AS832" s="10">
        <f t="shared" si="108"/>
        <v>197.23296028898625</v>
      </c>
    </row>
    <row r="833" spans="1:45" x14ac:dyDescent="0.3">
      <c r="A833">
        <v>2025</v>
      </c>
      <c r="B833">
        <v>12</v>
      </c>
      <c r="C833" t="s">
        <v>55</v>
      </c>
      <c r="D833">
        <v>10</v>
      </c>
      <c r="E833" t="s">
        <v>36</v>
      </c>
      <c r="F833" t="s">
        <v>37</v>
      </c>
      <c r="G833" t="s">
        <v>38</v>
      </c>
      <c r="H833" t="s">
        <v>83</v>
      </c>
      <c r="I833" t="s">
        <v>57</v>
      </c>
      <c r="J833" t="s">
        <v>58</v>
      </c>
      <c r="K833" t="s">
        <v>59</v>
      </c>
      <c r="L833" t="s">
        <v>1769</v>
      </c>
      <c r="M833" t="s">
        <v>1770</v>
      </c>
      <c r="N833" t="s">
        <v>1771</v>
      </c>
      <c r="O833" t="s">
        <v>1197</v>
      </c>
      <c r="Q833" t="s">
        <v>62</v>
      </c>
      <c r="R833" t="s">
        <v>1772</v>
      </c>
      <c r="S833" t="s">
        <v>1772</v>
      </c>
      <c r="T833" t="s">
        <v>47</v>
      </c>
      <c r="U833" t="s">
        <v>464</v>
      </c>
      <c r="V833" t="s">
        <v>49</v>
      </c>
      <c r="W833" t="s">
        <v>802</v>
      </c>
      <c r="X833" t="s">
        <v>51</v>
      </c>
      <c r="Y833" t="s">
        <v>612</v>
      </c>
      <c r="Z833" t="s">
        <v>612</v>
      </c>
      <c r="AA833" t="s">
        <v>613</v>
      </c>
      <c r="AB833" s="3">
        <f t="shared" si="101"/>
        <v>1</v>
      </c>
      <c r="AC833">
        <v>799.92</v>
      </c>
      <c r="AD833" s="2">
        <v>799.92</v>
      </c>
      <c r="AE833" s="2">
        <v>15.32</v>
      </c>
      <c r="AF833" s="2">
        <v>5.48</v>
      </c>
      <c r="AG833" s="2">
        <v>820.73</v>
      </c>
      <c r="AH833">
        <v>0</v>
      </c>
      <c r="AI833">
        <v>820.73</v>
      </c>
      <c r="AJ833">
        <v>4.10365</v>
      </c>
      <c r="AK833" t="s">
        <v>54</v>
      </c>
      <c r="AL833">
        <v>0.78</v>
      </c>
      <c r="AM833" s="4">
        <f t="shared" si="102"/>
        <v>820.73</v>
      </c>
      <c r="AN833" s="4">
        <f t="shared" si="103"/>
        <v>1499.85</v>
      </c>
      <c r="AO833" s="4">
        <f t="shared" si="104"/>
        <v>1666.3333499999999</v>
      </c>
      <c r="AP833" s="4">
        <f t="shared" si="105"/>
        <v>2429.6070149999996</v>
      </c>
      <c r="AQ833" s="10">
        <f t="shared" si="106"/>
        <v>1427.331543</v>
      </c>
      <c r="AR833" s="10">
        <f t="shared" si="107"/>
        <v>1585.9080774273</v>
      </c>
      <c r="AS833" s="10">
        <f t="shared" si="108"/>
        <v>2222.0697461424002</v>
      </c>
    </row>
    <row r="834" spans="1:45" x14ac:dyDescent="0.3">
      <c r="A834">
        <v>2025</v>
      </c>
      <c r="B834">
        <v>11</v>
      </c>
      <c r="C834" t="s">
        <v>55</v>
      </c>
      <c r="D834">
        <v>10</v>
      </c>
      <c r="E834" t="s">
        <v>36</v>
      </c>
      <c r="F834" t="s">
        <v>37</v>
      </c>
      <c r="G834" t="s">
        <v>38</v>
      </c>
      <c r="H834" t="s">
        <v>101</v>
      </c>
      <c r="I834" t="s">
        <v>375</v>
      </c>
      <c r="J834" t="s">
        <v>376</v>
      </c>
      <c r="K834" t="s">
        <v>51</v>
      </c>
      <c r="L834" t="s">
        <v>1622</v>
      </c>
      <c r="M834" t="s">
        <v>1623</v>
      </c>
      <c r="N834" t="s">
        <v>1485</v>
      </c>
      <c r="O834" t="s">
        <v>1197</v>
      </c>
      <c r="Q834" t="s">
        <v>62</v>
      </c>
      <c r="R834" t="s">
        <v>1624</v>
      </c>
      <c r="S834" t="s">
        <v>1624</v>
      </c>
      <c r="T834" t="s">
        <v>47</v>
      </c>
      <c r="U834" t="s">
        <v>163</v>
      </c>
      <c r="V834" t="s">
        <v>49</v>
      </c>
      <c r="W834" t="s">
        <v>164</v>
      </c>
      <c r="X834" t="s">
        <v>51</v>
      </c>
      <c r="Y834" t="s">
        <v>1820</v>
      </c>
      <c r="Z834" t="s">
        <v>1820</v>
      </c>
      <c r="AA834" t="s">
        <v>1821</v>
      </c>
      <c r="AB834" s="3">
        <f t="shared" si="101"/>
        <v>2.9999999999999272</v>
      </c>
      <c r="AC834">
        <v>414.5</v>
      </c>
      <c r="AD834" s="2">
        <v>138.16666666667001</v>
      </c>
      <c r="AE834" s="2">
        <v>123.5</v>
      </c>
      <c r="AF834" s="2">
        <v>3.11</v>
      </c>
      <c r="AG834" s="2">
        <v>540.66</v>
      </c>
      <c r="AH834">
        <v>0</v>
      </c>
      <c r="AI834">
        <v>180.22</v>
      </c>
      <c r="AJ834">
        <v>2.7033</v>
      </c>
      <c r="AK834" t="s">
        <v>54</v>
      </c>
      <c r="AL834">
        <v>3.8</v>
      </c>
      <c r="AM834" s="4">
        <f t="shared" si="102"/>
        <v>180.22000000000438</v>
      </c>
      <c r="AN834" s="4">
        <f t="shared" si="103"/>
        <v>259.06250000000625</v>
      </c>
      <c r="AO834" s="4">
        <f t="shared" si="104"/>
        <v>287.81843750000695</v>
      </c>
      <c r="AP834" s="4">
        <f t="shared" si="105"/>
        <v>419.6553437500101</v>
      </c>
      <c r="AQ834" s="10">
        <f t="shared" si="106"/>
        <v>313.42060200000765</v>
      </c>
      <c r="AR834" s="10">
        <f t="shared" si="107"/>
        <v>348.24163088220848</v>
      </c>
      <c r="AS834" s="10">
        <f t="shared" si="108"/>
        <v>487.93319319361188</v>
      </c>
    </row>
    <row r="835" spans="1:45" x14ac:dyDescent="0.3">
      <c r="A835">
        <v>2025</v>
      </c>
      <c r="B835">
        <v>12</v>
      </c>
      <c r="C835" t="s">
        <v>55</v>
      </c>
      <c r="D835">
        <v>10</v>
      </c>
      <c r="E835" t="s">
        <v>36</v>
      </c>
      <c r="F835" t="s">
        <v>37</v>
      </c>
      <c r="G835" t="s">
        <v>38</v>
      </c>
      <c r="H835" t="s">
        <v>101</v>
      </c>
      <c r="I835" t="s">
        <v>57</v>
      </c>
      <c r="J835" t="s">
        <v>58</v>
      </c>
      <c r="K835" t="s">
        <v>59</v>
      </c>
      <c r="L835" t="s">
        <v>1769</v>
      </c>
      <c r="M835" t="s">
        <v>1770</v>
      </c>
      <c r="N835" t="s">
        <v>1771</v>
      </c>
      <c r="O835" t="s">
        <v>1197</v>
      </c>
      <c r="Q835" t="s">
        <v>62</v>
      </c>
      <c r="R835" t="s">
        <v>1772</v>
      </c>
      <c r="S835" t="s">
        <v>1772</v>
      </c>
      <c r="T835" t="s">
        <v>47</v>
      </c>
      <c r="U835" t="s">
        <v>163</v>
      </c>
      <c r="V835" t="s">
        <v>49</v>
      </c>
      <c r="W835" t="s">
        <v>164</v>
      </c>
      <c r="X835" t="s">
        <v>51</v>
      </c>
      <c r="Y835" t="s">
        <v>1532</v>
      </c>
      <c r="Z835" t="s">
        <v>1532</v>
      </c>
      <c r="AA835" t="s">
        <v>1722</v>
      </c>
      <c r="AB835" s="3">
        <f t="shared" ref="AB835:AB898" si="109">SUM(AC835/AD835)</f>
        <v>10</v>
      </c>
      <c r="AC835">
        <v>577.22</v>
      </c>
      <c r="AD835" s="2">
        <v>57.722000000000001</v>
      </c>
      <c r="AE835" s="2">
        <v>80.83</v>
      </c>
      <c r="AF835" s="2">
        <v>4</v>
      </c>
      <c r="AG835" s="2">
        <v>662.4</v>
      </c>
      <c r="AH835">
        <v>0</v>
      </c>
      <c r="AI835">
        <v>66.239999999999995</v>
      </c>
      <c r="AJ835">
        <v>3.3119999999999998</v>
      </c>
      <c r="AK835" t="s">
        <v>54</v>
      </c>
      <c r="AL835">
        <v>4.4000000000000004</v>
      </c>
      <c r="AM835" s="4">
        <f t="shared" ref="AM835:AM898" si="110">SUM(AG835/AB835)</f>
        <v>66.239999999999995</v>
      </c>
      <c r="AN835" s="4">
        <f t="shared" ref="AN835:AN898" si="111">SUM(AD835*1.875)</f>
        <v>108.22875000000001</v>
      </c>
      <c r="AO835" s="4">
        <f t="shared" si="104"/>
        <v>120.24214125</v>
      </c>
      <c r="AP835" s="4">
        <f t="shared" si="105"/>
        <v>175.31975212500001</v>
      </c>
      <c r="AQ835" s="10">
        <f t="shared" si="106"/>
        <v>115.19798399999999</v>
      </c>
      <c r="AR835" s="10">
        <f t="shared" si="107"/>
        <v>127.99648002239999</v>
      </c>
      <c r="AS835" s="10">
        <f t="shared" si="108"/>
        <v>179.34022149119997</v>
      </c>
    </row>
    <row r="836" spans="1:45" x14ac:dyDescent="0.3">
      <c r="A836">
        <v>2025</v>
      </c>
      <c r="B836">
        <v>4</v>
      </c>
      <c r="C836" t="s">
        <v>55</v>
      </c>
      <c r="D836">
        <v>10</v>
      </c>
      <c r="E836" t="s">
        <v>36</v>
      </c>
      <c r="F836" t="s">
        <v>37</v>
      </c>
      <c r="G836" t="s">
        <v>38</v>
      </c>
      <c r="H836" t="s">
        <v>78</v>
      </c>
      <c r="I836" t="s">
        <v>190</v>
      </c>
      <c r="J836" t="s">
        <v>58</v>
      </c>
      <c r="K836" t="s">
        <v>59</v>
      </c>
      <c r="M836" t="s">
        <v>383</v>
      </c>
      <c r="N836" t="s">
        <v>384</v>
      </c>
      <c r="O836" t="s">
        <v>36</v>
      </c>
      <c r="Q836" t="s">
        <v>62</v>
      </c>
      <c r="R836" t="s">
        <v>385</v>
      </c>
      <c r="S836" t="s">
        <v>385</v>
      </c>
      <c r="T836" t="s">
        <v>47</v>
      </c>
      <c r="U836" t="s">
        <v>118</v>
      </c>
      <c r="V836" t="s">
        <v>49</v>
      </c>
      <c r="W836" t="s">
        <v>119</v>
      </c>
      <c r="X836" t="s">
        <v>388</v>
      </c>
      <c r="Y836" t="s">
        <v>1887</v>
      </c>
      <c r="Z836" t="s">
        <v>1887</v>
      </c>
      <c r="AA836" t="s">
        <v>1722</v>
      </c>
      <c r="AB836" s="3">
        <f t="shared" si="109"/>
        <v>10</v>
      </c>
      <c r="AC836">
        <v>603.78</v>
      </c>
      <c r="AD836" s="2">
        <v>60.378</v>
      </c>
      <c r="AE836" s="2">
        <v>179.24</v>
      </c>
      <c r="AF836" s="2">
        <v>4.53</v>
      </c>
      <c r="AG836" s="2">
        <v>787.55</v>
      </c>
      <c r="AH836">
        <v>0</v>
      </c>
      <c r="AI836">
        <v>78.754999999999995</v>
      </c>
      <c r="AJ836">
        <v>3.9377499999999999</v>
      </c>
      <c r="AK836" t="s">
        <v>54</v>
      </c>
      <c r="AL836">
        <v>4.49</v>
      </c>
      <c r="AM836" s="4">
        <f t="shared" si="110"/>
        <v>78.754999999999995</v>
      </c>
      <c r="AN836" s="4">
        <f t="shared" si="111"/>
        <v>113.20874999999999</v>
      </c>
      <c r="AO836" s="4">
        <f t="shared" ref="AO836:AO899" si="112">SUM(AN836)*1.111</f>
        <v>125.77492124999999</v>
      </c>
      <c r="AP836" s="4">
        <f t="shared" ref="AP836:AP899" si="113">SUM(AN836)*1.6199</f>
        <v>183.38685412499999</v>
      </c>
      <c r="AQ836" s="10">
        <f t="shared" si="106"/>
        <v>136.96282049999999</v>
      </c>
      <c r="AR836" s="10">
        <f t="shared" si="107"/>
        <v>152.17938985754998</v>
      </c>
      <c r="AS836" s="10">
        <f t="shared" si="108"/>
        <v>213.22371895439997</v>
      </c>
    </row>
    <row r="837" spans="1:45" x14ac:dyDescent="0.3">
      <c r="A837">
        <v>2025</v>
      </c>
      <c r="B837">
        <v>9</v>
      </c>
      <c r="C837" t="s">
        <v>55</v>
      </c>
      <c r="D837">
        <v>10</v>
      </c>
      <c r="E837" t="s">
        <v>36</v>
      </c>
      <c r="F837" t="s">
        <v>37</v>
      </c>
      <c r="G837" t="s">
        <v>38</v>
      </c>
      <c r="H837" t="s">
        <v>78</v>
      </c>
      <c r="I837" t="s">
        <v>375</v>
      </c>
      <c r="J837" t="s">
        <v>376</v>
      </c>
      <c r="K837" t="s">
        <v>59</v>
      </c>
      <c r="L837" t="s">
        <v>1483</v>
      </c>
      <c r="M837" t="s">
        <v>1484</v>
      </c>
      <c r="N837" t="s">
        <v>1485</v>
      </c>
      <c r="O837" t="s">
        <v>1197</v>
      </c>
      <c r="Q837" t="s">
        <v>62</v>
      </c>
      <c r="R837" t="s">
        <v>1486</v>
      </c>
      <c r="S837" t="s">
        <v>1486</v>
      </c>
      <c r="T837" t="s">
        <v>47</v>
      </c>
      <c r="U837" t="s">
        <v>118</v>
      </c>
      <c r="V837" t="s">
        <v>49</v>
      </c>
      <c r="W837" t="s">
        <v>714</v>
      </c>
      <c r="X837" t="s">
        <v>51</v>
      </c>
      <c r="Y837" t="s">
        <v>492</v>
      </c>
      <c r="Z837" t="s">
        <v>492</v>
      </c>
      <c r="AA837" t="s">
        <v>504</v>
      </c>
      <c r="AB837" s="3">
        <f t="shared" si="109"/>
        <v>6.0000000000000684</v>
      </c>
      <c r="AC837">
        <v>1749.29</v>
      </c>
      <c r="AD837" s="2">
        <v>291.54833333332999</v>
      </c>
      <c r="AE837" s="2">
        <v>91.95</v>
      </c>
      <c r="AF837" s="2">
        <v>11.84</v>
      </c>
      <c r="AG837" s="2">
        <v>1853.08</v>
      </c>
      <c r="AH837">
        <v>0</v>
      </c>
      <c r="AI837">
        <v>308.84666666666999</v>
      </c>
      <c r="AJ837">
        <v>9.2653999999999996</v>
      </c>
      <c r="AK837" t="s">
        <v>54</v>
      </c>
      <c r="AL837">
        <v>4.68</v>
      </c>
      <c r="AM837" s="4">
        <f t="shared" si="110"/>
        <v>308.84666666666311</v>
      </c>
      <c r="AN837" s="4">
        <f t="shared" si="111"/>
        <v>546.65312499999368</v>
      </c>
      <c r="AO837" s="4">
        <f t="shared" si="112"/>
        <v>607.33162187499295</v>
      </c>
      <c r="AP837" s="4">
        <f t="shared" si="113"/>
        <v>885.52339718748965</v>
      </c>
      <c r="AQ837" s="10">
        <f t="shared" si="106"/>
        <v>537.11523799999384</v>
      </c>
      <c r="AR837" s="10">
        <f t="shared" si="107"/>
        <v>596.78874094179309</v>
      </c>
      <c r="AS837" s="10">
        <f t="shared" si="108"/>
        <v>836.18100251839041</v>
      </c>
    </row>
    <row r="838" spans="1:45" x14ac:dyDescent="0.3">
      <c r="A838">
        <v>2025</v>
      </c>
      <c r="B838">
        <v>3</v>
      </c>
      <c r="C838" t="s">
        <v>55</v>
      </c>
      <c r="D838">
        <v>10</v>
      </c>
      <c r="E838" t="s">
        <v>36</v>
      </c>
      <c r="F838" t="s">
        <v>37</v>
      </c>
      <c r="G838" t="s">
        <v>38</v>
      </c>
      <c r="H838" t="s">
        <v>78</v>
      </c>
      <c r="I838" t="s">
        <v>190</v>
      </c>
      <c r="J838" t="s">
        <v>58</v>
      </c>
      <c r="K838" t="s">
        <v>59</v>
      </c>
      <c r="M838" t="s">
        <v>209</v>
      </c>
      <c r="N838" t="s">
        <v>61</v>
      </c>
      <c r="O838" t="s">
        <v>43</v>
      </c>
      <c r="Q838" t="s">
        <v>62</v>
      </c>
      <c r="R838" t="s">
        <v>210</v>
      </c>
      <c r="S838" t="s">
        <v>211</v>
      </c>
      <c r="T838" t="s">
        <v>47</v>
      </c>
      <c r="U838" t="s">
        <v>118</v>
      </c>
      <c r="V838" t="s">
        <v>49</v>
      </c>
      <c r="W838" t="s">
        <v>119</v>
      </c>
      <c r="X838" t="s">
        <v>51</v>
      </c>
      <c r="Y838" t="s">
        <v>1097</v>
      </c>
      <c r="Z838" t="s">
        <v>1097</v>
      </c>
      <c r="AA838" t="s">
        <v>504</v>
      </c>
      <c r="AB838" s="3">
        <f t="shared" si="109"/>
        <v>8</v>
      </c>
      <c r="AC838">
        <v>1643.88</v>
      </c>
      <c r="AD838" s="2">
        <v>205.48500000000001</v>
      </c>
      <c r="AE838" s="2">
        <v>254.74</v>
      </c>
      <c r="AF838" s="2">
        <v>11.65</v>
      </c>
      <c r="AG838" s="2">
        <v>1910.27</v>
      </c>
      <c r="AH838">
        <v>0</v>
      </c>
      <c r="AI838">
        <v>238.78375</v>
      </c>
      <c r="AJ838">
        <v>9.5513499999999993</v>
      </c>
      <c r="AK838" t="s">
        <v>54</v>
      </c>
      <c r="AL838">
        <v>10.54</v>
      </c>
      <c r="AM838" s="4">
        <f t="shared" si="110"/>
        <v>238.78375</v>
      </c>
      <c r="AN838" s="4">
        <f t="shared" si="111"/>
        <v>385.28437500000001</v>
      </c>
      <c r="AO838" s="4">
        <f t="shared" si="112"/>
        <v>428.05094062500001</v>
      </c>
      <c r="AP838" s="4">
        <f t="shared" si="113"/>
        <v>624.12215906250003</v>
      </c>
      <c r="AQ838" s="10">
        <f t="shared" si="106"/>
        <v>415.26881962499999</v>
      </c>
      <c r="AR838" s="10">
        <f t="shared" si="107"/>
        <v>461.40518548533748</v>
      </c>
      <c r="AS838" s="10">
        <f t="shared" si="108"/>
        <v>646.49049839219992</v>
      </c>
    </row>
    <row r="839" spans="1:45" x14ac:dyDescent="0.3">
      <c r="A839">
        <v>2025</v>
      </c>
      <c r="B839">
        <v>8</v>
      </c>
      <c r="C839" t="s">
        <v>55</v>
      </c>
      <c r="D839">
        <v>10</v>
      </c>
      <c r="E839" t="s">
        <v>36</v>
      </c>
      <c r="F839" t="s">
        <v>37</v>
      </c>
      <c r="G839" t="s">
        <v>38</v>
      </c>
      <c r="H839" t="s">
        <v>78</v>
      </c>
      <c r="I839" t="s">
        <v>190</v>
      </c>
      <c r="J839" t="s">
        <v>58</v>
      </c>
      <c r="K839" t="s">
        <v>59</v>
      </c>
      <c r="L839" t="s">
        <v>1194</v>
      </c>
      <c r="M839" t="s">
        <v>1195</v>
      </c>
      <c r="N839" t="s">
        <v>1196</v>
      </c>
      <c r="O839" t="s">
        <v>1197</v>
      </c>
      <c r="Q839" t="s">
        <v>62</v>
      </c>
      <c r="R839" t="s">
        <v>1198</v>
      </c>
      <c r="S839" t="s">
        <v>1198</v>
      </c>
      <c r="T839" t="s">
        <v>47</v>
      </c>
      <c r="U839" t="s">
        <v>118</v>
      </c>
      <c r="V839" t="s">
        <v>49</v>
      </c>
      <c r="W839" t="s">
        <v>714</v>
      </c>
      <c r="X839" t="s">
        <v>388</v>
      </c>
      <c r="Y839" t="s">
        <v>116</v>
      </c>
      <c r="Z839" t="s">
        <v>64</v>
      </c>
      <c r="AA839" t="s">
        <v>320</v>
      </c>
      <c r="AB839" s="3">
        <f t="shared" si="109"/>
        <v>2.9999999999999725</v>
      </c>
      <c r="AC839">
        <v>1096.82</v>
      </c>
      <c r="AD839" s="2">
        <v>365.60666666666998</v>
      </c>
      <c r="AE839" s="2">
        <v>244.99</v>
      </c>
      <c r="AF839" s="2">
        <v>8.0399999999999991</v>
      </c>
      <c r="AG839" s="2">
        <v>1349.85</v>
      </c>
      <c r="AH839">
        <v>0</v>
      </c>
      <c r="AI839">
        <v>449.95</v>
      </c>
      <c r="AJ839">
        <v>6.74925</v>
      </c>
      <c r="AK839" t="s">
        <v>54</v>
      </c>
      <c r="AL839">
        <v>6.61</v>
      </c>
      <c r="AM839" s="4">
        <f t="shared" si="110"/>
        <v>449.95000000000408</v>
      </c>
      <c r="AN839" s="4">
        <f t="shared" si="111"/>
        <v>685.51250000000618</v>
      </c>
      <c r="AO839" s="4">
        <f t="shared" si="112"/>
        <v>761.60438750000685</v>
      </c>
      <c r="AP839" s="4">
        <f t="shared" si="113"/>
        <v>1110.4616987500099</v>
      </c>
      <c r="AQ839" s="10">
        <f t="shared" si="106"/>
        <v>782.50804500000709</v>
      </c>
      <c r="AR839" s="10">
        <f t="shared" si="107"/>
        <v>869.44468879950784</v>
      </c>
      <c r="AS839" s="10">
        <f t="shared" si="108"/>
        <v>1218.208524456011</v>
      </c>
    </row>
    <row r="840" spans="1:45" x14ac:dyDescent="0.3">
      <c r="A840">
        <v>2025</v>
      </c>
      <c r="B840">
        <v>8</v>
      </c>
      <c r="C840" t="s">
        <v>55</v>
      </c>
      <c r="D840">
        <v>10</v>
      </c>
      <c r="E840" t="s">
        <v>36</v>
      </c>
      <c r="F840" t="s">
        <v>37</v>
      </c>
      <c r="G840" t="s">
        <v>38</v>
      </c>
      <c r="H840" t="s">
        <v>78</v>
      </c>
      <c r="I840" t="s">
        <v>190</v>
      </c>
      <c r="J840" t="s">
        <v>58</v>
      </c>
      <c r="K840" t="s">
        <v>59</v>
      </c>
      <c r="L840" t="s">
        <v>1194</v>
      </c>
      <c r="M840" t="s">
        <v>1195</v>
      </c>
      <c r="N840" t="s">
        <v>1196</v>
      </c>
      <c r="O840" t="s">
        <v>1197</v>
      </c>
      <c r="Q840" t="s">
        <v>62</v>
      </c>
      <c r="R840" t="s">
        <v>1198</v>
      </c>
      <c r="S840" t="s">
        <v>1198</v>
      </c>
      <c r="T840" t="s">
        <v>47</v>
      </c>
      <c r="U840" t="s">
        <v>118</v>
      </c>
      <c r="V840" t="s">
        <v>49</v>
      </c>
      <c r="W840" t="s">
        <v>714</v>
      </c>
      <c r="X840" t="s">
        <v>388</v>
      </c>
      <c r="Y840" t="s">
        <v>1321</v>
      </c>
      <c r="Z840" t="s">
        <v>1321</v>
      </c>
      <c r="AA840" t="s">
        <v>320</v>
      </c>
      <c r="AB840" s="3">
        <f t="shared" si="109"/>
        <v>2</v>
      </c>
      <c r="AC840">
        <v>686.29</v>
      </c>
      <c r="AD840" s="2">
        <v>343.14499999999998</v>
      </c>
      <c r="AE840" s="2">
        <v>49.18</v>
      </c>
      <c r="AF840" s="2">
        <v>4.4400000000000004</v>
      </c>
      <c r="AG840" s="2">
        <v>739.91</v>
      </c>
      <c r="AH840">
        <v>0</v>
      </c>
      <c r="AI840">
        <v>369.95499999999998</v>
      </c>
      <c r="AJ840">
        <v>3.6995499999999999</v>
      </c>
      <c r="AK840" t="s">
        <v>54</v>
      </c>
      <c r="AL840">
        <v>5.78</v>
      </c>
      <c r="AM840" s="4">
        <f t="shared" si="110"/>
        <v>369.95499999999998</v>
      </c>
      <c r="AN840" s="4">
        <f t="shared" si="111"/>
        <v>643.39687499999991</v>
      </c>
      <c r="AO840" s="4">
        <f t="shared" si="112"/>
        <v>714.81392812499985</v>
      </c>
      <c r="AP840" s="4">
        <f t="shared" si="113"/>
        <v>1042.2385978124998</v>
      </c>
      <c r="AQ840" s="10">
        <f t="shared" si="106"/>
        <v>643.38874050000004</v>
      </c>
      <c r="AR840" s="10">
        <f t="shared" si="107"/>
        <v>714.86922956955004</v>
      </c>
      <c r="AS840" s="10">
        <f t="shared" si="108"/>
        <v>1001.6275912104001</v>
      </c>
    </row>
    <row r="841" spans="1:45" x14ac:dyDescent="0.3">
      <c r="A841">
        <v>2025</v>
      </c>
      <c r="B841">
        <v>8</v>
      </c>
      <c r="C841" t="s">
        <v>55</v>
      </c>
      <c r="D841">
        <v>10</v>
      </c>
      <c r="E841" t="s">
        <v>36</v>
      </c>
      <c r="F841" t="s">
        <v>37</v>
      </c>
      <c r="G841" t="s">
        <v>38</v>
      </c>
      <c r="H841" t="s">
        <v>78</v>
      </c>
      <c r="I841" t="s">
        <v>190</v>
      </c>
      <c r="J841" t="s">
        <v>58</v>
      </c>
      <c r="K841" t="s">
        <v>59</v>
      </c>
      <c r="L841" t="s">
        <v>1194</v>
      </c>
      <c r="M841" t="s">
        <v>1195</v>
      </c>
      <c r="N841" t="s">
        <v>1196</v>
      </c>
      <c r="O841" t="s">
        <v>1197</v>
      </c>
      <c r="Q841" t="s">
        <v>62</v>
      </c>
      <c r="R841" t="s">
        <v>1198</v>
      </c>
      <c r="S841" t="s">
        <v>1198</v>
      </c>
      <c r="T841" t="s">
        <v>47</v>
      </c>
      <c r="U841" t="s">
        <v>118</v>
      </c>
      <c r="V841" t="s">
        <v>49</v>
      </c>
      <c r="W841" t="s">
        <v>714</v>
      </c>
      <c r="X841" t="s">
        <v>388</v>
      </c>
      <c r="Y841" t="s">
        <v>1321</v>
      </c>
      <c r="Z841" t="s">
        <v>1321</v>
      </c>
      <c r="AA841" t="s">
        <v>320</v>
      </c>
      <c r="AB841" s="3">
        <f t="shared" si="109"/>
        <v>4</v>
      </c>
      <c r="AC841">
        <v>1372.58</v>
      </c>
      <c r="AD841" s="2">
        <v>343.14499999999998</v>
      </c>
      <c r="AE841" s="2">
        <v>98.36</v>
      </c>
      <c r="AF841" s="2">
        <v>8.8800000000000008</v>
      </c>
      <c r="AG841" s="2">
        <v>1479.82</v>
      </c>
      <c r="AH841">
        <v>0</v>
      </c>
      <c r="AI841">
        <v>369.95499999999998</v>
      </c>
      <c r="AJ841">
        <v>7.3990999999999998</v>
      </c>
      <c r="AK841" t="s">
        <v>54</v>
      </c>
      <c r="AL841">
        <v>11.56</v>
      </c>
      <c r="AM841" s="4">
        <f t="shared" si="110"/>
        <v>369.95499999999998</v>
      </c>
      <c r="AN841" s="4">
        <f t="shared" si="111"/>
        <v>643.39687499999991</v>
      </c>
      <c r="AO841" s="4">
        <f t="shared" si="112"/>
        <v>714.81392812499985</v>
      </c>
      <c r="AP841" s="4">
        <f t="shared" si="113"/>
        <v>1042.2385978124998</v>
      </c>
      <c r="AQ841" s="10">
        <f t="shared" si="106"/>
        <v>643.38874050000004</v>
      </c>
      <c r="AR841" s="10">
        <f t="shared" si="107"/>
        <v>714.86922956955004</v>
      </c>
      <c r="AS841" s="10">
        <f t="shared" si="108"/>
        <v>1001.6275912104001</v>
      </c>
    </row>
    <row r="842" spans="1:45" x14ac:dyDescent="0.3">
      <c r="A842">
        <v>2025</v>
      </c>
      <c r="B842">
        <v>8</v>
      </c>
      <c r="C842" t="s">
        <v>55</v>
      </c>
      <c r="D842">
        <v>10</v>
      </c>
      <c r="E842" t="s">
        <v>36</v>
      </c>
      <c r="F842" t="s">
        <v>37</v>
      </c>
      <c r="G842" t="s">
        <v>38</v>
      </c>
      <c r="H842" t="s">
        <v>78</v>
      </c>
      <c r="I842" t="s">
        <v>190</v>
      </c>
      <c r="J842" t="s">
        <v>58</v>
      </c>
      <c r="K842" t="s">
        <v>59</v>
      </c>
      <c r="L842" t="s">
        <v>1194</v>
      </c>
      <c r="M842" t="s">
        <v>1195</v>
      </c>
      <c r="N842" t="s">
        <v>1196</v>
      </c>
      <c r="O842" t="s">
        <v>1197</v>
      </c>
      <c r="Q842" t="s">
        <v>62</v>
      </c>
      <c r="R842" t="s">
        <v>1198</v>
      </c>
      <c r="S842" t="s">
        <v>1198</v>
      </c>
      <c r="T842" t="s">
        <v>47</v>
      </c>
      <c r="U842" t="s">
        <v>118</v>
      </c>
      <c r="V842" t="s">
        <v>49</v>
      </c>
      <c r="W842" t="s">
        <v>714</v>
      </c>
      <c r="X842" t="s">
        <v>388</v>
      </c>
      <c r="Y842" t="s">
        <v>1321</v>
      </c>
      <c r="Z842" t="s">
        <v>1321</v>
      </c>
      <c r="AA842" t="s">
        <v>320</v>
      </c>
      <c r="AB842" s="3">
        <f t="shared" si="109"/>
        <v>6</v>
      </c>
      <c r="AC842">
        <v>2058.87</v>
      </c>
      <c r="AD842" s="2">
        <v>343.14499999999998</v>
      </c>
      <c r="AE842" s="2">
        <v>147.55000000000001</v>
      </c>
      <c r="AF842" s="2">
        <v>13.32</v>
      </c>
      <c r="AG842" s="2">
        <v>2219.7399999999998</v>
      </c>
      <c r="AH842">
        <v>0</v>
      </c>
      <c r="AI842">
        <v>369.95666666667</v>
      </c>
      <c r="AJ842">
        <v>11.098699999999999</v>
      </c>
      <c r="AK842" t="s">
        <v>54</v>
      </c>
      <c r="AL842">
        <v>17.329999999999998</v>
      </c>
      <c r="AM842" s="4">
        <f t="shared" si="110"/>
        <v>369.95666666666665</v>
      </c>
      <c r="AN842" s="4">
        <f t="shared" si="111"/>
        <v>643.39687499999991</v>
      </c>
      <c r="AO842" s="4">
        <f t="shared" si="112"/>
        <v>714.81392812499985</v>
      </c>
      <c r="AP842" s="4">
        <f t="shared" si="113"/>
        <v>1042.2385978124998</v>
      </c>
      <c r="AQ842" s="10">
        <f t="shared" si="106"/>
        <v>643.39163900000005</v>
      </c>
      <c r="AR842" s="10">
        <f t="shared" si="107"/>
        <v>714.87245009290007</v>
      </c>
      <c r="AS842" s="10">
        <f t="shared" si="108"/>
        <v>1001.6321035952001</v>
      </c>
    </row>
    <row r="843" spans="1:45" x14ac:dyDescent="0.3">
      <c r="A843">
        <v>2025</v>
      </c>
      <c r="B843">
        <v>9</v>
      </c>
      <c r="C843" t="s">
        <v>55</v>
      </c>
      <c r="D843">
        <v>10</v>
      </c>
      <c r="E843" t="s">
        <v>36</v>
      </c>
      <c r="F843" t="s">
        <v>37</v>
      </c>
      <c r="G843" t="s">
        <v>38</v>
      </c>
      <c r="H843" t="s">
        <v>78</v>
      </c>
      <c r="I843" t="s">
        <v>375</v>
      </c>
      <c r="J843" t="s">
        <v>376</v>
      </c>
      <c r="K843" t="s">
        <v>41</v>
      </c>
      <c r="L843" t="s">
        <v>1503</v>
      </c>
      <c r="M843" t="s">
        <v>1504</v>
      </c>
      <c r="N843" t="s">
        <v>377</v>
      </c>
      <c r="O843" t="s">
        <v>1197</v>
      </c>
      <c r="Q843" t="s">
        <v>62</v>
      </c>
      <c r="R843" t="s">
        <v>1505</v>
      </c>
      <c r="S843" t="s">
        <v>1505</v>
      </c>
      <c r="T843" t="s">
        <v>47</v>
      </c>
      <c r="U843" t="s">
        <v>118</v>
      </c>
      <c r="V843" t="s">
        <v>49</v>
      </c>
      <c r="W843" t="s">
        <v>714</v>
      </c>
      <c r="X843" t="s">
        <v>388</v>
      </c>
      <c r="Y843" t="s">
        <v>1321</v>
      </c>
      <c r="Z843" t="s">
        <v>1321</v>
      </c>
      <c r="AA843" t="s">
        <v>320</v>
      </c>
      <c r="AB843" s="3">
        <f t="shared" si="109"/>
        <v>6</v>
      </c>
      <c r="AC843">
        <v>2058.87</v>
      </c>
      <c r="AD843" s="2">
        <v>343.14499999999998</v>
      </c>
      <c r="AE843" s="2">
        <v>147.55000000000001</v>
      </c>
      <c r="AF843" s="2">
        <v>13.32</v>
      </c>
      <c r="AG843" s="2">
        <v>2219.7399999999998</v>
      </c>
      <c r="AH843">
        <v>0</v>
      </c>
      <c r="AI843">
        <v>369.95666666667</v>
      </c>
      <c r="AJ843">
        <v>11.098699999999999</v>
      </c>
      <c r="AK843" t="s">
        <v>54</v>
      </c>
      <c r="AL843">
        <v>17.329999999999998</v>
      </c>
      <c r="AM843" s="4">
        <f t="shared" si="110"/>
        <v>369.95666666666665</v>
      </c>
      <c r="AN843" s="4">
        <f t="shared" si="111"/>
        <v>643.39687499999991</v>
      </c>
      <c r="AO843" s="4">
        <f t="shared" si="112"/>
        <v>714.81392812499985</v>
      </c>
      <c r="AP843" s="4">
        <f t="shared" si="113"/>
        <v>1042.2385978124998</v>
      </c>
      <c r="AQ843" s="10">
        <f t="shared" si="106"/>
        <v>643.39163900000005</v>
      </c>
      <c r="AR843" s="10">
        <f t="shared" si="107"/>
        <v>714.87245009290007</v>
      </c>
      <c r="AS843" s="10">
        <f t="shared" si="108"/>
        <v>1001.6321035952001</v>
      </c>
    </row>
    <row r="844" spans="1:45" x14ac:dyDescent="0.3">
      <c r="A844">
        <v>2025</v>
      </c>
      <c r="B844">
        <v>4</v>
      </c>
      <c r="C844" t="s">
        <v>55</v>
      </c>
      <c r="D844">
        <v>10</v>
      </c>
      <c r="E844" t="s">
        <v>36</v>
      </c>
      <c r="F844" t="s">
        <v>37</v>
      </c>
      <c r="G844" t="s">
        <v>38</v>
      </c>
      <c r="H844" t="s">
        <v>83</v>
      </c>
      <c r="I844" t="s">
        <v>190</v>
      </c>
      <c r="J844" t="s">
        <v>58</v>
      </c>
      <c r="K844" t="s">
        <v>59</v>
      </c>
      <c r="M844" t="s">
        <v>383</v>
      </c>
      <c r="N844" t="s">
        <v>384</v>
      </c>
      <c r="O844" t="s">
        <v>36</v>
      </c>
      <c r="Q844" t="s">
        <v>62</v>
      </c>
      <c r="R844" t="s">
        <v>385</v>
      </c>
      <c r="S844" t="s">
        <v>385</v>
      </c>
      <c r="T844" t="s">
        <v>47</v>
      </c>
      <c r="U844" t="s">
        <v>244</v>
      </c>
      <c r="V844" t="s">
        <v>89</v>
      </c>
      <c r="W844" t="s">
        <v>90</v>
      </c>
      <c r="X844" t="s">
        <v>388</v>
      </c>
      <c r="Y844" t="s">
        <v>1321</v>
      </c>
      <c r="Z844" t="s">
        <v>1321</v>
      </c>
      <c r="AA844" t="s">
        <v>320</v>
      </c>
      <c r="AB844" s="3">
        <f t="shared" si="109"/>
        <v>8</v>
      </c>
      <c r="AC844">
        <v>2686.77</v>
      </c>
      <c r="AD844" s="2">
        <v>335.84625</v>
      </c>
      <c r="AE844" s="2">
        <v>976.93</v>
      </c>
      <c r="AF844" s="2">
        <v>22.49</v>
      </c>
      <c r="AG844" s="2">
        <v>3686.19</v>
      </c>
      <c r="AH844">
        <v>0</v>
      </c>
      <c r="AI844">
        <v>460.77375000000001</v>
      </c>
      <c r="AJ844">
        <v>18.430949999999999</v>
      </c>
      <c r="AK844" t="s">
        <v>54</v>
      </c>
      <c r="AL844">
        <v>17.8</v>
      </c>
      <c r="AM844" s="4">
        <f t="shared" si="110"/>
        <v>460.77375000000001</v>
      </c>
      <c r="AN844" s="4">
        <f t="shared" si="111"/>
        <v>629.71171875000005</v>
      </c>
      <c r="AO844" s="4">
        <f t="shared" si="112"/>
        <v>699.60971953124999</v>
      </c>
      <c r="AP844" s="4">
        <f t="shared" si="113"/>
        <v>1020.070013203125</v>
      </c>
      <c r="AQ844" s="10">
        <f t="shared" si="106"/>
        <v>801.33162862500001</v>
      </c>
      <c r="AR844" s="10">
        <f t="shared" si="107"/>
        <v>890.3595725652375</v>
      </c>
      <c r="AS844" s="10">
        <f t="shared" si="108"/>
        <v>1247.5130794433999</v>
      </c>
    </row>
    <row r="845" spans="1:45" x14ac:dyDescent="0.3">
      <c r="A845">
        <v>2025</v>
      </c>
      <c r="B845">
        <v>8</v>
      </c>
      <c r="C845" t="s">
        <v>55</v>
      </c>
      <c r="D845">
        <v>10</v>
      </c>
      <c r="E845" t="s">
        <v>36</v>
      </c>
      <c r="F845" t="s">
        <v>37</v>
      </c>
      <c r="G845" t="s">
        <v>38</v>
      </c>
      <c r="H845" t="s">
        <v>78</v>
      </c>
      <c r="I845" t="s">
        <v>190</v>
      </c>
      <c r="J845" t="s">
        <v>58</v>
      </c>
      <c r="K845" t="s">
        <v>59</v>
      </c>
      <c r="L845" t="s">
        <v>1194</v>
      </c>
      <c r="M845" t="s">
        <v>1195</v>
      </c>
      <c r="N845" t="s">
        <v>1196</v>
      </c>
      <c r="O845" t="s">
        <v>1197</v>
      </c>
      <c r="Q845" t="s">
        <v>62</v>
      </c>
      <c r="R845" t="s">
        <v>1198</v>
      </c>
      <c r="S845" t="s">
        <v>1198</v>
      </c>
      <c r="T845" t="s">
        <v>47</v>
      </c>
      <c r="U845" t="s">
        <v>167</v>
      </c>
      <c r="V845" t="s">
        <v>49</v>
      </c>
      <c r="W845" t="s">
        <v>168</v>
      </c>
      <c r="X845" t="s">
        <v>388</v>
      </c>
      <c r="Y845" t="s">
        <v>433</v>
      </c>
      <c r="Z845" t="s">
        <v>433</v>
      </c>
      <c r="AA845" t="s">
        <v>434</v>
      </c>
      <c r="AB845" s="3">
        <f t="shared" si="109"/>
        <v>4.0900000000001473</v>
      </c>
      <c r="AC845">
        <v>548.03</v>
      </c>
      <c r="AD845" s="2">
        <v>133.99266503666999</v>
      </c>
      <c r="AE845" s="2">
        <v>45.97</v>
      </c>
      <c r="AF845" s="2">
        <v>3.67</v>
      </c>
      <c r="AG845" s="2">
        <v>597.66999999999996</v>
      </c>
      <c r="AH845">
        <v>0</v>
      </c>
      <c r="AI845">
        <v>146.12958435208</v>
      </c>
      <c r="AJ845">
        <v>2.9883500000000001</v>
      </c>
      <c r="AK845" t="s">
        <v>54</v>
      </c>
      <c r="AL845">
        <v>2.34</v>
      </c>
      <c r="AM845" s="4">
        <f t="shared" si="110"/>
        <v>146.12958435207295</v>
      </c>
      <c r="AN845" s="4">
        <f t="shared" si="111"/>
        <v>251.23624694375624</v>
      </c>
      <c r="AO845" s="4">
        <f t="shared" si="112"/>
        <v>279.12347035451319</v>
      </c>
      <c r="AP845" s="4">
        <f t="shared" si="113"/>
        <v>406.97759642419072</v>
      </c>
      <c r="AQ845" s="10">
        <f t="shared" si="106"/>
        <v>254.1339601466901</v>
      </c>
      <c r="AR845" s="10">
        <f t="shared" si="107"/>
        <v>282.36824311898738</v>
      </c>
      <c r="AS845" s="10">
        <f t="shared" si="108"/>
        <v>395.63574915636713</v>
      </c>
    </row>
    <row r="846" spans="1:45" x14ac:dyDescent="0.3">
      <c r="A846">
        <v>2025</v>
      </c>
      <c r="B846">
        <v>4</v>
      </c>
      <c r="C846" t="s">
        <v>55</v>
      </c>
      <c r="D846">
        <v>10</v>
      </c>
      <c r="E846" t="s">
        <v>36</v>
      </c>
      <c r="F846" t="s">
        <v>37</v>
      </c>
      <c r="G846" t="s">
        <v>38</v>
      </c>
      <c r="H846" t="s">
        <v>78</v>
      </c>
      <c r="I846" t="s">
        <v>190</v>
      </c>
      <c r="J846" t="s">
        <v>58</v>
      </c>
      <c r="K846" t="s">
        <v>59</v>
      </c>
      <c r="M846" t="s">
        <v>383</v>
      </c>
      <c r="N846" t="s">
        <v>384</v>
      </c>
      <c r="O846" t="s">
        <v>36</v>
      </c>
      <c r="Q846" t="s">
        <v>62</v>
      </c>
      <c r="R846" t="s">
        <v>385</v>
      </c>
      <c r="S846" t="s">
        <v>385</v>
      </c>
      <c r="T846" t="s">
        <v>47</v>
      </c>
      <c r="U846" t="s">
        <v>559</v>
      </c>
      <c r="V846" t="s">
        <v>49</v>
      </c>
      <c r="W846" t="s">
        <v>560</v>
      </c>
      <c r="X846" t="s">
        <v>388</v>
      </c>
      <c r="Y846" t="s">
        <v>1417</v>
      </c>
      <c r="Z846" t="s">
        <v>1417</v>
      </c>
      <c r="AA846" t="s">
        <v>1418</v>
      </c>
      <c r="AB846" s="3">
        <f t="shared" si="109"/>
        <v>3</v>
      </c>
      <c r="AC846">
        <v>215.67</v>
      </c>
      <c r="AD846" s="2">
        <v>71.89</v>
      </c>
      <c r="AE846" s="2">
        <v>15.46</v>
      </c>
      <c r="AF846" s="2">
        <v>1.4</v>
      </c>
      <c r="AG846" s="2">
        <v>232.52</v>
      </c>
      <c r="AH846">
        <v>0</v>
      </c>
      <c r="AI846">
        <v>77.506666666667002</v>
      </c>
      <c r="AJ846">
        <v>1.1626000000000001</v>
      </c>
      <c r="AK846" t="s">
        <v>54</v>
      </c>
      <c r="AL846">
        <v>1.82</v>
      </c>
      <c r="AM846" s="4">
        <f t="shared" si="110"/>
        <v>77.506666666666675</v>
      </c>
      <c r="AN846" s="4">
        <f t="shared" si="111"/>
        <v>134.79374999999999</v>
      </c>
      <c r="AO846" s="4">
        <f t="shared" si="112"/>
        <v>149.75585624999999</v>
      </c>
      <c r="AP846" s="4">
        <f t="shared" si="113"/>
        <v>218.35239562499996</v>
      </c>
      <c r="AQ846" s="10">
        <f t="shared" si="106"/>
        <v>134.79184400000003</v>
      </c>
      <c r="AR846" s="10">
        <f t="shared" si="107"/>
        <v>149.76721786840002</v>
      </c>
      <c r="AS846" s="10">
        <f t="shared" si="108"/>
        <v>209.84394273920003</v>
      </c>
    </row>
    <row r="847" spans="1:45" x14ac:dyDescent="0.3">
      <c r="A847">
        <v>2025</v>
      </c>
      <c r="B847">
        <v>4</v>
      </c>
      <c r="C847" t="s">
        <v>55</v>
      </c>
      <c r="D847">
        <v>10</v>
      </c>
      <c r="E847" t="s">
        <v>36</v>
      </c>
      <c r="F847" t="s">
        <v>37</v>
      </c>
      <c r="G847" t="s">
        <v>38</v>
      </c>
      <c r="H847" t="s">
        <v>78</v>
      </c>
      <c r="I847" t="s">
        <v>375</v>
      </c>
      <c r="J847" t="s">
        <v>376</v>
      </c>
      <c r="K847" t="s">
        <v>59</v>
      </c>
      <c r="M847">
        <v>2503061</v>
      </c>
      <c r="N847" t="s">
        <v>377</v>
      </c>
      <c r="O847" t="s">
        <v>36</v>
      </c>
      <c r="Q847" t="s">
        <v>62</v>
      </c>
      <c r="R847" t="s">
        <v>378</v>
      </c>
      <c r="S847" t="s">
        <v>378</v>
      </c>
      <c r="T847" t="s">
        <v>47</v>
      </c>
      <c r="U847" t="s">
        <v>167</v>
      </c>
      <c r="V847" t="s">
        <v>49</v>
      </c>
      <c r="W847" t="s">
        <v>168</v>
      </c>
      <c r="X847" t="s">
        <v>51</v>
      </c>
      <c r="Y847" t="s">
        <v>566</v>
      </c>
      <c r="Z847" t="s">
        <v>566</v>
      </c>
      <c r="AA847" t="s">
        <v>567</v>
      </c>
      <c r="AB847" s="3">
        <f t="shared" si="109"/>
        <v>6.0000000000001918</v>
      </c>
      <c r="AC847">
        <v>623.27</v>
      </c>
      <c r="AD847" s="2">
        <v>103.87833333333</v>
      </c>
      <c r="AE847" s="2">
        <v>91.95</v>
      </c>
      <c r="AF847" s="2">
        <v>4.07</v>
      </c>
      <c r="AG847" s="2">
        <v>719.28</v>
      </c>
      <c r="AH847">
        <v>0</v>
      </c>
      <c r="AI847">
        <v>119.88</v>
      </c>
      <c r="AJ847">
        <v>3.5964</v>
      </c>
      <c r="AK847" t="s">
        <v>54</v>
      </c>
      <c r="AL847">
        <v>4.68</v>
      </c>
      <c r="AM847" s="4">
        <f t="shared" si="110"/>
        <v>119.87999999999616</v>
      </c>
      <c r="AN847" s="4">
        <f t="shared" si="111"/>
        <v>194.77187499999377</v>
      </c>
      <c r="AO847" s="4">
        <f t="shared" si="112"/>
        <v>216.39155312499307</v>
      </c>
      <c r="AP847" s="4">
        <f t="shared" si="113"/>
        <v>315.51096031248989</v>
      </c>
      <c r="AQ847" s="10">
        <f t="shared" si="106"/>
        <v>208.48330799999334</v>
      </c>
      <c r="AR847" s="10">
        <f t="shared" si="107"/>
        <v>231.6458035187926</v>
      </c>
      <c r="AS847" s="10">
        <f t="shared" si="108"/>
        <v>324.56681389438961</v>
      </c>
    </row>
    <row r="848" spans="1:45" x14ac:dyDescent="0.3">
      <c r="A848">
        <v>2025</v>
      </c>
      <c r="B848">
        <v>7</v>
      </c>
      <c r="C848" t="s">
        <v>55</v>
      </c>
      <c r="D848">
        <v>10</v>
      </c>
      <c r="E848" t="s">
        <v>36</v>
      </c>
      <c r="F848" t="s">
        <v>37</v>
      </c>
      <c r="G848" t="s">
        <v>38</v>
      </c>
      <c r="H848" t="s">
        <v>78</v>
      </c>
      <c r="I848" t="s">
        <v>190</v>
      </c>
      <c r="J848" t="s">
        <v>58</v>
      </c>
      <c r="K848" t="s">
        <v>41</v>
      </c>
      <c r="L848" t="s">
        <v>953</v>
      </c>
      <c r="M848" t="s">
        <v>954</v>
      </c>
      <c r="N848" t="s">
        <v>731</v>
      </c>
      <c r="O848" t="s">
        <v>36</v>
      </c>
      <c r="Q848" t="s">
        <v>62</v>
      </c>
      <c r="R848" t="s">
        <v>955</v>
      </c>
      <c r="S848" t="s">
        <v>956</v>
      </c>
      <c r="T848" t="s">
        <v>47</v>
      </c>
      <c r="U848" t="s">
        <v>48</v>
      </c>
      <c r="V848" t="s">
        <v>49</v>
      </c>
      <c r="W848" t="s">
        <v>674</v>
      </c>
      <c r="X848" t="s">
        <v>51</v>
      </c>
      <c r="Y848" t="s">
        <v>566</v>
      </c>
      <c r="Z848" t="s">
        <v>566</v>
      </c>
      <c r="AA848" t="s">
        <v>567</v>
      </c>
      <c r="AB848" s="3">
        <f t="shared" si="109"/>
        <v>10</v>
      </c>
      <c r="AC848">
        <v>810.05</v>
      </c>
      <c r="AD848" s="2">
        <v>81.004999999999995</v>
      </c>
      <c r="AE848" s="2">
        <v>150.87</v>
      </c>
      <c r="AF848" s="2">
        <v>5.66</v>
      </c>
      <c r="AG848" s="2">
        <v>966.58</v>
      </c>
      <c r="AH848">
        <v>0</v>
      </c>
      <c r="AI848">
        <v>96.658000000000001</v>
      </c>
      <c r="AJ848">
        <v>4.8329000000000004</v>
      </c>
      <c r="AK848" t="s">
        <v>54</v>
      </c>
      <c r="AL848">
        <v>7.2</v>
      </c>
      <c r="AM848" s="4">
        <f t="shared" si="110"/>
        <v>96.658000000000001</v>
      </c>
      <c r="AN848" s="4">
        <f t="shared" si="111"/>
        <v>151.88437499999998</v>
      </c>
      <c r="AO848" s="4">
        <f t="shared" si="112"/>
        <v>168.74354062499998</v>
      </c>
      <c r="AP848" s="4">
        <f t="shared" si="113"/>
        <v>246.03749906249996</v>
      </c>
      <c r="AQ848" s="10">
        <f t="shared" si="106"/>
        <v>168.09792780000001</v>
      </c>
      <c r="AR848" s="10">
        <f t="shared" si="107"/>
        <v>186.77360757858</v>
      </c>
      <c r="AS848" s="10">
        <f t="shared" si="108"/>
        <v>261.69485399903999</v>
      </c>
    </row>
    <row r="849" spans="1:45" x14ac:dyDescent="0.3">
      <c r="A849">
        <v>2025</v>
      </c>
      <c r="B849">
        <v>7</v>
      </c>
      <c r="C849" t="s">
        <v>55</v>
      </c>
      <c r="D849">
        <v>10</v>
      </c>
      <c r="E849" t="s">
        <v>36</v>
      </c>
      <c r="F849" t="s">
        <v>37</v>
      </c>
      <c r="G849" t="s">
        <v>38</v>
      </c>
      <c r="H849" t="s">
        <v>78</v>
      </c>
      <c r="I849" t="s">
        <v>190</v>
      </c>
      <c r="J849" t="s">
        <v>58</v>
      </c>
      <c r="K849" t="s">
        <v>41</v>
      </c>
      <c r="L849" t="s">
        <v>953</v>
      </c>
      <c r="M849" t="s">
        <v>954</v>
      </c>
      <c r="N849" t="s">
        <v>731</v>
      </c>
      <c r="O849" t="s">
        <v>36</v>
      </c>
      <c r="Q849" t="s">
        <v>62</v>
      </c>
      <c r="R849" t="s">
        <v>955</v>
      </c>
      <c r="S849" t="s">
        <v>956</v>
      </c>
      <c r="T849" t="s">
        <v>47</v>
      </c>
      <c r="U849" t="s">
        <v>167</v>
      </c>
      <c r="V849" t="s">
        <v>49</v>
      </c>
      <c r="W849" t="s">
        <v>168</v>
      </c>
      <c r="X849" t="s">
        <v>51</v>
      </c>
      <c r="Y849" t="s">
        <v>960</v>
      </c>
      <c r="Z849" t="s">
        <v>960</v>
      </c>
      <c r="AA849" t="s">
        <v>567</v>
      </c>
      <c r="AB849" s="3">
        <f t="shared" si="109"/>
        <v>4</v>
      </c>
      <c r="AC849">
        <v>325.98</v>
      </c>
      <c r="AD849" s="2">
        <v>81.495000000000005</v>
      </c>
      <c r="AE849" s="2">
        <v>116.17</v>
      </c>
      <c r="AF849" s="2">
        <v>2.1800000000000002</v>
      </c>
      <c r="AG849" s="2">
        <v>444.33</v>
      </c>
      <c r="AH849">
        <v>0</v>
      </c>
      <c r="AI849">
        <v>111.0825</v>
      </c>
      <c r="AJ849">
        <v>2.2216499999999999</v>
      </c>
      <c r="AK849" t="s">
        <v>54</v>
      </c>
      <c r="AL849">
        <v>8.6999999999999993</v>
      </c>
      <c r="AM849" s="4">
        <f t="shared" si="110"/>
        <v>111.0825</v>
      </c>
      <c r="AN849" s="4">
        <f t="shared" si="111"/>
        <v>152.80312500000002</v>
      </c>
      <c r="AO849" s="4">
        <f t="shared" si="112"/>
        <v>169.76427187500002</v>
      </c>
      <c r="AP849" s="4">
        <f t="shared" si="113"/>
        <v>247.52578218750003</v>
      </c>
      <c r="AQ849" s="10">
        <f t="shared" si="106"/>
        <v>193.18357575000002</v>
      </c>
      <c r="AR849" s="10">
        <f t="shared" si="107"/>
        <v>214.64627101582502</v>
      </c>
      <c r="AS849" s="10">
        <f t="shared" si="108"/>
        <v>300.74819072760005</v>
      </c>
    </row>
    <row r="850" spans="1:45" x14ac:dyDescent="0.3">
      <c r="A850">
        <v>2025</v>
      </c>
      <c r="B850">
        <v>10</v>
      </c>
      <c r="C850" t="s">
        <v>55</v>
      </c>
      <c r="D850">
        <v>10</v>
      </c>
      <c r="E850" t="s">
        <v>36</v>
      </c>
      <c r="F850" t="s">
        <v>37</v>
      </c>
      <c r="G850" t="s">
        <v>38</v>
      </c>
      <c r="H850" t="s">
        <v>78</v>
      </c>
      <c r="I850" t="s">
        <v>375</v>
      </c>
      <c r="J850" t="s">
        <v>376</v>
      </c>
      <c r="K850" t="s">
        <v>59</v>
      </c>
      <c r="L850" t="s">
        <v>1549</v>
      </c>
      <c r="M850" t="s">
        <v>1550</v>
      </c>
      <c r="N850" t="s">
        <v>1551</v>
      </c>
      <c r="O850" t="s">
        <v>1197</v>
      </c>
      <c r="Q850" t="s">
        <v>62</v>
      </c>
      <c r="R850" t="s">
        <v>1552</v>
      </c>
      <c r="S850" t="s">
        <v>1552</v>
      </c>
      <c r="T850" t="s">
        <v>47</v>
      </c>
      <c r="U850" t="s">
        <v>167</v>
      </c>
      <c r="V850" t="s">
        <v>49</v>
      </c>
      <c r="W850" t="s">
        <v>168</v>
      </c>
      <c r="X850" t="s">
        <v>51</v>
      </c>
      <c r="Y850" t="s">
        <v>960</v>
      </c>
      <c r="Z850" t="s">
        <v>960</v>
      </c>
      <c r="AA850" t="s">
        <v>567</v>
      </c>
      <c r="AB850" s="3">
        <f t="shared" si="109"/>
        <v>2</v>
      </c>
      <c r="AC850">
        <v>163.13999999999999</v>
      </c>
      <c r="AD850" s="2">
        <v>81.569999999999993</v>
      </c>
      <c r="AE850" s="2">
        <v>58.8</v>
      </c>
      <c r="AF850" s="2">
        <v>1.1100000000000001</v>
      </c>
      <c r="AG850" s="2">
        <v>222.33</v>
      </c>
      <c r="AH850">
        <v>0</v>
      </c>
      <c r="AI850">
        <v>111.16500000000001</v>
      </c>
      <c r="AJ850">
        <v>1.11165</v>
      </c>
      <c r="AK850" t="s">
        <v>54</v>
      </c>
      <c r="AL850">
        <v>4.3499999999999996</v>
      </c>
      <c r="AM850" s="4">
        <f t="shared" si="110"/>
        <v>111.16500000000001</v>
      </c>
      <c r="AN850" s="4">
        <f t="shared" si="111"/>
        <v>152.94374999999999</v>
      </c>
      <c r="AO850" s="4">
        <f t="shared" si="112"/>
        <v>169.92050624999999</v>
      </c>
      <c r="AP850" s="4">
        <f t="shared" si="113"/>
        <v>247.75358062499998</v>
      </c>
      <c r="AQ850" s="10">
        <f t="shared" si="106"/>
        <v>193.32705150000001</v>
      </c>
      <c r="AR850" s="10">
        <f t="shared" si="107"/>
        <v>214.80568692164999</v>
      </c>
      <c r="AS850" s="10">
        <f t="shared" si="108"/>
        <v>300.97155377519999</v>
      </c>
    </row>
    <row r="851" spans="1:45" x14ac:dyDescent="0.3">
      <c r="A851">
        <v>2025</v>
      </c>
      <c r="B851">
        <v>4</v>
      </c>
      <c r="C851" t="s">
        <v>55</v>
      </c>
      <c r="D851">
        <v>10</v>
      </c>
      <c r="E851" t="s">
        <v>36</v>
      </c>
      <c r="F851" t="s">
        <v>37</v>
      </c>
      <c r="G851" t="s">
        <v>38</v>
      </c>
      <c r="H851" t="s">
        <v>83</v>
      </c>
      <c r="I851" t="s">
        <v>375</v>
      </c>
      <c r="J851" t="s">
        <v>376</v>
      </c>
      <c r="K851" t="s">
        <v>59</v>
      </c>
      <c r="M851">
        <v>2503061</v>
      </c>
      <c r="N851" t="s">
        <v>377</v>
      </c>
      <c r="O851" t="s">
        <v>36</v>
      </c>
      <c r="Q851" t="s">
        <v>62</v>
      </c>
      <c r="R851" t="s">
        <v>378</v>
      </c>
      <c r="S851" t="s">
        <v>378</v>
      </c>
      <c r="T851" t="s">
        <v>47</v>
      </c>
      <c r="U851" t="s">
        <v>356</v>
      </c>
      <c r="V851" t="s">
        <v>49</v>
      </c>
      <c r="W851" t="s">
        <v>357</v>
      </c>
      <c r="X851" t="s">
        <v>51</v>
      </c>
      <c r="Y851" t="s">
        <v>960</v>
      </c>
      <c r="Z851" t="s">
        <v>960</v>
      </c>
      <c r="AA851" t="s">
        <v>567</v>
      </c>
      <c r="AB851" s="3">
        <f t="shared" si="109"/>
        <v>10</v>
      </c>
      <c r="AC851">
        <v>840.13</v>
      </c>
      <c r="AD851" s="2">
        <v>84.013000000000005</v>
      </c>
      <c r="AE851" s="2">
        <v>384.1</v>
      </c>
      <c r="AF851" s="2">
        <v>7.49</v>
      </c>
      <c r="AG851" s="2">
        <v>1231.6400000000001</v>
      </c>
      <c r="AH851">
        <v>0</v>
      </c>
      <c r="AI851">
        <v>123.164</v>
      </c>
      <c r="AJ851">
        <v>6.1581999999999999</v>
      </c>
      <c r="AK851" t="s">
        <v>54</v>
      </c>
      <c r="AL851">
        <v>17.39</v>
      </c>
      <c r="AM851" s="4">
        <f t="shared" si="110"/>
        <v>123.16400000000002</v>
      </c>
      <c r="AN851" s="4">
        <f t="shared" si="111"/>
        <v>157.52437500000002</v>
      </c>
      <c r="AO851" s="4">
        <f t="shared" si="112"/>
        <v>175.00958062500001</v>
      </c>
      <c r="AP851" s="4">
        <f t="shared" si="113"/>
        <v>255.17373506250001</v>
      </c>
      <c r="AQ851" s="10">
        <f t="shared" si="106"/>
        <v>214.19451240000004</v>
      </c>
      <c r="AR851" s="10">
        <f t="shared" si="107"/>
        <v>237.99152272764005</v>
      </c>
      <c r="AS851" s="10">
        <f t="shared" si="108"/>
        <v>333.45801690432006</v>
      </c>
    </row>
    <row r="852" spans="1:45" x14ac:dyDescent="0.3">
      <c r="A852">
        <v>2025</v>
      </c>
      <c r="B852">
        <v>4</v>
      </c>
      <c r="C852" t="s">
        <v>55</v>
      </c>
      <c r="D852">
        <v>10</v>
      </c>
      <c r="E852" t="s">
        <v>36</v>
      </c>
      <c r="F852" t="s">
        <v>37</v>
      </c>
      <c r="G852" t="s">
        <v>38</v>
      </c>
      <c r="H852" t="s">
        <v>83</v>
      </c>
      <c r="I852" t="s">
        <v>190</v>
      </c>
      <c r="J852" t="s">
        <v>58</v>
      </c>
      <c r="K852" t="s">
        <v>59</v>
      </c>
      <c r="M852" t="s">
        <v>383</v>
      </c>
      <c r="N852" t="s">
        <v>384</v>
      </c>
      <c r="O852" t="s">
        <v>36</v>
      </c>
      <c r="Q852" t="s">
        <v>62</v>
      </c>
      <c r="R852" t="s">
        <v>385</v>
      </c>
      <c r="S852" t="s">
        <v>385</v>
      </c>
      <c r="T852" t="s">
        <v>47</v>
      </c>
      <c r="U852" t="s">
        <v>356</v>
      </c>
      <c r="V852" t="s">
        <v>49</v>
      </c>
      <c r="W852" t="s">
        <v>357</v>
      </c>
      <c r="X852" t="s">
        <v>388</v>
      </c>
      <c r="Y852" t="s">
        <v>603</v>
      </c>
      <c r="Z852" t="s">
        <v>603</v>
      </c>
      <c r="AA852" t="s">
        <v>607</v>
      </c>
      <c r="AB852" s="3">
        <f t="shared" si="109"/>
        <v>1</v>
      </c>
      <c r="AC852">
        <v>466.73</v>
      </c>
      <c r="AD852" s="2">
        <v>466.73</v>
      </c>
      <c r="AE852" s="2">
        <v>15.09</v>
      </c>
      <c r="AF852" s="2">
        <v>3.33</v>
      </c>
      <c r="AG852" s="2">
        <v>485.14</v>
      </c>
      <c r="AH852">
        <v>0</v>
      </c>
      <c r="AI852">
        <v>485.14</v>
      </c>
      <c r="AJ852">
        <v>2.4257</v>
      </c>
      <c r="AK852" t="s">
        <v>54</v>
      </c>
      <c r="AL852">
        <v>0.72</v>
      </c>
      <c r="AM852" s="4">
        <f t="shared" si="110"/>
        <v>485.14</v>
      </c>
      <c r="AN852" s="4">
        <f t="shared" si="111"/>
        <v>875.11875000000009</v>
      </c>
      <c r="AO852" s="4">
        <f t="shared" si="112"/>
        <v>972.25693125000009</v>
      </c>
      <c r="AP852" s="4">
        <f t="shared" si="113"/>
        <v>1417.6048631250001</v>
      </c>
      <c r="AQ852" s="10">
        <f t="shared" si="106"/>
        <v>843.70697400000006</v>
      </c>
      <c r="AR852" s="10">
        <f t="shared" si="107"/>
        <v>937.4428188114</v>
      </c>
      <c r="AS852" s="10">
        <f t="shared" si="108"/>
        <v>1313.4830171232002</v>
      </c>
    </row>
    <row r="853" spans="1:45" x14ac:dyDescent="0.3">
      <c r="A853">
        <v>2025</v>
      </c>
      <c r="B853">
        <v>8</v>
      </c>
      <c r="C853" t="s">
        <v>55</v>
      </c>
      <c r="D853">
        <v>10</v>
      </c>
      <c r="E853" t="s">
        <v>36</v>
      </c>
      <c r="F853" t="s">
        <v>37</v>
      </c>
      <c r="G853" t="s">
        <v>38</v>
      </c>
      <c r="H853" t="s">
        <v>83</v>
      </c>
      <c r="I853" t="s">
        <v>190</v>
      </c>
      <c r="J853" t="s">
        <v>58</v>
      </c>
      <c r="K853" t="s">
        <v>59</v>
      </c>
      <c r="L853" t="s">
        <v>1194</v>
      </c>
      <c r="M853" t="s">
        <v>1195</v>
      </c>
      <c r="N853" t="s">
        <v>1196</v>
      </c>
      <c r="O853" t="s">
        <v>1197</v>
      </c>
      <c r="Q853" t="s">
        <v>62</v>
      </c>
      <c r="R853" t="s">
        <v>1198</v>
      </c>
      <c r="S853" t="s">
        <v>1198</v>
      </c>
      <c r="T853" t="s">
        <v>47</v>
      </c>
      <c r="U853" t="s">
        <v>356</v>
      </c>
      <c r="V853" t="s">
        <v>49</v>
      </c>
      <c r="W853" t="s">
        <v>357</v>
      </c>
      <c r="X853" t="s">
        <v>388</v>
      </c>
      <c r="Y853" t="s">
        <v>612</v>
      </c>
      <c r="Z853" t="s">
        <v>612</v>
      </c>
      <c r="AA853" t="s">
        <v>607</v>
      </c>
      <c r="AB853" s="3">
        <f t="shared" si="109"/>
        <v>2</v>
      </c>
      <c r="AC853">
        <v>940.7</v>
      </c>
      <c r="AD853" s="2">
        <v>470.35</v>
      </c>
      <c r="AE853" s="2">
        <v>30.65</v>
      </c>
      <c r="AF853" s="2">
        <v>6.42</v>
      </c>
      <c r="AG853" s="2">
        <v>977.76</v>
      </c>
      <c r="AH853">
        <v>0</v>
      </c>
      <c r="AI853">
        <v>488.88</v>
      </c>
      <c r="AJ853">
        <v>4.8887999999999998</v>
      </c>
      <c r="AK853" t="s">
        <v>54</v>
      </c>
      <c r="AL853">
        <v>1.56</v>
      </c>
      <c r="AM853" s="4">
        <f t="shared" si="110"/>
        <v>488.88</v>
      </c>
      <c r="AN853" s="4">
        <f t="shared" si="111"/>
        <v>881.90625</v>
      </c>
      <c r="AO853" s="4">
        <f t="shared" si="112"/>
        <v>979.79784374999997</v>
      </c>
      <c r="AP853" s="4">
        <f t="shared" si="113"/>
        <v>1428.599934375</v>
      </c>
      <c r="AQ853" s="10">
        <f t="shared" si="106"/>
        <v>850.21120800000006</v>
      </c>
      <c r="AR853" s="10">
        <f t="shared" si="107"/>
        <v>944.66967320880008</v>
      </c>
      <c r="AS853" s="10">
        <f t="shared" si="108"/>
        <v>1323.6088086144</v>
      </c>
    </row>
    <row r="854" spans="1:45" x14ac:dyDescent="0.3">
      <c r="A854">
        <v>2025</v>
      </c>
      <c r="B854">
        <v>9</v>
      </c>
      <c r="C854" t="s">
        <v>55</v>
      </c>
      <c r="D854">
        <v>10</v>
      </c>
      <c r="E854" t="s">
        <v>36</v>
      </c>
      <c r="F854" t="s">
        <v>37</v>
      </c>
      <c r="G854" t="s">
        <v>38</v>
      </c>
      <c r="H854" t="s">
        <v>83</v>
      </c>
      <c r="I854" t="s">
        <v>375</v>
      </c>
      <c r="J854" t="s">
        <v>376</v>
      </c>
      <c r="K854" t="s">
        <v>59</v>
      </c>
      <c r="L854" t="s">
        <v>1483</v>
      </c>
      <c r="M854" t="s">
        <v>1484</v>
      </c>
      <c r="N854" t="s">
        <v>1485</v>
      </c>
      <c r="O854" t="s">
        <v>1197</v>
      </c>
      <c r="Q854" t="s">
        <v>62</v>
      </c>
      <c r="R854" t="s">
        <v>1486</v>
      </c>
      <c r="S854" t="s">
        <v>1486</v>
      </c>
      <c r="T854" t="s">
        <v>47</v>
      </c>
      <c r="U854" t="s">
        <v>356</v>
      </c>
      <c r="V854" t="s">
        <v>49</v>
      </c>
      <c r="W854" t="s">
        <v>357</v>
      </c>
      <c r="X854" t="s">
        <v>51</v>
      </c>
      <c r="Y854" t="s">
        <v>1151</v>
      </c>
      <c r="Z854" t="s">
        <v>1151</v>
      </c>
      <c r="AA854" t="s">
        <v>607</v>
      </c>
      <c r="AB854" s="3">
        <f t="shared" si="109"/>
        <v>2</v>
      </c>
      <c r="AC854">
        <v>877.55</v>
      </c>
      <c r="AD854" s="2">
        <v>438.77499999999998</v>
      </c>
      <c r="AE854" s="2">
        <v>62.89</v>
      </c>
      <c r="AF854" s="2">
        <v>5.68</v>
      </c>
      <c r="AG854" s="2">
        <v>946.11</v>
      </c>
      <c r="AH854">
        <v>0</v>
      </c>
      <c r="AI854">
        <v>473.05500000000001</v>
      </c>
      <c r="AJ854">
        <v>4.73055</v>
      </c>
      <c r="AK854" t="s">
        <v>54</v>
      </c>
      <c r="AL854">
        <v>7.39</v>
      </c>
      <c r="AM854" s="4">
        <f t="shared" si="110"/>
        <v>473.05500000000001</v>
      </c>
      <c r="AN854" s="4">
        <f t="shared" si="111"/>
        <v>822.703125</v>
      </c>
      <c r="AO854" s="4">
        <f t="shared" si="112"/>
        <v>914.023171875</v>
      </c>
      <c r="AP854" s="4">
        <f t="shared" si="113"/>
        <v>1332.6967921875</v>
      </c>
      <c r="AQ854" s="10">
        <f t="shared" si="106"/>
        <v>822.68995050000001</v>
      </c>
      <c r="AR854" s="10">
        <f t="shared" si="107"/>
        <v>914.09080400054995</v>
      </c>
      <c r="AS854" s="10">
        <f t="shared" si="108"/>
        <v>1280.7637149384</v>
      </c>
    </row>
    <row r="855" spans="1:45" x14ac:dyDescent="0.3">
      <c r="A855">
        <v>2025</v>
      </c>
      <c r="B855">
        <v>11</v>
      </c>
      <c r="C855" t="s">
        <v>55</v>
      </c>
      <c r="D855">
        <v>10</v>
      </c>
      <c r="E855" t="s">
        <v>36</v>
      </c>
      <c r="F855" t="s">
        <v>37</v>
      </c>
      <c r="G855" t="s">
        <v>38</v>
      </c>
      <c r="H855" t="s">
        <v>83</v>
      </c>
      <c r="I855" t="s">
        <v>375</v>
      </c>
      <c r="J855" t="s">
        <v>376</v>
      </c>
      <c r="K855" t="s">
        <v>51</v>
      </c>
      <c r="L855" t="s">
        <v>1622</v>
      </c>
      <c r="M855" t="s">
        <v>1623</v>
      </c>
      <c r="N855" t="s">
        <v>1485</v>
      </c>
      <c r="O855" t="s">
        <v>1197</v>
      </c>
      <c r="Q855" t="s">
        <v>62</v>
      </c>
      <c r="R855" t="s">
        <v>1624</v>
      </c>
      <c r="S855" t="s">
        <v>1624</v>
      </c>
      <c r="T855" t="s">
        <v>47</v>
      </c>
      <c r="U855" t="s">
        <v>356</v>
      </c>
      <c r="V855" t="s">
        <v>49</v>
      </c>
      <c r="W855" t="s">
        <v>357</v>
      </c>
      <c r="X855" t="s">
        <v>51</v>
      </c>
      <c r="Y855" t="s">
        <v>1151</v>
      </c>
      <c r="Z855" t="s">
        <v>1151</v>
      </c>
      <c r="AA855" t="s">
        <v>607</v>
      </c>
      <c r="AB855" s="3">
        <f t="shared" si="109"/>
        <v>1</v>
      </c>
      <c r="AC855">
        <v>431.88</v>
      </c>
      <c r="AD855" s="2">
        <v>431.88</v>
      </c>
      <c r="AE855" s="2">
        <v>66.95</v>
      </c>
      <c r="AF855" s="2">
        <v>3.6</v>
      </c>
      <c r="AG855" s="2">
        <v>501.89</v>
      </c>
      <c r="AH855">
        <v>0</v>
      </c>
      <c r="AI855">
        <v>501.89</v>
      </c>
      <c r="AJ855">
        <v>2.5094500000000002</v>
      </c>
      <c r="AK855" t="s">
        <v>54</v>
      </c>
      <c r="AL855">
        <v>2.77</v>
      </c>
      <c r="AM855" s="4">
        <f t="shared" si="110"/>
        <v>501.89</v>
      </c>
      <c r="AN855" s="4">
        <f t="shared" si="111"/>
        <v>809.77499999999998</v>
      </c>
      <c r="AO855" s="4">
        <f t="shared" si="112"/>
        <v>899.66002500000002</v>
      </c>
      <c r="AP855" s="4">
        <f t="shared" si="113"/>
        <v>1311.7545224999999</v>
      </c>
      <c r="AQ855" s="10">
        <f t="shared" si="106"/>
        <v>872.83689900000002</v>
      </c>
      <c r="AR855" s="10">
        <f t="shared" si="107"/>
        <v>969.80907847890001</v>
      </c>
      <c r="AS855" s="10">
        <f t="shared" si="108"/>
        <v>1358.8324843631999</v>
      </c>
    </row>
    <row r="856" spans="1:45" x14ac:dyDescent="0.3">
      <c r="A856">
        <v>2025</v>
      </c>
      <c r="B856">
        <v>11</v>
      </c>
      <c r="C856" t="s">
        <v>55</v>
      </c>
      <c r="D856">
        <v>10</v>
      </c>
      <c r="E856" t="s">
        <v>36</v>
      </c>
      <c r="F856" t="s">
        <v>37</v>
      </c>
      <c r="G856" t="s">
        <v>38</v>
      </c>
      <c r="H856" t="s">
        <v>83</v>
      </c>
      <c r="I856" t="s">
        <v>190</v>
      </c>
      <c r="J856" t="s">
        <v>58</v>
      </c>
      <c r="K856" t="s">
        <v>59</v>
      </c>
      <c r="L856" t="s">
        <v>1629</v>
      </c>
      <c r="M856" t="s">
        <v>1630</v>
      </c>
      <c r="N856" t="s">
        <v>1485</v>
      </c>
      <c r="O856" t="s">
        <v>1197</v>
      </c>
      <c r="Q856" t="s">
        <v>62</v>
      </c>
      <c r="R856" t="s">
        <v>1631</v>
      </c>
      <c r="S856" t="s">
        <v>1631</v>
      </c>
      <c r="T856" t="s">
        <v>47</v>
      </c>
      <c r="U856" t="s">
        <v>356</v>
      </c>
      <c r="V856" t="s">
        <v>49</v>
      </c>
      <c r="W856" t="s">
        <v>357</v>
      </c>
      <c r="X856" t="s">
        <v>1578</v>
      </c>
      <c r="Y856" t="s">
        <v>1532</v>
      </c>
      <c r="Z856" t="s">
        <v>1532</v>
      </c>
      <c r="AA856" t="s">
        <v>607</v>
      </c>
      <c r="AB856" s="3">
        <f t="shared" si="109"/>
        <v>4</v>
      </c>
      <c r="AC856">
        <v>1691.16</v>
      </c>
      <c r="AD856" s="2">
        <v>422.79</v>
      </c>
      <c r="AE856" s="2">
        <v>236.8</v>
      </c>
      <c r="AF856" s="2">
        <v>11.71</v>
      </c>
      <c r="AG856" s="2">
        <v>1939.67</v>
      </c>
      <c r="AH856">
        <v>0</v>
      </c>
      <c r="AI856">
        <v>484.91750000000002</v>
      </c>
      <c r="AJ856">
        <v>9.6983499999999996</v>
      </c>
      <c r="AK856" t="s">
        <v>54</v>
      </c>
      <c r="AL856">
        <v>12.89</v>
      </c>
      <c r="AM856" s="4">
        <f t="shared" si="110"/>
        <v>484.91750000000002</v>
      </c>
      <c r="AN856" s="4">
        <f t="shared" si="111"/>
        <v>792.73125000000005</v>
      </c>
      <c r="AO856" s="4">
        <f t="shared" si="112"/>
        <v>880.72441875000004</v>
      </c>
      <c r="AP856" s="4">
        <f t="shared" si="113"/>
        <v>1284.145351875</v>
      </c>
      <c r="AQ856" s="10">
        <f t="shared" si="106"/>
        <v>843.32002425000007</v>
      </c>
      <c r="AR856" s="10">
        <f t="shared" si="107"/>
        <v>937.0128789441751</v>
      </c>
      <c r="AS856" s="10">
        <f t="shared" si="108"/>
        <v>1312.8806137524</v>
      </c>
    </row>
    <row r="857" spans="1:45" x14ac:dyDescent="0.3">
      <c r="A857">
        <v>2025</v>
      </c>
      <c r="B857">
        <v>12</v>
      </c>
      <c r="C857" t="s">
        <v>55</v>
      </c>
      <c r="D857">
        <v>10</v>
      </c>
      <c r="E857" t="s">
        <v>36</v>
      </c>
      <c r="F857" t="s">
        <v>37</v>
      </c>
      <c r="G857" t="s">
        <v>38</v>
      </c>
      <c r="H857" t="s">
        <v>83</v>
      </c>
      <c r="I857" t="s">
        <v>57</v>
      </c>
      <c r="J857" t="s">
        <v>58</v>
      </c>
      <c r="K857" t="s">
        <v>59</v>
      </c>
      <c r="L857" t="s">
        <v>1769</v>
      </c>
      <c r="M857" t="s">
        <v>1770</v>
      </c>
      <c r="N857" t="s">
        <v>1771</v>
      </c>
      <c r="O857" t="s">
        <v>1197</v>
      </c>
      <c r="Q857" t="s">
        <v>62</v>
      </c>
      <c r="R857" t="s">
        <v>1772</v>
      </c>
      <c r="S857" t="s">
        <v>1772</v>
      </c>
      <c r="T857" t="s">
        <v>47</v>
      </c>
      <c r="U857" t="s">
        <v>356</v>
      </c>
      <c r="V857" t="s">
        <v>49</v>
      </c>
      <c r="W857" t="s">
        <v>357</v>
      </c>
      <c r="X857" t="s">
        <v>51</v>
      </c>
      <c r="Y857" t="s">
        <v>1151</v>
      </c>
      <c r="Z857" t="s">
        <v>1151</v>
      </c>
      <c r="AA857" t="s">
        <v>607</v>
      </c>
      <c r="AB857" s="3">
        <f t="shared" si="109"/>
        <v>1</v>
      </c>
      <c r="AC857">
        <v>440.27</v>
      </c>
      <c r="AD857" s="2">
        <v>440.27</v>
      </c>
      <c r="AE857" s="2">
        <v>114.63</v>
      </c>
      <c r="AF857" s="2">
        <v>3.39</v>
      </c>
      <c r="AG857" s="2">
        <v>558.29999999999995</v>
      </c>
      <c r="AH857">
        <v>0</v>
      </c>
      <c r="AI857">
        <v>558.29999999999995</v>
      </c>
      <c r="AJ857">
        <v>2.7915000000000001</v>
      </c>
      <c r="AK857" t="s">
        <v>54</v>
      </c>
      <c r="AL857">
        <v>5.54</v>
      </c>
      <c r="AM857" s="4">
        <f t="shared" si="110"/>
        <v>558.29999999999995</v>
      </c>
      <c r="AN857" s="4">
        <f t="shared" si="111"/>
        <v>825.50624999999991</v>
      </c>
      <c r="AO857" s="4">
        <f t="shared" si="112"/>
        <v>917.13744374999987</v>
      </c>
      <c r="AP857" s="4">
        <f t="shared" si="113"/>
        <v>1337.2375743749997</v>
      </c>
      <c r="AQ857" s="10">
        <f t="shared" si="106"/>
        <v>970.93952999999999</v>
      </c>
      <c r="AR857" s="10">
        <f t="shared" si="107"/>
        <v>1078.8109117829999</v>
      </c>
      <c r="AS857" s="10">
        <f t="shared" si="108"/>
        <v>1511.5586603039999</v>
      </c>
    </row>
    <row r="858" spans="1:45" x14ac:dyDescent="0.3">
      <c r="A858">
        <v>2025</v>
      </c>
      <c r="B858">
        <v>12</v>
      </c>
      <c r="C858" t="s">
        <v>55</v>
      </c>
      <c r="D858">
        <v>10</v>
      </c>
      <c r="E858" t="s">
        <v>36</v>
      </c>
      <c r="F858" t="s">
        <v>37</v>
      </c>
      <c r="G858" t="s">
        <v>38</v>
      </c>
      <c r="H858" t="s">
        <v>83</v>
      </c>
      <c r="I858" t="s">
        <v>57</v>
      </c>
      <c r="J858" t="s">
        <v>58</v>
      </c>
      <c r="K858" t="s">
        <v>59</v>
      </c>
      <c r="L858" t="s">
        <v>1769</v>
      </c>
      <c r="M858" t="s">
        <v>1770</v>
      </c>
      <c r="N858" t="s">
        <v>1771</v>
      </c>
      <c r="O858" t="s">
        <v>1197</v>
      </c>
      <c r="Q858" t="s">
        <v>62</v>
      </c>
      <c r="R858" t="s">
        <v>1772</v>
      </c>
      <c r="S858" t="s">
        <v>1772</v>
      </c>
      <c r="T858" t="s">
        <v>47</v>
      </c>
      <c r="U858" t="s">
        <v>356</v>
      </c>
      <c r="V858" t="s">
        <v>49</v>
      </c>
      <c r="W858" t="s">
        <v>357</v>
      </c>
      <c r="X858" t="s">
        <v>51</v>
      </c>
      <c r="Y858" t="s">
        <v>1151</v>
      </c>
      <c r="Z858" t="s">
        <v>1151</v>
      </c>
      <c r="AA858" t="s">
        <v>607</v>
      </c>
      <c r="AB858" s="3">
        <f t="shared" si="109"/>
        <v>2</v>
      </c>
      <c r="AC858">
        <v>884.49</v>
      </c>
      <c r="AD858" s="2">
        <v>442.245</v>
      </c>
      <c r="AE858" s="2">
        <v>262.57</v>
      </c>
      <c r="AF858" s="2">
        <v>6.64</v>
      </c>
      <c r="AG858" s="2">
        <v>1153.7</v>
      </c>
      <c r="AH858">
        <v>0</v>
      </c>
      <c r="AI858">
        <v>576.85</v>
      </c>
      <c r="AJ858">
        <v>5.7685000000000004</v>
      </c>
      <c r="AK858" t="s">
        <v>54</v>
      </c>
      <c r="AL858">
        <v>6.57</v>
      </c>
      <c r="AM858" s="4">
        <f t="shared" si="110"/>
        <v>576.85</v>
      </c>
      <c r="AN858" s="4">
        <f t="shared" si="111"/>
        <v>829.20937500000002</v>
      </c>
      <c r="AO858" s="4">
        <f t="shared" si="112"/>
        <v>921.251615625</v>
      </c>
      <c r="AP858" s="4">
        <f t="shared" si="113"/>
        <v>1343.2362665624998</v>
      </c>
      <c r="AQ858" s="10">
        <f t="shared" si="106"/>
        <v>1003.1998350000001</v>
      </c>
      <c r="AR858" s="10">
        <f t="shared" si="107"/>
        <v>1114.6553366685</v>
      </c>
      <c r="AS858" s="10">
        <f t="shared" si="108"/>
        <v>1561.7815031280002</v>
      </c>
    </row>
    <row r="859" spans="1:45" x14ac:dyDescent="0.3">
      <c r="A859">
        <v>2025</v>
      </c>
      <c r="B859">
        <v>4</v>
      </c>
      <c r="C859" t="s">
        <v>55</v>
      </c>
      <c r="D859">
        <v>10</v>
      </c>
      <c r="E859" t="s">
        <v>36</v>
      </c>
      <c r="F859" t="s">
        <v>37</v>
      </c>
      <c r="G859" t="s">
        <v>38</v>
      </c>
      <c r="H859" t="s">
        <v>83</v>
      </c>
      <c r="I859" t="s">
        <v>190</v>
      </c>
      <c r="J859" t="s">
        <v>58</v>
      </c>
      <c r="K859" t="s">
        <v>59</v>
      </c>
      <c r="M859" t="s">
        <v>383</v>
      </c>
      <c r="N859" t="s">
        <v>384</v>
      </c>
      <c r="O859" t="s">
        <v>36</v>
      </c>
      <c r="Q859" t="s">
        <v>62</v>
      </c>
      <c r="R859" t="s">
        <v>385</v>
      </c>
      <c r="S859" t="s">
        <v>385</v>
      </c>
      <c r="T859" t="s">
        <v>47</v>
      </c>
      <c r="U859" t="s">
        <v>163</v>
      </c>
      <c r="V859" t="s">
        <v>49</v>
      </c>
      <c r="W859" t="s">
        <v>164</v>
      </c>
      <c r="X859" t="s">
        <v>388</v>
      </c>
      <c r="Y859" t="s">
        <v>1914</v>
      </c>
      <c r="Z859" t="s">
        <v>1914</v>
      </c>
      <c r="AA859" t="s">
        <v>607</v>
      </c>
      <c r="AB859" s="3">
        <f t="shared" si="109"/>
        <v>4</v>
      </c>
      <c r="AC859">
        <v>1768.98</v>
      </c>
      <c r="AD859" s="2">
        <v>442.245</v>
      </c>
      <c r="AE859" s="2">
        <v>525.14</v>
      </c>
      <c r="AF859" s="2">
        <v>13.28</v>
      </c>
      <c r="AG859" s="2">
        <v>2307.4</v>
      </c>
      <c r="AH859">
        <v>0</v>
      </c>
      <c r="AI859">
        <v>576.85</v>
      </c>
      <c r="AJ859">
        <v>11.537000000000001</v>
      </c>
      <c r="AK859" t="s">
        <v>54</v>
      </c>
      <c r="AL859">
        <v>13.15</v>
      </c>
      <c r="AM859" s="4">
        <f t="shared" si="110"/>
        <v>576.85</v>
      </c>
      <c r="AN859" s="4">
        <f t="shared" si="111"/>
        <v>829.20937500000002</v>
      </c>
      <c r="AO859" s="4">
        <f t="shared" si="112"/>
        <v>921.251615625</v>
      </c>
      <c r="AP859" s="4">
        <f t="shared" si="113"/>
        <v>1343.2362665624998</v>
      </c>
      <c r="AQ859" s="10">
        <f t="shared" si="106"/>
        <v>1003.1998350000001</v>
      </c>
      <c r="AR859" s="10">
        <f t="shared" si="107"/>
        <v>1114.6553366685</v>
      </c>
      <c r="AS859" s="10">
        <f t="shared" si="108"/>
        <v>1561.7815031280002</v>
      </c>
    </row>
    <row r="860" spans="1:45" x14ac:dyDescent="0.3">
      <c r="A860">
        <v>2025</v>
      </c>
      <c r="B860">
        <v>8</v>
      </c>
      <c r="C860" t="s">
        <v>55</v>
      </c>
      <c r="D860">
        <v>10</v>
      </c>
      <c r="E860" t="s">
        <v>36</v>
      </c>
      <c r="F860" t="s">
        <v>37</v>
      </c>
      <c r="G860" t="s">
        <v>38</v>
      </c>
      <c r="H860" t="s">
        <v>83</v>
      </c>
      <c r="I860" t="s">
        <v>190</v>
      </c>
      <c r="J860" t="s">
        <v>58</v>
      </c>
      <c r="K860" t="s">
        <v>59</v>
      </c>
      <c r="L860" t="s">
        <v>1194</v>
      </c>
      <c r="M860" t="s">
        <v>1195</v>
      </c>
      <c r="N860" t="s">
        <v>1196</v>
      </c>
      <c r="O860" t="s">
        <v>1197</v>
      </c>
      <c r="Q860" t="s">
        <v>62</v>
      </c>
      <c r="R860" t="s">
        <v>1198</v>
      </c>
      <c r="S860" t="s">
        <v>1198</v>
      </c>
      <c r="T860" t="s">
        <v>47</v>
      </c>
      <c r="U860" t="s">
        <v>163</v>
      </c>
      <c r="V860" t="s">
        <v>49</v>
      </c>
      <c r="W860" t="s">
        <v>164</v>
      </c>
      <c r="X860" t="s">
        <v>388</v>
      </c>
      <c r="Y860" t="s">
        <v>557</v>
      </c>
      <c r="Z860" t="s">
        <v>557</v>
      </c>
      <c r="AA860" t="s">
        <v>558</v>
      </c>
      <c r="AB860" s="3">
        <f t="shared" si="109"/>
        <v>6.0000000000000231</v>
      </c>
      <c r="AC860">
        <v>535.07000000000005</v>
      </c>
      <c r="AD860" s="2">
        <v>89.178333333333001</v>
      </c>
      <c r="AE860" s="2">
        <v>91.95</v>
      </c>
      <c r="AF860" s="2">
        <v>3.46</v>
      </c>
      <c r="AG860" s="2">
        <v>630.47</v>
      </c>
      <c r="AH860">
        <v>0</v>
      </c>
      <c r="AI860">
        <v>105.07833333332999</v>
      </c>
      <c r="AJ860">
        <v>3.1523500000000002</v>
      </c>
      <c r="AK860" t="s">
        <v>54</v>
      </c>
      <c r="AL860">
        <v>4.68</v>
      </c>
      <c r="AM860" s="4">
        <f t="shared" si="110"/>
        <v>105.07833333333294</v>
      </c>
      <c r="AN860" s="4">
        <f t="shared" si="111"/>
        <v>167.20937499999937</v>
      </c>
      <c r="AO860" s="4">
        <f t="shared" si="112"/>
        <v>185.76961562499929</v>
      </c>
      <c r="AP860" s="4">
        <f t="shared" si="113"/>
        <v>270.86246656249898</v>
      </c>
      <c r="AQ860" s="10">
        <f t="shared" si="106"/>
        <v>182.74172949999931</v>
      </c>
      <c r="AR860" s="10">
        <f t="shared" si="107"/>
        <v>203.04433564744923</v>
      </c>
      <c r="AS860" s="10">
        <f t="shared" si="108"/>
        <v>284.49232448559894</v>
      </c>
    </row>
    <row r="861" spans="1:45" x14ac:dyDescent="0.3">
      <c r="A861">
        <v>2025</v>
      </c>
      <c r="B861">
        <v>9</v>
      </c>
      <c r="C861" t="s">
        <v>55</v>
      </c>
      <c r="D861">
        <v>10</v>
      </c>
      <c r="E861" t="s">
        <v>36</v>
      </c>
      <c r="F861" t="s">
        <v>37</v>
      </c>
      <c r="G861" t="s">
        <v>38</v>
      </c>
      <c r="H861" t="s">
        <v>83</v>
      </c>
      <c r="I861" t="s">
        <v>375</v>
      </c>
      <c r="J861" t="s">
        <v>376</v>
      </c>
      <c r="K861" t="s">
        <v>41</v>
      </c>
      <c r="L861" t="s">
        <v>1503</v>
      </c>
      <c r="M861" t="s">
        <v>1504</v>
      </c>
      <c r="N861" t="s">
        <v>377</v>
      </c>
      <c r="O861" t="s">
        <v>1197</v>
      </c>
      <c r="Q861" t="s">
        <v>62</v>
      </c>
      <c r="R861" t="s">
        <v>1505</v>
      </c>
      <c r="S861" t="s">
        <v>1505</v>
      </c>
      <c r="T861" t="s">
        <v>47</v>
      </c>
      <c r="U861" t="s">
        <v>163</v>
      </c>
      <c r="V861" t="s">
        <v>49</v>
      </c>
      <c r="W861" t="s">
        <v>164</v>
      </c>
      <c r="X861" t="s">
        <v>388</v>
      </c>
      <c r="Y861" t="s">
        <v>1386</v>
      </c>
      <c r="Z861" t="s">
        <v>1386</v>
      </c>
      <c r="AA861" t="s">
        <v>558</v>
      </c>
      <c r="AB861" s="3">
        <f t="shared" si="109"/>
        <v>6</v>
      </c>
      <c r="AC861">
        <v>433.23</v>
      </c>
      <c r="AD861" s="2">
        <v>72.204999999999998</v>
      </c>
      <c r="AE861" s="2">
        <v>31.5</v>
      </c>
      <c r="AF861" s="2">
        <v>2.8</v>
      </c>
      <c r="AG861" s="2">
        <v>467.8</v>
      </c>
      <c r="AH861">
        <v>0</v>
      </c>
      <c r="AI861">
        <v>77.966666666666995</v>
      </c>
      <c r="AJ861">
        <v>2.339</v>
      </c>
      <c r="AK861" t="s">
        <v>54</v>
      </c>
      <c r="AL861">
        <v>3.65</v>
      </c>
      <c r="AM861" s="4">
        <f t="shared" si="110"/>
        <v>77.966666666666669</v>
      </c>
      <c r="AN861" s="4">
        <f t="shared" si="111"/>
        <v>135.38437500000001</v>
      </c>
      <c r="AO861" s="4">
        <f t="shared" si="112"/>
        <v>150.412040625</v>
      </c>
      <c r="AP861" s="4">
        <f t="shared" si="113"/>
        <v>219.30914906249998</v>
      </c>
      <c r="AQ861" s="10">
        <f t="shared" si="106"/>
        <v>135.59183000000002</v>
      </c>
      <c r="AR861" s="10">
        <f t="shared" si="107"/>
        <v>150.65608231300001</v>
      </c>
      <c r="AS861" s="10">
        <f t="shared" si="108"/>
        <v>211.08936094400002</v>
      </c>
    </row>
    <row r="862" spans="1:45" x14ac:dyDescent="0.3">
      <c r="A862">
        <v>2025</v>
      </c>
      <c r="B862">
        <v>9</v>
      </c>
      <c r="C862" t="s">
        <v>55</v>
      </c>
      <c r="D862">
        <v>10</v>
      </c>
      <c r="E862" t="s">
        <v>36</v>
      </c>
      <c r="F862" t="s">
        <v>37</v>
      </c>
      <c r="G862" t="s">
        <v>38</v>
      </c>
      <c r="H862" t="s">
        <v>83</v>
      </c>
      <c r="I862" t="s">
        <v>375</v>
      </c>
      <c r="J862" t="s">
        <v>376</v>
      </c>
      <c r="K862" t="s">
        <v>59</v>
      </c>
      <c r="L862" t="s">
        <v>1483</v>
      </c>
      <c r="M862" t="s">
        <v>1484</v>
      </c>
      <c r="N862" t="s">
        <v>1485</v>
      </c>
      <c r="O862" t="s">
        <v>1197</v>
      </c>
      <c r="Q862" t="s">
        <v>62</v>
      </c>
      <c r="R862" t="s">
        <v>1486</v>
      </c>
      <c r="S862" t="s">
        <v>1486</v>
      </c>
      <c r="T862" t="s">
        <v>47</v>
      </c>
      <c r="U862" t="s">
        <v>163</v>
      </c>
      <c r="V862" t="s">
        <v>49</v>
      </c>
      <c r="W862" t="s">
        <v>164</v>
      </c>
      <c r="X862" t="s">
        <v>51</v>
      </c>
      <c r="Y862" t="s">
        <v>1534</v>
      </c>
      <c r="Z862" t="s">
        <v>1534</v>
      </c>
      <c r="AA862" t="s">
        <v>558</v>
      </c>
      <c r="AB862" s="3">
        <f t="shared" si="109"/>
        <v>5</v>
      </c>
      <c r="AC862">
        <v>353.35</v>
      </c>
      <c r="AD862" s="2">
        <v>70.67</v>
      </c>
      <c r="AE862" s="2">
        <v>128.49</v>
      </c>
      <c r="AF862" s="2">
        <v>2.96</v>
      </c>
      <c r="AG862" s="2">
        <v>484.79</v>
      </c>
      <c r="AH862">
        <v>0</v>
      </c>
      <c r="AI862">
        <v>96.957999999999998</v>
      </c>
      <c r="AJ862">
        <v>2.42395</v>
      </c>
      <c r="AK862" t="s">
        <v>54</v>
      </c>
      <c r="AL862">
        <v>11.12</v>
      </c>
      <c r="AM862" s="4">
        <f t="shared" si="110"/>
        <v>96.957999999999998</v>
      </c>
      <c r="AN862" s="4">
        <f t="shared" si="111"/>
        <v>132.50624999999999</v>
      </c>
      <c r="AO862" s="4">
        <f t="shared" si="112"/>
        <v>147.21444374999999</v>
      </c>
      <c r="AP862" s="4">
        <f t="shared" si="113"/>
        <v>214.64687437499998</v>
      </c>
      <c r="AQ862" s="10">
        <f t="shared" si="106"/>
        <v>168.6196578</v>
      </c>
      <c r="AR862" s="10">
        <f t="shared" si="107"/>
        <v>187.35330178158</v>
      </c>
      <c r="AS862" s="10">
        <f t="shared" si="108"/>
        <v>262.50708326303999</v>
      </c>
    </row>
    <row r="863" spans="1:45" x14ac:dyDescent="0.3">
      <c r="A863">
        <v>2025</v>
      </c>
      <c r="B863">
        <v>9</v>
      </c>
      <c r="C863" t="s">
        <v>55</v>
      </c>
      <c r="D863">
        <v>10</v>
      </c>
      <c r="E863" t="s">
        <v>36</v>
      </c>
      <c r="F863" t="s">
        <v>37</v>
      </c>
      <c r="G863" t="s">
        <v>38</v>
      </c>
      <c r="H863" t="s">
        <v>78</v>
      </c>
      <c r="I863" t="s">
        <v>375</v>
      </c>
      <c r="J863" t="s">
        <v>376</v>
      </c>
      <c r="K863" t="s">
        <v>41</v>
      </c>
      <c r="L863" t="s">
        <v>1503</v>
      </c>
      <c r="M863" t="s">
        <v>1504</v>
      </c>
      <c r="N863" t="s">
        <v>377</v>
      </c>
      <c r="O863" t="s">
        <v>1197</v>
      </c>
      <c r="Q863" t="s">
        <v>62</v>
      </c>
      <c r="R863" t="s">
        <v>1505</v>
      </c>
      <c r="S863" t="s">
        <v>1505</v>
      </c>
      <c r="T863" t="s">
        <v>47</v>
      </c>
      <c r="U863" t="s">
        <v>118</v>
      </c>
      <c r="V863" t="s">
        <v>49</v>
      </c>
      <c r="W863" t="s">
        <v>714</v>
      </c>
      <c r="X863" t="s">
        <v>388</v>
      </c>
      <c r="Y863" t="s">
        <v>1386</v>
      </c>
      <c r="Z863" t="s">
        <v>1386</v>
      </c>
      <c r="AA863" t="s">
        <v>558</v>
      </c>
      <c r="AB863" s="3">
        <f t="shared" si="109"/>
        <v>6.0000000000000284</v>
      </c>
      <c r="AC863">
        <v>426.41</v>
      </c>
      <c r="AD863" s="2">
        <v>71.068333333333001</v>
      </c>
      <c r="AE863" s="2">
        <v>65.98</v>
      </c>
      <c r="AF863" s="2">
        <v>3.2</v>
      </c>
      <c r="AG863" s="2">
        <v>495.42</v>
      </c>
      <c r="AH863">
        <v>0</v>
      </c>
      <c r="AI863">
        <v>82.57</v>
      </c>
      <c r="AJ863">
        <v>2.4771000000000001</v>
      </c>
      <c r="AK863" t="s">
        <v>54</v>
      </c>
      <c r="AL863">
        <v>2.73</v>
      </c>
      <c r="AM863" s="4">
        <f t="shared" si="110"/>
        <v>82.569999999999609</v>
      </c>
      <c r="AN863" s="4">
        <f t="shared" si="111"/>
        <v>133.25312499999939</v>
      </c>
      <c r="AO863" s="4">
        <f t="shared" si="112"/>
        <v>148.04422187499932</v>
      </c>
      <c r="AP863" s="4">
        <f t="shared" si="113"/>
        <v>215.85673718749899</v>
      </c>
      <c r="AQ863" s="10">
        <f t="shared" si="106"/>
        <v>143.59748699999932</v>
      </c>
      <c r="AR863" s="10">
        <f t="shared" si="107"/>
        <v>159.55116780569924</v>
      </c>
      <c r="AS863" s="10">
        <f t="shared" si="108"/>
        <v>223.55256776159894</v>
      </c>
    </row>
    <row r="864" spans="1:45" x14ac:dyDescent="0.3">
      <c r="A864">
        <v>2025</v>
      </c>
      <c r="B864">
        <v>12</v>
      </c>
      <c r="C864" t="s">
        <v>55</v>
      </c>
      <c r="D864">
        <v>10</v>
      </c>
      <c r="E864" t="s">
        <v>36</v>
      </c>
      <c r="F864" t="s">
        <v>37</v>
      </c>
      <c r="G864" t="s">
        <v>38</v>
      </c>
      <c r="H864" t="s">
        <v>78</v>
      </c>
      <c r="I864" t="s">
        <v>57</v>
      </c>
      <c r="J864" t="s">
        <v>58</v>
      </c>
      <c r="K864" t="s">
        <v>59</v>
      </c>
      <c r="L864" t="s">
        <v>1769</v>
      </c>
      <c r="M864" t="s">
        <v>1770</v>
      </c>
      <c r="N864" t="s">
        <v>1771</v>
      </c>
      <c r="O864" t="s">
        <v>1197</v>
      </c>
      <c r="Q864" t="s">
        <v>62</v>
      </c>
      <c r="R864" t="s">
        <v>1772</v>
      </c>
      <c r="S864" t="s">
        <v>1772</v>
      </c>
      <c r="T864" t="s">
        <v>47</v>
      </c>
      <c r="U864" t="s">
        <v>118</v>
      </c>
      <c r="V864" t="s">
        <v>49</v>
      </c>
      <c r="W864" t="s">
        <v>714</v>
      </c>
      <c r="X864" t="s">
        <v>51</v>
      </c>
      <c r="Y864" t="s">
        <v>1524</v>
      </c>
      <c r="Z864" t="s">
        <v>1524</v>
      </c>
      <c r="AA864" t="s">
        <v>1525</v>
      </c>
      <c r="AB864" s="3">
        <f t="shared" si="109"/>
        <v>5.9999999999998419</v>
      </c>
      <c r="AC864">
        <v>760.81</v>
      </c>
      <c r="AD864" s="2">
        <v>126.80166666667</v>
      </c>
      <c r="AE864" s="2">
        <v>276.62</v>
      </c>
      <c r="AF864" s="2">
        <v>6.37</v>
      </c>
      <c r="AG864" s="2">
        <v>1043.8</v>
      </c>
      <c r="AH864">
        <v>0</v>
      </c>
      <c r="AI864">
        <v>173.96666666666999</v>
      </c>
      <c r="AJ864">
        <v>5.2190000000000003</v>
      </c>
      <c r="AK864" t="s">
        <v>54</v>
      </c>
      <c r="AL864">
        <v>13.35</v>
      </c>
      <c r="AM864" s="4">
        <f t="shared" si="110"/>
        <v>173.96666666667124</v>
      </c>
      <c r="AN864" s="4">
        <f t="shared" si="111"/>
        <v>237.75312500000626</v>
      </c>
      <c r="AO864" s="4">
        <f t="shared" si="112"/>
        <v>264.14372187500697</v>
      </c>
      <c r="AP864" s="4">
        <f t="shared" si="113"/>
        <v>385.13628718751011</v>
      </c>
      <c r="AQ864" s="10">
        <f t="shared" si="106"/>
        <v>302.54543000000797</v>
      </c>
      <c r="AR864" s="10">
        <f t="shared" si="107"/>
        <v>336.15822727300883</v>
      </c>
      <c r="AS864" s="10">
        <f t="shared" si="108"/>
        <v>471.0027254240124</v>
      </c>
    </row>
    <row r="865" spans="1:45" x14ac:dyDescent="0.3">
      <c r="A865">
        <v>2025</v>
      </c>
      <c r="B865">
        <v>12</v>
      </c>
      <c r="C865" t="s">
        <v>55</v>
      </c>
      <c r="D865">
        <v>10</v>
      </c>
      <c r="E865" t="s">
        <v>36</v>
      </c>
      <c r="F865" t="s">
        <v>37</v>
      </c>
      <c r="G865" t="s">
        <v>38</v>
      </c>
      <c r="H865" t="s">
        <v>78</v>
      </c>
      <c r="I865" t="s">
        <v>57</v>
      </c>
      <c r="J865" t="s">
        <v>58</v>
      </c>
      <c r="K865" t="s">
        <v>59</v>
      </c>
      <c r="L865" t="s">
        <v>1769</v>
      </c>
      <c r="M865" t="s">
        <v>1770</v>
      </c>
      <c r="N865" t="s">
        <v>1771</v>
      </c>
      <c r="O865" t="s">
        <v>1197</v>
      </c>
      <c r="Q865" t="s">
        <v>62</v>
      </c>
      <c r="R865" t="s">
        <v>1772</v>
      </c>
      <c r="S865" t="s">
        <v>1772</v>
      </c>
      <c r="T865" t="s">
        <v>47</v>
      </c>
      <c r="U865" t="s">
        <v>118</v>
      </c>
      <c r="V865" t="s">
        <v>49</v>
      </c>
      <c r="W865" t="s">
        <v>714</v>
      </c>
      <c r="X865" t="s">
        <v>51</v>
      </c>
      <c r="Y865" t="s">
        <v>1524</v>
      </c>
      <c r="Z865" t="s">
        <v>1524</v>
      </c>
      <c r="AA865" t="s">
        <v>1525</v>
      </c>
      <c r="AB865" s="3">
        <f t="shared" si="109"/>
        <v>3.0000000000000768</v>
      </c>
      <c r="AC865">
        <v>391.75</v>
      </c>
      <c r="AD865" s="2">
        <v>130.58333333332999</v>
      </c>
      <c r="AE865" s="2">
        <v>116.3</v>
      </c>
      <c r="AF865" s="2">
        <v>2.94</v>
      </c>
      <c r="AG865" s="2">
        <v>510.99</v>
      </c>
      <c r="AH865">
        <v>0</v>
      </c>
      <c r="AI865">
        <v>170.33</v>
      </c>
      <c r="AJ865">
        <v>2.5549499999999998</v>
      </c>
      <c r="AK865" t="s">
        <v>54</v>
      </c>
      <c r="AL865">
        <v>2.91</v>
      </c>
      <c r="AM865" s="4">
        <f t="shared" si="110"/>
        <v>170.32999999999564</v>
      </c>
      <c r="AN865" s="4">
        <f t="shared" si="111"/>
        <v>244.84374999999372</v>
      </c>
      <c r="AO865" s="4">
        <f t="shared" si="112"/>
        <v>272.02140624999299</v>
      </c>
      <c r="AP865" s="4">
        <f t="shared" si="113"/>
        <v>396.62239062498981</v>
      </c>
      <c r="AQ865" s="10">
        <f t="shared" si="106"/>
        <v>296.2209029999924</v>
      </c>
      <c r="AR865" s="10">
        <f t="shared" si="107"/>
        <v>329.13104532329157</v>
      </c>
      <c r="AS865" s="10">
        <f t="shared" si="108"/>
        <v>461.15670179038818</v>
      </c>
    </row>
    <row r="866" spans="1:45" x14ac:dyDescent="0.3">
      <c r="A866">
        <v>2025</v>
      </c>
      <c r="B866">
        <v>12</v>
      </c>
      <c r="C866" t="s">
        <v>55</v>
      </c>
      <c r="D866">
        <v>10</v>
      </c>
      <c r="E866" t="s">
        <v>36</v>
      </c>
      <c r="F866" t="s">
        <v>37</v>
      </c>
      <c r="G866" t="s">
        <v>38</v>
      </c>
      <c r="H866" t="s">
        <v>78</v>
      </c>
      <c r="I866" t="s">
        <v>57</v>
      </c>
      <c r="J866" t="s">
        <v>58</v>
      </c>
      <c r="K866" t="s">
        <v>59</v>
      </c>
      <c r="L866" t="s">
        <v>1769</v>
      </c>
      <c r="M866" t="s">
        <v>1770</v>
      </c>
      <c r="N866" t="s">
        <v>1771</v>
      </c>
      <c r="O866" t="s">
        <v>1197</v>
      </c>
      <c r="Q866" t="s">
        <v>62</v>
      </c>
      <c r="R866" t="s">
        <v>1772</v>
      </c>
      <c r="S866" t="s">
        <v>1772</v>
      </c>
      <c r="T866" t="s">
        <v>47</v>
      </c>
      <c r="U866" t="s">
        <v>118</v>
      </c>
      <c r="V866" t="s">
        <v>49</v>
      </c>
      <c r="W866" t="s">
        <v>714</v>
      </c>
      <c r="X866" t="s">
        <v>51</v>
      </c>
      <c r="Y866" t="s">
        <v>1524</v>
      </c>
      <c r="Z866" t="s">
        <v>1524</v>
      </c>
      <c r="AA866" t="s">
        <v>1525</v>
      </c>
      <c r="AB866" s="3">
        <f t="shared" si="109"/>
        <v>1</v>
      </c>
      <c r="AC866">
        <v>130.58000000000001</v>
      </c>
      <c r="AD866" s="2">
        <v>130.58000000000001</v>
      </c>
      <c r="AE866" s="2">
        <v>38.770000000000003</v>
      </c>
      <c r="AF866" s="2">
        <v>0.98</v>
      </c>
      <c r="AG866" s="2">
        <v>170.33</v>
      </c>
      <c r="AH866">
        <v>0</v>
      </c>
      <c r="AI866">
        <v>170.33</v>
      </c>
      <c r="AJ866">
        <v>0.85165000000000002</v>
      </c>
      <c r="AK866" t="s">
        <v>54</v>
      </c>
      <c r="AL866">
        <v>0.97</v>
      </c>
      <c r="AM866" s="4">
        <f t="shared" si="110"/>
        <v>170.33</v>
      </c>
      <c r="AN866" s="4">
        <f t="shared" si="111"/>
        <v>244.83750000000003</v>
      </c>
      <c r="AO866" s="4">
        <f t="shared" si="112"/>
        <v>272.01446250000004</v>
      </c>
      <c r="AP866" s="4">
        <f t="shared" si="113"/>
        <v>396.61226625</v>
      </c>
      <c r="AQ866" s="10">
        <f t="shared" ref="AQ866:AQ929" si="114">SUM(AM866)*1.7391</f>
        <v>296.22090300000002</v>
      </c>
      <c r="AR866" s="10">
        <f t="shared" ref="AR866:AR929" si="115">SUM(AQ866)*1.1111</f>
        <v>329.13104532330004</v>
      </c>
      <c r="AS866" s="10">
        <f t="shared" ref="AS866:AS929" si="116">SUM(AQ866)*1.5568</f>
        <v>461.15670179040001</v>
      </c>
    </row>
    <row r="867" spans="1:45" x14ac:dyDescent="0.3">
      <c r="A867">
        <v>2025</v>
      </c>
      <c r="B867">
        <v>3</v>
      </c>
      <c r="C867" t="s">
        <v>55</v>
      </c>
      <c r="D867">
        <v>10</v>
      </c>
      <c r="E867" t="s">
        <v>36</v>
      </c>
      <c r="F867" t="s">
        <v>37</v>
      </c>
      <c r="G867" t="s">
        <v>38</v>
      </c>
      <c r="H867" t="s">
        <v>78</v>
      </c>
      <c r="I867" t="s">
        <v>190</v>
      </c>
      <c r="J867" t="s">
        <v>58</v>
      </c>
      <c r="K867" t="s">
        <v>59</v>
      </c>
      <c r="M867" t="s">
        <v>209</v>
      </c>
      <c r="N867" t="s">
        <v>61</v>
      </c>
      <c r="O867" t="s">
        <v>43</v>
      </c>
      <c r="Q867" t="s">
        <v>62</v>
      </c>
      <c r="R867" t="s">
        <v>210</v>
      </c>
      <c r="S867" t="s">
        <v>211</v>
      </c>
      <c r="T867" t="s">
        <v>47</v>
      </c>
      <c r="U867" t="s">
        <v>118</v>
      </c>
      <c r="V867" t="s">
        <v>49</v>
      </c>
      <c r="W867" t="s">
        <v>119</v>
      </c>
      <c r="X867" t="s">
        <v>51</v>
      </c>
      <c r="Y867" t="s">
        <v>1524</v>
      </c>
      <c r="Z867" t="s">
        <v>1524</v>
      </c>
      <c r="AA867" t="s">
        <v>1525</v>
      </c>
      <c r="AB867" s="3">
        <f t="shared" si="109"/>
        <v>6.0000000000001537</v>
      </c>
      <c r="AC867">
        <v>783.5</v>
      </c>
      <c r="AD867" s="2">
        <v>130.58333333332999</v>
      </c>
      <c r="AE867" s="2">
        <v>232.59</v>
      </c>
      <c r="AF867" s="2">
        <v>5.88</v>
      </c>
      <c r="AG867" s="2">
        <v>1021.97</v>
      </c>
      <c r="AH867">
        <v>0</v>
      </c>
      <c r="AI867">
        <v>170.32833333332999</v>
      </c>
      <c r="AJ867">
        <v>5.1098499999999998</v>
      </c>
      <c r="AK867" t="s">
        <v>54</v>
      </c>
      <c r="AL867">
        <v>5.82</v>
      </c>
      <c r="AM867" s="4">
        <f t="shared" si="110"/>
        <v>170.32833333332897</v>
      </c>
      <c r="AN867" s="4">
        <f t="shared" si="111"/>
        <v>244.84374999999372</v>
      </c>
      <c r="AO867" s="4">
        <f t="shared" si="112"/>
        <v>272.02140624999299</v>
      </c>
      <c r="AP867" s="4">
        <f t="shared" si="113"/>
        <v>396.62239062498981</v>
      </c>
      <c r="AQ867" s="10">
        <f t="shared" si="114"/>
        <v>296.21800449999245</v>
      </c>
      <c r="AR867" s="10">
        <f t="shared" si="115"/>
        <v>329.12782479994161</v>
      </c>
      <c r="AS867" s="10">
        <f t="shared" si="116"/>
        <v>461.15218940558822</v>
      </c>
    </row>
    <row r="868" spans="1:45" x14ac:dyDescent="0.3">
      <c r="A868">
        <v>2025</v>
      </c>
      <c r="B868">
        <v>9</v>
      </c>
      <c r="C868" t="s">
        <v>55</v>
      </c>
      <c r="D868">
        <v>10</v>
      </c>
      <c r="E868" t="s">
        <v>36</v>
      </c>
      <c r="F868" t="s">
        <v>37</v>
      </c>
      <c r="G868" t="s">
        <v>38</v>
      </c>
      <c r="H868" t="s">
        <v>78</v>
      </c>
      <c r="I868" t="s">
        <v>375</v>
      </c>
      <c r="J868" t="s">
        <v>376</v>
      </c>
      <c r="K868" t="s">
        <v>41</v>
      </c>
      <c r="L868" t="s">
        <v>1503</v>
      </c>
      <c r="M868" t="s">
        <v>1504</v>
      </c>
      <c r="N868" t="s">
        <v>377</v>
      </c>
      <c r="O868" t="s">
        <v>1197</v>
      </c>
      <c r="Q868" t="s">
        <v>62</v>
      </c>
      <c r="R868" t="s">
        <v>1505</v>
      </c>
      <c r="S868" t="s">
        <v>1505</v>
      </c>
      <c r="T868" t="s">
        <v>47</v>
      </c>
      <c r="U868" t="s">
        <v>118</v>
      </c>
      <c r="V868" t="s">
        <v>49</v>
      </c>
      <c r="W868" t="s">
        <v>714</v>
      </c>
      <c r="X868" t="s">
        <v>388</v>
      </c>
      <c r="Y868" t="s">
        <v>116</v>
      </c>
      <c r="Z868" t="s">
        <v>64</v>
      </c>
      <c r="AA868" t="s">
        <v>319</v>
      </c>
      <c r="AB868" s="3">
        <f t="shared" si="109"/>
        <v>5</v>
      </c>
      <c r="AC868">
        <v>1035.1600000000001</v>
      </c>
      <c r="AD868" s="2">
        <v>207.03200000000001</v>
      </c>
      <c r="AE868" s="2">
        <v>231.22</v>
      </c>
      <c r="AF868" s="2">
        <v>7.58</v>
      </c>
      <c r="AG868" s="2">
        <v>1273.97</v>
      </c>
      <c r="AH868">
        <v>0</v>
      </c>
      <c r="AI868">
        <v>254.79400000000001</v>
      </c>
      <c r="AJ868">
        <v>6.3698499999999996</v>
      </c>
      <c r="AK868" t="s">
        <v>54</v>
      </c>
      <c r="AL868">
        <v>11.01</v>
      </c>
      <c r="AM868" s="4">
        <f t="shared" si="110"/>
        <v>254.79400000000001</v>
      </c>
      <c r="AN868" s="4">
        <f t="shared" si="111"/>
        <v>388.185</v>
      </c>
      <c r="AO868" s="4">
        <f t="shared" si="112"/>
        <v>431.27353499999998</v>
      </c>
      <c r="AP868" s="4">
        <f t="shared" si="113"/>
        <v>628.82088149999993</v>
      </c>
      <c r="AQ868" s="10">
        <f t="shared" si="114"/>
        <v>443.11224540000006</v>
      </c>
      <c r="AR868" s="10">
        <f t="shared" si="115"/>
        <v>492.34201586394005</v>
      </c>
      <c r="AS868" s="10">
        <f t="shared" si="116"/>
        <v>689.83714363872014</v>
      </c>
    </row>
    <row r="869" spans="1:45" x14ac:dyDescent="0.3">
      <c r="A869">
        <v>2025</v>
      </c>
      <c r="B869">
        <v>9</v>
      </c>
      <c r="C869" t="s">
        <v>55</v>
      </c>
      <c r="D869">
        <v>10</v>
      </c>
      <c r="E869" t="s">
        <v>36</v>
      </c>
      <c r="F869" t="s">
        <v>37</v>
      </c>
      <c r="G869" t="s">
        <v>38</v>
      </c>
      <c r="H869" t="s">
        <v>78</v>
      </c>
      <c r="I869" t="s">
        <v>375</v>
      </c>
      <c r="J869" t="s">
        <v>376</v>
      </c>
      <c r="K869" t="s">
        <v>59</v>
      </c>
      <c r="L869" t="s">
        <v>1483</v>
      </c>
      <c r="M869" t="s">
        <v>1484</v>
      </c>
      <c r="N869" t="s">
        <v>1485</v>
      </c>
      <c r="O869" t="s">
        <v>1197</v>
      </c>
      <c r="Q869" t="s">
        <v>62</v>
      </c>
      <c r="R869" t="s">
        <v>1486</v>
      </c>
      <c r="S869" t="s">
        <v>1486</v>
      </c>
      <c r="T869" t="s">
        <v>47</v>
      </c>
      <c r="U869" t="s">
        <v>118</v>
      </c>
      <c r="V869" t="s">
        <v>49</v>
      </c>
      <c r="W869" t="s">
        <v>714</v>
      </c>
      <c r="X869" t="s">
        <v>51</v>
      </c>
      <c r="Y869" t="s">
        <v>1513</v>
      </c>
      <c r="Z869" t="s">
        <v>1513</v>
      </c>
      <c r="AA869" t="s">
        <v>319</v>
      </c>
      <c r="AB869" s="3">
        <f t="shared" si="109"/>
        <v>6.0000000000001235</v>
      </c>
      <c r="AC869">
        <v>975.23</v>
      </c>
      <c r="AD869" s="2">
        <v>162.53833333333</v>
      </c>
      <c r="AE869" s="2">
        <v>354.61</v>
      </c>
      <c r="AF869" s="2">
        <v>8.16</v>
      </c>
      <c r="AG869" s="2">
        <v>1338</v>
      </c>
      <c r="AH869">
        <v>0</v>
      </c>
      <c r="AI869">
        <v>223</v>
      </c>
      <c r="AJ869">
        <v>6.69</v>
      </c>
      <c r="AK869" t="s">
        <v>54</v>
      </c>
      <c r="AL869">
        <v>13.35</v>
      </c>
      <c r="AM869" s="4">
        <f t="shared" si="110"/>
        <v>222.99999999999542</v>
      </c>
      <c r="AN869" s="4">
        <f t="shared" si="111"/>
        <v>304.75937499999372</v>
      </c>
      <c r="AO869" s="4">
        <f t="shared" si="112"/>
        <v>338.58766562499301</v>
      </c>
      <c r="AP869" s="4">
        <f t="shared" si="113"/>
        <v>493.67971156248979</v>
      </c>
      <c r="AQ869" s="10">
        <f t="shared" si="114"/>
        <v>387.81929999999204</v>
      </c>
      <c r="AR869" s="10">
        <f t="shared" si="115"/>
        <v>430.90602422999115</v>
      </c>
      <c r="AS869" s="10">
        <f t="shared" si="116"/>
        <v>603.75708623998764</v>
      </c>
    </row>
    <row r="870" spans="1:45" x14ac:dyDescent="0.3">
      <c r="A870">
        <v>2025</v>
      </c>
      <c r="B870">
        <v>3</v>
      </c>
      <c r="C870" t="s">
        <v>55</v>
      </c>
      <c r="D870">
        <v>10</v>
      </c>
      <c r="E870" t="s">
        <v>36</v>
      </c>
      <c r="F870" t="s">
        <v>37</v>
      </c>
      <c r="G870" t="s">
        <v>38</v>
      </c>
      <c r="H870" t="s">
        <v>78</v>
      </c>
      <c r="I870" t="s">
        <v>190</v>
      </c>
      <c r="J870" t="s">
        <v>58</v>
      </c>
      <c r="K870" t="s">
        <v>59</v>
      </c>
      <c r="M870" t="s">
        <v>209</v>
      </c>
      <c r="N870" t="s">
        <v>61</v>
      </c>
      <c r="O870" t="s">
        <v>43</v>
      </c>
      <c r="Q870" t="s">
        <v>62</v>
      </c>
      <c r="R870" t="s">
        <v>210</v>
      </c>
      <c r="S870" t="s">
        <v>211</v>
      </c>
      <c r="T870" t="s">
        <v>47</v>
      </c>
      <c r="U870" t="s">
        <v>118</v>
      </c>
      <c r="V870" t="s">
        <v>49</v>
      </c>
      <c r="W870" t="s">
        <v>119</v>
      </c>
      <c r="X870" t="s">
        <v>51</v>
      </c>
      <c r="Y870" t="s">
        <v>1517</v>
      </c>
      <c r="Z870" t="s">
        <v>1517</v>
      </c>
      <c r="AA870" t="s">
        <v>319</v>
      </c>
      <c r="AB870" s="3">
        <f t="shared" si="109"/>
        <v>9.9999999999999982</v>
      </c>
      <c r="AC870">
        <v>1634.6</v>
      </c>
      <c r="AD870" s="2">
        <v>163.46</v>
      </c>
      <c r="AE870" s="2">
        <v>253.29</v>
      </c>
      <c r="AF870" s="2">
        <v>11.58</v>
      </c>
      <c r="AG870" s="2">
        <v>1899.47</v>
      </c>
      <c r="AH870">
        <v>0</v>
      </c>
      <c r="AI870">
        <v>189.947</v>
      </c>
      <c r="AJ870">
        <v>9.4973500000000008</v>
      </c>
      <c r="AK870" t="s">
        <v>54</v>
      </c>
      <c r="AL870">
        <v>10.48</v>
      </c>
      <c r="AM870" s="4">
        <f t="shared" si="110"/>
        <v>189.94700000000003</v>
      </c>
      <c r="AN870" s="4">
        <f t="shared" si="111"/>
        <v>306.48750000000001</v>
      </c>
      <c r="AO870" s="4">
        <f t="shared" si="112"/>
        <v>340.50761249999999</v>
      </c>
      <c r="AP870" s="4">
        <f t="shared" si="113"/>
        <v>496.47910124999999</v>
      </c>
      <c r="AQ870" s="10">
        <f t="shared" si="114"/>
        <v>330.33682770000007</v>
      </c>
      <c r="AR870" s="10">
        <f t="shared" si="115"/>
        <v>367.03724925747008</v>
      </c>
      <c r="AS870" s="10">
        <f t="shared" si="116"/>
        <v>514.26837336336007</v>
      </c>
    </row>
    <row r="871" spans="1:45" x14ac:dyDescent="0.3">
      <c r="A871">
        <v>2025</v>
      </c>
      <c r="B871">
        <v>8</v>
      </c>
      <c r="C871" t="s">
        <v>55</v>
      </c>
      <c r="D871">
        <v>10</v>
      </c>
      <c r="E871" t="s">
        <v>36</v>
      </c>
      <c r="F871" t="s">
        <v>37</v>
      </c>
      <c r="G871" t="s">
        <v>38</v>
      </c>
      <c r="H871" t="s">
        <v>78</v>
      </c>
      <c r="I871" t="s">
        <v>190</v>
      </c>
      <c r="J871" t="s">
        <v>58</v>
      </c>
      <c r="K871" t="s">
        <v>59</v>
      </c>
      <c r="L871" t="s">
        <v>1194</v>
      </c>
      <c r="M871" t="s">
        <v>1195</v>
      </c>
      <c r="N871" t="s">
        <v>1196</v>
      </c>
      <c r="O871" t="s">
        <v>1197</v>
      </c>
      <c r="Q871" t="s">
        <v>62</v>
      </c>
      <c r="R871" t="s">
        <v>1198</v>
      </c>
      <c r="S871" t="s">
        <v>1198</v>
      </c>
      <c r="T871" t="s">
        <v>47</v>
      </c>
      <c r="U871" t="s">
        <v>118</v>
      </c>
      <c r="V871" t="s">
        <v>49</v>
      </c>
      <c r="W871" t="s">
        <v>714</v>
      </c>
      <c r="X871" t="s">
        <v>388</v>
      </c>
      <c r="Y871" t="s">
        <v>317</v>
      </c>
      <c r="Z871" t="s">
        <v>64</v>
      </c>
      <c r="AA871" t="s">
        <v>318</v>
      </c>
      <c r="AB871" s="3">
        <f t="shared" si="109"/>
        <v>4.9999999999999991</v>
      </c>
      <c r="AC871">
        <v>540.78</v>
      </c>
      <c r="AD871" s="2">
        <v>108.15600000000001</v>
      </c>
      <c r="AE871" s="2">
        <v>120.79</v>
      </c>
      <c r="AF871" s="2">
        <v>3.96</v>
      </c>
      <c r="AG871" s="2">
        <v>665.53</v>
      </c>
      <c r="AH871">
        <v>0</v>
      </c>
      <c r="AI871">
        <v>133.10599999999999</v>
      </c>
      <c r="AJ871">
        <v>3.3276500000000002</v>
      </c>
      <c r="AK871" t="s">
        <v>54</v>
      </c>
      <c r="AL871">
        <v>11.01</v>
      </c>
      <c r="AM871" s="4">
        <f t="shared" si="110"/>
        <v>133.10600000000002</v>
      </c>
      <c r="AN871" s="4">
        <f t="shared" si="111"/>
        <v>202.79250000000002</v>
      </c>
      <c r="AO871" s="4">
        <f t="shared" si="112"/>
        <v>225.30246750000001</v>
      </c>
      <c r="AP871" s="4">
        <f t="shared" si="113"/>
        <v>328.50357074999999</v>
      </c>
      <c r="AQ871" s="10">
        <f t="shared" si="114"/>
        <v>231.48464460000005</v>
      </c>
      <c r="AR871" s="10">
        <f t="shared" si="115"/>
        <v>257.20258861506005</v>
      </c>
      <c r="AS871" s="10">
        <f t="shared" si="116"/>
        <v>360.37529471328008</v>
      </c>
    </row>
    <row r="872" spans="1:45" x14ac:dyDescent="0.3">
      <c r="A872">
        <v>2025</v>
      </c>
      <c r="B872">
        <v>9</v>
      </c>
      <c r="C872" t="s">
        <v>55</v>
      </c>
      <c r="D872">
        <v>10</v>
      </c>
      <c r="E872" t="s">
        <v>36</v>
      </c>
      <c r="F872" t="s">
        <v>37</v>
      </c>
      <c r="G872" t="s">
        <v>38</v>
      </c>
      <c r="H872" t="s">
        <v>78</v>
      </c>
      <c r="I872" t="s">
        <v>375</v>
      </c>
      <c r="J872" t="s">
        <v>376</v>
      </c>
      <c r="K872" t="s">
        <v>41</v>
      </c>
      <c r="L872" t="s">
        <v>1503</v>
      </c>
      <c r="M872" t="s">
        <v>1504</v>
      </c>
      <c r="N872" t="s">
        <v>377</v>
      </c>
      <c r="O872" t="s">
        <v>1197</v>
      </c>
      <c r="Q872" t="s">
        <v>62</v>
      </c>
      <c r="R872" t="s">
        <v>1505</v>
      </c>
      <c r="S872" t="s">
        <v>1505</v>
      </c>
      <c r="T872" t="s">
        <v>47</v>
      </c>
      <c r="U872" t="s">
        <v>118</v>
      </c>
      <c r="V872" t="s">
        <v>49</v>
      </c>
      <c r="W872" t="s">
        <v>714</v>
      </c>
      <c r="X872" t="s">
        <v>388</v>
      </c>
      <c r="Y872" t="s">
        <v>1333</v>
      </c>
      <c r="Z872" t="s">
        <v>1333</v>
      </c>
      <c r="AA872" t="s">
        <v>318</v>
      </c>
      <c r="AB872" s="3">
        <f t="shared" si="109"/>
        <v>8</v>
      </c>
      <c r="AC872">
        <v>718.5</v>
      </c>
      <c r="AD872" s="2">
        <v>89.8125</v>
      </c>
      <c r="AE872" s="2">
        <v>51.49</v>
      </c>
      <c r="AF872" s="2">
        <v>4.6500000000000004</v>
      </c>
      <c r="AG872" s="2">
        <v>774.64</v>
      </c>
      <c r="AH872">
        <v>0</v>
      </c>
      <c r="AI872">
        <v>96.83</v>
      </c>
      <c r="AJ872">
        <v>3.8732000000000002</v>
      </c>
      <c r="AK872" t="s">
        <v>54</v>
      </c>
      <c r="AL872">
        <v>6.5</v>
      </c>
      <c r="AM872" s="4">
        <f t="shared" si="110"/>
        <v>96.83</v>
      </c>
      <c r="AN872" s="4">
        <f t="shared" si="111"/>
        <v>168.3984375</v>
      </c>
      <c r="AO872" s="4">
        <f t="shared" si="112"/>
        <v>187.0906640625</v>
      </c>
      <c r="AP872" s="4">
        <f t="shared" si="113"/>
        <v>272.78862890624998</v>
      </c>
      <c r="AQ872" s="10">
        <f t="shared" si="114"/>
        <v>168.397053</v>
      </c>
      <c r="AR872" s="10">
        <f t="shared" si="115"/>
        <v>187.10596558829999</v>
      </c>
      <c r="AS872" s="10">
        <f t="shared" si="116"/>
        <v>262.16053211039997</v>
      </c>
    </row>
    <row r="873" spans="1:45" x14ac:dyDescent="0.3">
      <c r="A873">
        <v>2025</v>
      </c>
      <c r="B873">
        <v>1</v>
      </c>
      <c r="C873" t="s">
        <v>55</v>
      </c>
      <c r="D873">
        <v>10</v>
      </c>
      <c r="E873" t="s">
        <v>36</v>
      </c>
      <c r="F873" t="s">
        <v>37</v>
      </c>
      <c r="G873" t="s">
        <v>38</v>
      </c>
      <c r="H873" t="s">
        <v>78</v>
      </c>
      <c r="I873" t="s">
        <v>57</v>
      </c>
      <c r="J873" t="s">
        <v>58</v>
      </c>
      <c r="K873" t="s">
        <v>59</v>
      </c>
      <c r="M873" t="s">
        <v>60</v>
      </c>
      <c r="N873" t="s">
        <v>61</v>
      </c>
      <c r="O873" t="s">
        <v>43</v>
      </c>
      <c r="Q873" t="s">
        <v>62</v>
      </c>
      <c r="R873" t="s">
        <v>63</v>
      </c>
      <c r="S873" t="s">
        <v>63</v>
      </c>
      <c r="T873" t="s">
        <v>47</v>
      </c>
      <c r="U873" t="s">
        <v>118</v>
      </c>
      <c r="V873" t="s">
        <v>49</v>
      </c>
      <c r="W873" t="s">
        <v>119</v>
      </c>
      <c r="X873" t="s">
        <v>51</v>
      </c>
      <c r="Y873" t="s">
        <v>1526</v>
      </c>
      <c r="Z873" t="s">
        <v>1526</v>
      </c>
      <c r="AA873" t="s">
        <v>318</v>
      </c>
      <c r="AB873" s="3">
        <f t="shared" si="109"/>
        <v>5</v>
      </c>
      <c r="AC873">
        <v>439.51</v>
      </c>
      <c r="AD873" s="2">
        <v>87.902000000000001</v>
      </c>
      <c r="AE873" s="2">
        <v>159.81</v>
      </c>
      <c r="AF873" s="2">
        <v>3.68</v>
      </c>
      <c r="AG873" s="2">
        <v>603.1</v>
      </c>
      <c r="AH873">
        <v>0</v>
      </c>
      <c r="AI873">
        <v>120.62</v>
      </c>
      <c r="AJ873">
        <v>3.0154999999999998</v>
      </c>
      <c r="AK873" t="s">
        <v>54</v>
      </c>
      <c r="AL873">
        <v>11.12</v>
      </c>
      <c r="AM873" s="4">
        <f t="shared" si="110"/>
        <v>120.62</v>
      </c>
      <c r="AN873" s="4">
        <f t="shared" si="111"/>
        <v>164.81625</v>
      </c>
      <c r="AO873" s="4">
        <f t="shared" si="112"/>
        <v>183.11085374999999</v>
      </c>
      <c r="AP873" s="4">
        <f t="shared" si="113"/>
        <v>266.985843375</v>
      </c>
      <c r="AQ873" s="10">
        <f t="shared" si="114"/>
        <v>209.77024200000002</v>
      </c>
      <c r="AR873" s="10">
        <f t="shared" si="115"/>
        <v>233.07571588620002</v>
      </c>
      <c r="AS873" s="10">
        <f t="shared" si="116"/>
        <v>326.57031274560001</v>
      </c>
    </row>
    <row r="874" spans="1:45" x14ac:dyDescent="0.3">
      <c r="A874">
        <v>2025</v>
      </c>
      <c r="B874">
        <v>3</v>
      </c>
      <c r="C874" t="s">
        <v>55</v>
      </c>
      <c r="D874">
        <v>10</v>
      </c>
      <c r="E874" t="s">
        <v>36</v>
      </c>
      <c r="F874" t="s">
        <v>37</v>
      </c>
      <c r="G874" t="s">
        <v>38</v>
      </c>
      <c r="H874" t="s">
        <v>78</v>
      </c>
      <c r="I874" t="s">
        <v>190</v>
      </c>
      <c r="J874" t="s">
        <v>58</v>
      </c>
      <c r="K874" t="s">
        <v>59</v>
      </c>
      <c r="M874" t="s">
        <v>209</v>
      </c>
      <c r="N874" t="s">
        <v>61</v>
      </c>
      <c r="O874" t="s">
        <v>43</v>
      </c>
      <c r="Q874" t="s">
        <v>62</v>
      </c>
      <c r="R874" t="s">
        <v>210</v>
      </c>
      <c r="S874" t="s">
        <v>211</v>
      </c>
      <c r="T874" t="s">
        <v>47</v>
      </c>
      <c r="U874" t="s">
        <v>118</v>
      </c>
      <c r="V874" t="s">
        <v>49</v>
      </c>
      <c r="W874" t="s">
        <v>119</v>
      </c>
      <c r="X874" t="s">
        <v>51</v>
      </c>
      <c r="Y874" t="s">
        <v>144</v>
      </c>
      <c r="Z874" t="s">
        <v>64</v>
      </c>
      <c r="AA874" t="s">
        <v>146</v>
      </c>
      <c r="AB874" s="3">
        <f t="shared" si="109"/>
        <v>8</v>
      </c>
      <c r="AC874">
        <v>1528.35</v>
      </c>
      <c r="AD874" s="2">
        <v>191.04374999999999</v>
      </c>
      <c r="AE874" s="2">
        <v>367.2</v>
      </c>
      <c r="AF874" s="2">
        <v>10.55</v>
      </c>
      <c r="AG874" s="2">
        <v>1906.1</v>
      </c>
      <c r="AH874">
        <v>0</v>
      </c>
      <c r="AI874">
        <v>238.26249999999999</v>
      </c>
      <c r="AJ874">
        <v>9.5305</v>
      </c>
      <c r="AK874" t="s">
        <v>54</v>
      </c>
      <c r="AL874">
        <v>24.04</v>
      </c>
      <c r="AM874" s="4">
        <f t="shared" si="110"/>
        <v>238.26249999999999</v>
      </c>
      <c r="AN874" s="4">
        <f t="shared" si="111"/>
        <v>358.20703125</v>
      </c>
      <c r="AO874" s="4">
        <f t="shared" si="112"/>
        <v>397.96801171875001</v>
      </c>
      <c r="AP874" s="4">
        <f t="shared" si="113"/>
        <v>580.25956992187491</v>
      </c>
      <c r="AQ874" s="10">
        <f t="shared" si="114"/>
        <v>414.36231375</v>
      </c>
      <c r="AR874" s="10">
        <f t="shared" si="115"/>
        <v>460.39796680762498</v>
      </c>
      <c r="AS874" s="10">
        <f t="shared" si="116"/>
        <v>645.07925004599997</v>
      </c>
    </row>
    <row r="875" spans="1:45" x14ac:dyDescent="0.3">
      <c r="A875">
        <v>2025</v>
      </c>
      <c r="B875">
        <v>3</v>
      </c>
      <c r="C875" t="s">
        <v>55</v>
      </c>
      <c r="D875">
        <v>10</v>
      </c>
      <c r="E875" t="s">
        <v>36</v>
      </c>
      <c r="F875" t="s">
        <v>37</v>
      </c>
      <c r="G875" t="s">
        <v>38</v>
      </c>
      <c r="H875" t="s">
        <v>78</v>
      </c>
      <c r="I875" t="s">
        <v>190</v>
      </c>
      <c r="J875" t="s">
        <v>58</v>
      </c>
      <c r="K875" t="s">
        <v>59</v>
      </c>
      <c r="M875" t="s">
        <v>213</v>
      </c>
      <c r="N875" t="s">
        <v>61</v>
      </c>
      <c r="O875" t="s">
        <v>43</v>
      </c>
      <c r="Q875" t="s">
        <v>62</v>
      </c>
      <c r="R875" t="s">
        <v>214</v>
      </c>
      <c r="S875" t="s">
        <v>215</v>
      </c>
      <c r="T875" t="s">
        <v>47</v>
      </c>
      <c r="U875" t="s">
        <v>118</v>
      </c>
      <c r="V875" t="s">
        <v>49</v>
      </c>
      <c r="W875" t="s">
        <v>119</v>
      </c>
      <c r="X875" t="s">
        <v>51</v>
      </c>
      <c r="Y875" t="s">
        <v>316</v>
      </c>
      <c r="Z875" t="s">
        <v>64</v>
      </c>
      <c r="AA875" t="s">
        <v>146</v>
      </c>
      <c r="AB875" s="3">
        <f t="shared" si="109"/>
        <v>10.000000000000002</v>
      </c>
      <c r="AC875">
        <v>1886.7</v>
      </c>
      <c r="AD875" s="2">
        <v>188.67</v>
      </c>
      <c r="AE875" s="2">
        <v>421.42</v>
      </c>
      <c r="AF875" s="2">
        <v>13.82</v>
      </c>
      <c r="AG875" s="2">
        <v>2321.94</v>
      </c>
      <c r="AH875">
        <v>0</v>
      </c>
      <c r="AI875">
        <v>232.19399999999999</v>
      </c>
      <c r="AJ875">
        <v>11.6097</v>
      </c>
      <c r="AK875" t="s">
        <v>54</v>
      </c>
      <c r="AL875">
        <v>22.02</v>
      </c>
      <c r="AM875" s="4">
        <f t="shared" si="110"/>
        <v>232.19399999999996</v>
      </c>
      <c r="AN875" s="4">
        <f t="shared" si="111"/>
        <v>353.75624999999997</v>
      </c>
      <c r="AO875" s="4">
        <f t="shared" si="112"/>
        <v>393.02319374999996</v>
      </c>
      <c r="AP875" s="4">
        <f t="shared" si="113"/>
        <v>573.04974937499992</v>
      </c>
      <c r="AQ875" s="10">
        <f t="shared" si="114"/>
        <v>403.80858539999997</v>
      </c>
      <c r="AR875" s="10">
        <f t="shared" si="115"/>
        <v>448.67171923793995</v>
      </c>
      <c r="AS875" s="10">
        <f t="shared" si="116"/>
        <v>628.64920575071994</v>
      </c>
    </row>
    <row r="876" spans="1:45" x14ac:dyDescent="0.3">
      <c r="A876">
        <v>2025</v>
      </c>
      <c r="B876">
        <v>3</v>
      </c>
      <c r="C876" t="s">
        <v>55</v>
      </c>
      <c r="D876">
        <v>10</v>
      </c>
      <c r="E876" t="s">
        <v>36</v>
      </c>
      <c r="F876" t="s">
        <v>37</v>
      </c>
      <c r="G876" t="s">
        <v>38</v>
      </c>
      <c r="H876" t="s">
        <v>78</v>
      </c>
      <c r="I876" t="s">
        <v>190</v>
      </c>
      <c r="J876" t="s">
        <v>58</v>
      </c>
      <c r="K876" t="s">
        <v>59</v>
      </c>
      <c r="M876" t="s">
        <v>209</v>
      </c>
      <c r="N876" t="s">
        <v>61</v>
      </c>
      <c r="O876" t="s">
        <v>43</v>
      </c>
      <c r="Q876" t="s">
        <v>62</v>
      </c>
      <c r="R876" t="s">
        <v>210</v>
      </c>
      <c r="S876" t="s">
        <v>211</v>
      </c>
      <c r="T876" t="s">
        <v>47</v>
      </c>
      <c r="U876" t="s">
        <v>118</v>
      </c>
      <c r="V876" t="s">
        <v>49</v>
      </c>
      <c r="W876" t="s">
        <v>119</v>
      </c>
      <c r="X876" t="s">
        <v>51</v>
      </c>
      <c r="Y876" t="s">
        <v>337</v>
      </c>
      <c r="Z876" t="s">
        <v>64</v>
      </c>
      <c r="AA876" t="s">
        <v>146</v>
      </c>
      <c r="AB876" s="3">
        <f t="shared" si="109"/>
        <v>10</v>
      </c>
      <c r="AC876">
        <v>1916.18</v>
      </c>
      <c r="AD876" s="2">
        <v>191.61799999999999</v>
      </c>
      <c r="AE876" s="2">
        <v>402.12</v>
      </c>
      <c r="AF876" s="2">
        <v>14.18</v>
      </c>
      <c r="AG876" s="2">
        <v>2332.4699999999998</v>
      </c>
      <c r="AH876">
        <v>0</v>
      </c>
      <c r="AI876">
        <v>233.24700000000001</v>
      </c>
      <c r="AJ876">
        <v>11.66235</v>
      </c>
      <c r="AK876" t="s">
        <v>54</v>
      </c>
      <c r="AL876">
        <v>19.440000000000001</v>
      </c>
      <c r="AM876" s="4">
        <f t="shared" si="110"/>
        <v>233.24699999999999</v>
      </c>
      <c r="AN876" s="4">
        <f t="shared" si="111"/>
        <v>359.28375</v>
      </c>
      <c r="AO876" s="4">
        <f t="shared" si="112"/>
        <v>399.16424625000002</v>
      </c>
      <c r="AP876" s="4">
        <f t="shared" si="113"/>
        <v>582.00374662499996</v>
      </c>
      <c r="AQ876" s="10">
        <f t="shared" si="114"/>
        <v>405.63985769999999</v>
      </c>
      <c r="AR876" s="10">
        <f t="shared" si="115"/>
        <v>450.70644589046998</v>
      </c>
      <c r="AS876" s="10">
        <f t="shared" si="116"/>
        <v>631.50013046736001</v>
      </c>
    </row>
    <row r="877" spans="1:45" x14ac:dyDescent="0.3">
      <c r="A877">
        <v>2025</v>
      </c>
      <c r="B877">
        <v>3</v>
      </c>
      <c r="C877" t="s">
        <v>55</v>
      </c>
      <c r="D877">
        <v>10</v>
      </c>
      <c r="E877" t="s">
        <v>36</v>
      </c>
      <c r="F877" t="s">
        <v>37</v>
      </c>
      <c r="G877" t="s">
        <v>38</v>
      </c>
      <c r="H877" t="s">
        <v>78</v>
      </c>
      <c r="I877" t="s">
        <v>190</v>
      </c>
      <c r="J877" t="s">
        <v>58</v>
      </c>
      <c r="K877" t="s">
        <v>59</v>
      </c>
      <c r="M877" t="s">
        <v>213</v>
      </c>
      <c r="N877" t="s">
        <v>61</v>
      </c>
      <c r="O877" t="s">
        <v>43</v>
      </c>
      <c r="Q877" t="s">
        <v>62</v>
      </c>
      <c r="R877" t="s">
        <v>214</v>
      </c>
      <c r="S877" t="s">
        <v>215</v>
      </c>
      <c r="T877" t="s">
        <v>47</v>
      </c>
      <c r="U877" t="s">
        <v>118</v>
      </c>
      <c r="V877" t="s">
        <v>49</v>
      </c>
      <c r="W877" t="s">
        <v>119</v>
      </c>
      <c r="X877" t="s">
        <v>51</v>
      </c>
      <c r="Y877" t="s">
        <v>109</v>
      </c>
      <c r="Z877" t="s">
        <v>64</v>
      </c>
      <c r="AA877" t="s">
        <v>315</v>
      </c>
      <c r="AB877" s="3">
        <f t="shared" si="109"/>
        <v>10</v>
      </c>
      <c r="AC877">
        <v>1626.29</v>
      </c>
      <c r="AD877" s="2">
        <v>162.62899999999999</v>
      </c>
      <c r="AE877" s="2">
        <v>363.26</v>
      </c>
      <c r="AF877" s="2">
        <v>11.92</v>
      </c>
      <c r="AG877" s="2">
        <v>2001.46</v>
      </c>
      <c r="AH877">
        <v>0</v>
      </c>
      <c r="AI877">
        <v>200.14599999999999</v>
      </c>
      <c r="AJ877">
        <v>10.007300000000001</v>
      </c>
      <c r="AK877" t="s">
        <v>54</v>
      </c>
      <c r="AL877">
        <v>22.02</v>
      </c>
      <c r="AM877" s="4">
        <f t="shared" si="110"/>
        <v>200.14600000000002</v>
      </c>
      <c r="AN877" s="4">
        <f t="shared" si="111"/>
        <v>304.92937499999999</v>
      </c>
      <c r="AO877" s="4">
        <f t="shared" si="112"/>
        <v>338.77653562500001</v>
      </c>
      <c r="AP877" s="4">
        <f t="shared" si="113"/>
        <v>493.95509456249994</v>
      </c>
      <c r="AQ877" s="10">
        <f t="shared" si="114"/>
        <v>348.07390860000004</v>
      </c>
      <c r="AR877" s="10">
        <f t="shared" si="115"/>
        <v>386.74491984546006</v>
      </c>
      <c r="AS877" s="10">
        <f t="shared" si="116"/>
        <v>541.88146090847999</v>
      </c>
    </row>
    <row r="878" spans="1:45" x14ac:dyDescent="0.3">
      <c r="A878">
        <v>2025</v>
      </c>
      <c r="B878">
        <v>4</v>
      </c>
      <c r="C878" t="s">
        <v>55</v>
      </c>
      <c r="D878">
        <v>10</v>
      </c>
      <c r="E878" t="s">
        <v>36</v>
      </c>
      <c r="F878" t="s">
        <v>37</v>
      </c>
      <c r="G878" t="s">
        <v>38</v>
      </c>
      <c r="H878" t="s">
        <v>78</v>
      </c>
      <c r="I878" t="s">
        <v>375</v>
      </c>
      <c r="J878" t="s">
        <v>376</v>
      </c>
      <c r="K878" t="s">
        <v>59</v>
      </c>
      <c r="M878">
        <v>2503061</v>
      </c>
      <c r="N878" t="s">
        <v>377</v>
      </c>
      <c r="O878" t="s">
        <v>36</v>
      </c>
      <c r="Q878" t="s">
        <v>62</v>
      </c>
      <c r="R878" t="s">
        <v>378</v>
      </c>
      <c r="S878" t="s">
        <v>378</v>
      </c>
      <c r="T878" t="s">
        <v>47</v>
      </c>
      <c r="U878" t="s">
        <v>118</v>
      </c>
      <c r="V878" t="s">
        <v>49</v>
      </c>
      <c r="W878" t="s">
        <v>119</v>
      </c>
      <c r="X878" t="s">
        <v>51</v>
      </c>
      <c r="Y878" t="s">
        <v>109</v>
      </c>
      <c r="Z878" t="s">
        <v>64</v>
      </c>
      <c r="AA878" t="s">
        <v>315</v>
      </c>
      <c r="AB878" s="3">
        <f t="shared" si="109"/>
        <v>10.000000000000002</v>
      </c>
      <c r="AC878">
        <v>1651.7</v>
      </c>
      <c r="AD878" s="2">
        <v>165.17</v>
      </c>
      <c r="AE878" s="2">
        <v>346.62</v>
      </c>
      <c r="AF878" s="2">
        <v>12.23</v>
      </c>
      <c r="AG878" s="2">
        <v>2010.54</v>
      </c>
      <c r="AH878">
        <v>0</v>
      </c>
      <c r="AI878">
        <v>201.054</v>
      </c>
      <c r="AJ878">
        <v>10.0527</v>
      </c>
      <c r="AK878" t="s">
        <v>54</v>
      </c>
      <c r="AL878">
        <v>19.440000000000001</v>
      </c>
      <c r="AM878" s="4">
        <f t="shared" si="110"/>
        <v>201.05399999999997</v>
      </c>
      <c r="AN878" s="4">
        <f t="shared" si="111"/>
        <v>309.69374999999997</v>
      </c>
      <c r="AO878" s="4">
        <f t="shared" si="112"/>
        <v>344.06975624999995</v>
      </c>
      <c r="AP878" s="4">
        <f t="shared" si="113"/>
        <v>501.67290562499988</v>
      </c>
      <c r="AQ878" s="10">
        <f t="shared" si="114"/>
        <v>349.65301139999997</v>
      </c>
      <c r="AR878" s="10">
        <f t="shared" si="115"/>
        <v>388.49946096653997</v>
      </c>
      <c r="AS878" s="10">
        <f t="shared" si="116"/>
        <v>544.33980814751999</v>
      </c>
    </row>
    <row r="879" spans="1:45" x14ac:dyDescent="0.3">
      <c r="A879">
        <v>2025</v>
      </c>
      <c r="B879">
        <v>9</v>
      </c>
      <c r="C879" t="s">
        <v>55</v>
      </c>
      <c r="D879">
        <v>10</v>
      </c>
      <c r="E879" t="s">
        <v>36</v>
      </c>
      <c r="F879" t="s">
        <v>37</v>
      </c>
      <c r="G879" t="s">
        <v>38</v>
      </c>
      <c r="H879" t="s">
        <v>78</v>
      </c>
      <c r="I879" t="s">
        <v>375</v>
      </c>
      <c r="J879" t="s">
        <v>376</v>
      </c>
      <c r="K879" t="s">
        <v>59</v>
      </c>
      <c r="L879" t="s">
        <v>1483</v>
      </c>
      <c r="M879" t="s">
        <v>1484</v>
      </c>
      <c r="N879" t="s">
        <v>1485</v>
      </c>
      <c r="O879" t="s">
        <v>1197</v>
      </c>
      <c r="Q879" t="s">
        <v>62</v>
      </c>
      <c r="R879" t="s">
        <v>1486</v>
      </c>
      <c r="S879" t="s">
        <v>1486</v>
      </c>
      <c r="T879" t="s">
        <v>47</v>
      </c>
      <c r="U879" t="s">
        <v>118</v>
      </c>
      <c r="V879" t="s">
        <v>49</v>
      </c>
      <c r="W879" t="s">
        <v>714</v>
      </c>
      <c r="X879" t="s">
        <v>51</v>
      </c>
      <c r="Y879" t="s">
        <v>494</v>
      </c>
      <c r="Z879" t="s">
        <v>494</v>
      </c>
      <c r="AA879" t="s">
        <v>315</v>
      </c>
      <c r="AB879" s="3">
        <f t="shared" si="109"/>
        <v>6</v>
      </c>
      <c r="AC879">
        <v>969.18</v>
      </c>
      <c r="AD879" s="2">
        <v>161.53</v>
      </c>
      <c r="AE879" s="2">
        <v>141.65</v>
      </c>
      <c r="AF879" s="2">
        <v>6.83</v>
      </c>
      <c r="AG879" s="2">
        <v>1117.6600000000001</v>
      </c>
      <c r="AH879">
        <v>0</v>
      </c>
      <c r="AI879">
        <v>186.27666666667</v>
      </c>
      <c r="AJ879">
        <v>5.5883000000000003</v>
      </c>
      <c r="AK879" t="s">
        <v>54</v>
      </c>
      <c r="AL879">
        <v>6.76</v>
      </c>
      <c r="AM879" s="4">
        <f t="shared" si="110"/>
        <v>186.27666666666667</v>
      </c>
      <c r="AN879" s="4">
        <f t="shared" si="111"/>
        <v>302.86874999999998</v>
      </c>
      <c r="AO879" s="4">
        <f t="shared" si="112"/>
        <v>336.48718124999999</v>
      </c>
      <c r="AP879" s="4">
        <f t="shared" si="113"/>
        <v>490.61708812499995</v>
      </c>
      <c r="AQ879" s="10">
        <f t="shared" si="114"/>
        <v>323.95375100000001</v>
      </c>
      <c r="AR879" s="10">
        <f t="shared" si="115"/>
        <v>359.94501273610001</v>
      </c>
      <c r="AS879" s="10">
        <f t="shared" si="116"/>
        <v>504.33119955680002</v>
      </c>
    </row>
    <row r="880" spans="1:45" x14ac:dyDescent="0.3">
      <c r="A880">
        <v>2025</v>
      </c>
      <c r="B880">
        <v>11</v>
      </c>
      <c r="C880" t="s">
        <v>55</v>
      </c>
      <c r="D880">
        <v>10</v>
      </c>
      <c r="E880" t="s">
        <v>36</v>
      </c>
      <c r="F880" t="s">
        <v>37</v>
      </c>
      <c r="G880" t="s">
        <v>38</v>
      </c>
      <c r="H880" t="s">
        <v>78</v>
      </c>
      <c r="I880" t="s">
        <v>375</v>
      </c>
      <c r="J880" t="s">
        <v>376</v>
      </c>
      <c r="K880" t="s">
        <v>51</v>
      </c>
      <c r="L880" t="s">
        <v>1622</v>
      </c>
      <c r="M880" t="s">
        <v>1623</v>
      </c>
      <c r="N880" t="s">
        <v>1485</v>
      </c>
      <c r="O880" t="s">
        <v>1197</v>
      </c>
      <c r="Q880" t="s">
        <v>62</v>
      </c>
      <c r="R880" t="s">
        <v>1624</v>
      </c>
      <c r="S880" t="s">
        <v>1624</v>
      </c>
      <c r="T880" t="s">
        <v>47</v>
      </c>
      <c r="U880" t="s">
        <v>118</v>
      </c>
      <c r="V880" t="s">
        <v>49</v>
      </c>
      <c r="W880" t="s">
        <v>714</v>
      </c>
      <c r="X880" t="s">
        <v>51</v>
      </c>
      <c r="Y880" t="s">
        <v>1311</v>
      </c>
      <c r="Z880" t="s">
        <v>1083</v>
      </c>
      <c r="AA880" t="s">
        <v>315</v>
      </c>
      <c r="AB880" s="3">
        <f t="shared" si="109"/>
        <v>10</v>
      </c>
      <c r="AC880">
        <v>1284.4000000000001</v>
      </c>
      <c r="AD880" s="2">
        <v>128.44</v>
      </c>
      <c r="AE880" s="2">
        <v>198.67</v>
      </c>
      <c r="AF880" s="2">
        <v>9.9</v>
      </c>
      <c r="AG880" s="2">
        <v>1491.81</v>
      </c>
      <c r="AH880">
        <v>0</v>
      </c>
      <c r="AI880">
        <v>149.18100000000001</v>
      </c>
      <c r="AJ880">
        <v>7.4590500000000004</v>
      </c>
      <c r="AK880" t="s">
        <v>54</v>
      </c>
      <c r="AL880">
        <v>8.2200000000000006</v>
      </c>
      <c r="AM880" s="4">
        <f t="shared" si="110"/>
        <v>149.18099999999998</v>
      </c>
      <c r="AN880" s="4">
        <f t="shared" si="111"/>
        <v>240.82499999999999</v>
      </c>
      <c r="AO880" s="4">
        <f t="shared" si="112"/>
        <v>267.55657500000001</v>
      </c>
      <c r="AP880" s="4">
        <f t="shared" si="113"/>
        <v>390.11241749999994</v>
      </c>
      <c r="AQ880" s="10">
        <f t="shared" si="114"/>
        <v>259.44067709999996</v>
      </c>
      <c r="AR880" s="10">
        <f t="shared" si="115"/>
        <v>288.26453632580996</v>
      </c>
      <c r="AS880" s="10">
        <f t="shared" si="116"/>
        <v>403.89724610927993</v>
      </c>
    </row>
    <row r="881" spans="1:45" x14ac:dyDescent="0.3">
      <c r="A881">
        <v>2025</v>
      </c>
      <c r="B881">
        <v>11</v>
      </c>
      <c r="C881" t="s">
        <v>55</v>
      </c>
      <c r="D881">
        <v>10</v>
      </c>
      <c r="E881" t="s">
        <v>36</v>
      </c>
      <c r="F881" t="s">
        <v>37</v>
      </c>
      <c r="G881" t="s">
        <v>38</v>
      </c>
      <c r="H881" t="s">
        <v>78</v>
      </c>
      <c r="I881" t="s">
        <v>375</v>
      </c>
      <c r="J881" t="s">
        <v>376</v>
      </c>
      <c r="K881" t="s">
        <v>59</v>
      </c>
      <c r="L881" t="s">
        <v>1632</v>
      </c>
      <c r="M881" t="s">
        <v>1633</v>
      </c>
      <c r="N881" t="s">
        <v>1485</v>
      </c>
      <c r="O881" t="s">
        <v>1197</v>
      </c>
      <c r="Q881" t="s">
        <v>62</v>
      </c>
      <c r="R881" t="s">
        <v>1634</v>
      </c>
      <c r="S881" t="s">
        <v>1634</v>
      </c>
      <c r="T881" t="s">
        <v>47</v>
      </c>
      <c r="U881" t="s">
        <v>118</v>
      </c>
      <c r="V881" t="s">
        <v>49</v>
      </c>
      <c r="W881" t="s">
        <v>714</v>
      </c>
      <c r="X881" t="s">
        <v>51</v>
      </c>
      <c r="Y881" t="s">
        <v>1349</v>
      </c>
      <c r="Z881" t="s">
        <v>1349</v>
      </c>
      <c r="AA881" t="s">
        <v>315</v>
      </c>
      <c r="AB881" s="3">
        <f t="shared" si="109"/>
        <v>10</v>
      </c>
      <c r="AC881">
        <v>1253.81</v>
      </c>
      <c r="AD881" s="2">
        <v>125.381</v>
      </c>
      <c r="AE881" s="2">
        <v>175.56</v>
      </c>
      <c r="AF881" s="2">
        <v>8.68</v>
      </c>
      <c r="AG881" s="2">
        <v>1438.5</v>
      </c>
      <c r="AH881">
        <v>0</v>
      </c>
      <c r="AI881">
        <v>143.85</v>
      </c>
      <c r="AJ881">
        <v>7.1924999999999999</v>
      </c>
      <c r="AK881" t="s">
        <v>54</v>
      </c>
      <c r="AL881">
        <v>6.59</v>
      </c>
      <c r="AM881" s="4">
        <f t="shared" si="110"/>
        <v>143.85</v>
      </c>
      <c r="AN881" s="4">
        <f t="shared" si="111"/>
        <v>235.08937499999999</v>
      </c>
      <c r="AO881" s="4">
        <f t="shared" si="112"/>
        <v>261.184295625</v>
      </c>
      <c r="AP881" s="4">
        <f t="shared" si="113"/>
        <v>380.82127856249997</v>
      </c>
      <c r="AQ881" s="10">
        <f t="shared" si="114"/>
        <v>250.169535</v>
      </c>
      <c r="AR881" s="10">
        <f t="shared" si="115"/>
        <v>277.9633703385</v>
      </c>
      <c r="AS881" s="10">
        <f t="shared" si="116"/>
        <v>389.46393208799998</v>
      </c>
    </row>
    <row r="882" spans="1:45" x14ac:dyDescent="0.3">
      <c r="A882">
        <v>2025</v>
      </c>
      <c r="B882">
        <v>3</v>
      </c>
      <c r="C882" t="s">
        <v>55</v>
      </c>
      <c r="D882">
        <v>10</v>
      </c>
      <c r="E882" t="s">
        <v>36</v>
      </c>
      <c r="F882" t="s">
        <v>37</v>
      </c>
      <c r="G882" t="s">
        <v>38</v>
      </c>
      <c r="H882" t="s">
        <v>83</v>
      </c>
      <c r="I882" t="s">
        <v>190</v>
      </c>
      <c r="J882" t="s">
        <v>58</v>
      </c>
      <c r="K882" t="s">
        <v>59</v>
      </c>
      <c r="M882" t="s">
        <v>213</v>
      </c>
      <c r="N882" t="s">
        <v>61</v>
      </c>
      <c r="O882" t="s">
        <v>43</v>
      </c>
      <c r="Q882" t="s">
        <v>62</v>
      </c>
      <c r="R882" t="s">
        <v>214</v>
      </c>
      <c r="S882" t="s">
        <v>215</v>
      </c>
      <c r="T882" t="s">
        <v>47</v>
      </c>
      <c r="U882" t="s">
        <v>167</v>
      </c>
      <c r="V882" t="s">
        <v>49</v>
      </c>
      <c r="W882" t="s">
        <v>168</v>
      </c>
      <c r="X882" t="s">
        <v>51</v>
      </c>
      <c r="Y882" t="s">
        <v>1311</v>
      </c>
      <c r="Z882" t="s">
        <v>1083</v>
      </c>
      <c r="AA882" t="s">
        <v>315</v>
      </c>
      <c r="AB882" s="3">
        <f t="shared" si="109"/>
        <v>10</v>
      </c>
      <c r="AC882">
        <v>1305.3599999999999</v>
      </c>
      <c r="AD882" s="2">
        <v>130.536</v>
      </c>
      <c r="AE882" s="2">
        <v>0.47</v>
      </c>
      <c r="AF882" s="2">
        <v>0.41</v>
      </c>
      <c r="AG882" s="2">
        <v>1306.23</v>
      </c>
      <c r="AH882">
        <v>0</v>
      </c>
      <c r="AI882">
        <v>130.62299999999999</v>
      </c>
      <c r="AJ882">
        <v>6.5311500000000002</v>
      </c>
      <c r="AK882" t="s">
        <v>54</v>
      </c>
      <c r="AL882">
        <v>11.33</v>
      </c>
      <c r="AM882" s="4">
        <f t="shared" si="110"/>
        <v>130.62299999999999</v>
      </c>
      <c r="AN882" s="4">
        <f t="shared" si="111"/>
        <v>244.755</v>
      </c>
      <c r="AO882" s="4">
        <f t="shared" si="112"/>
        <v>271.92280499999998</v>
      </c>
      <c r="AP882" s="4">
        <f t="shared" si="113"/>
        <v>396.47862449999997</v>
      </c>
      <c r="AQ882" s="10">
        <f t="shared" si="114"/>
        <v>227.16645929999999</v>
      </c>
      <c r="AR882" s="10">
        <f t="shared" si="115"/>
        <v>252.40465292822998</v>
      </c>
      <c r="AS882" s="10">
        <f t="shared" si="116"/>
        <v>353.65274383823999</v>
      </c>
    </row>
    <row r="883" spans="1:45" x14ac:dyDescent="0.3">
      <c r="A883">
        <v>2025</v>
      </c>
      <c r="B883">
        <v>4</v>
      </c>
      <c r="C883" t="s">
        <v>55</v>
      </c>
      <c r="D883">
        <v>10</v>
      </c>
      <c r="E883" t="s">
        <v>36</v>
      </c>
      <c r="F883" t="s">
        <v>37</v>
      </c>
      <c r="G883" t="s">
        <v>38</v>
      </c>
      <c r="H883" t="s">
        <v>83</v>
      </c>
      <c r="I883" t="s">
        <v>375</v>
      </c>
      <c r="J883" t="s">
        <v>376</v>
      </c>
      <c r="K883" t="s">
        <v>59</v>
      </c>
      <c r="M883">
        <v>2503061</v>
      </c>
      <c r="N883" t="s">
        <v>377</v>
      </c>
      <c r="O883" t="s">
        <v>36</v>
      </c>
      <c r="Q883" t="s">
        <v>62</v>
      </c>
      <c r="R883" t="s">
        <v>378</v>
      </c>
      <c r="S883" t="s">
        <v>378</v>
      </c>
      <c r="T883" t="s">
        <v>47</v>
      </c>
      <c r="U883" t="s">
        <v>167</v>
      </c>
      <c r="V883" t="s">
        <v>49</v>
      </c>
      <c r="W883" t="s">
        <v>168</v>
      </c>
      <c r="X883" t="s">
        <v>51</v>
      </c>
      <c r="Y883" t="s">
        <v>353</v>
      </c>
      <c r="Z883" t="s">
        <v>64</v>
      </c>
      <c r="AA883" t="s">
        <v>354</v>
      </c>
      <c r="AB883" s="3">
        <f t="shared" si="109"/>
        <v>10</v>
      </c>
      <c r="AC883">
        <v>833.98</v>
      </c>
      <c r="AD883" s="2">
        <v>83.397999999999996</v>
      </c>
      <c r="AE883" s="2">
        <v>175.01</v>
      </c>
      <c r="AF883" s="2">
        <v>6.17</v>
      </c>
      <c r="AG883" s="2">
        <v>1015.17</v>
      </c>
      <c r="AH883">
        <v>0</v>
      </c>
      <c r="AI883">
        <v>101.517</v>
      </c>
      <c r="AJ883">
        <v>5.07585</v>
      </c>
      <c r="AK883" t="s">
        <v>54</v>
      </c>
      <c r="AL883">
        <v>19.440000000000001</v>
      </c>
      <c r="AM883" s="4">
        <f t="shared" si="110"/>
        <v>101.517</v>
      </c>
      <c r="AN883" s="4">
        <f t="shared" si="111"/>
        <v>156.37125</v>
      </c>
      <c r="AO883" s="4">
        <f t="shared" si="112"/>
        <v>173.72845875000002</v>
      </c>
      <c r="AP883" s="4">
        <f t="shared" si="113"/>
        <v>253.30578787499999</v>
      </c>
      <c r="AQ883" s="10">
        <f t="shared" si="114"/>
        <v>176.54821469999999</v>
      </c>
      <c r="AR883" s="10">
        <f t="shared" si="115"/>
        <v>196.16272135316999</v>
      </c>
      <c r="AS883" s="10">
        <f t="shared" si="116"/>
        <v>274.85026064495997</v>
      </c>
    </row>
    <row r="884" spans="1:45" x14ac:dyDescent="0.3">
      <c r="A884">
        <v>2025</v>
      </c>
      <c r="B884">
        <v>5</v>
      </c>
      <c r="C884" t="s">
        <v>55</v>
      </c>
      <c r="D884">
        <v>10</v>
      </c>
      <c r="E884" t="s">
        <v>36</v>
      </c>
      <c r="F884" t="s">
        <v>37</v>
      </c>
      <c r="G884" t="s">
        <v>38</v>
      </c>
      <c r="H884" t="s">
        <v>83</v>
      </c>
      <c r="I884" t="s">
        <v>190</v>
      </c>
      <c r="J884" t="s">
        <v>58</v>
      </c>
      <c r="K884" t="s">
        <v>59</v>
      </c>
      <c r="M884" t="s">
        <v>682</v>
      </c>
      <c r="N884" t="s">
        <v>384</v>
      </c>
      <c r="O884" t="s">
        <v>36</v>
      </c>
      <c r="Q884" t="s">
        <v>62</v>
      </c>
      <c r="R884" t="s">
        <v>683</v>
      </c>
      <c r="S884" t="s">
        <v>683</v>
      </c>
      <c r="T884" t="s">
        <v>47</v>
      </c>
      <c r="U884" t="s">
        <v>167</v>
      </c>
      <c r="V884" t="s">
        <v>49</v>
      </c>
      <c r="W884" t="s">
        <v>168</v>
      </c>
      <c r="X884" t="s">
        <v>686</v>
      </c>
      <c r="Y884" t="s">
        <v>353</v>
      </c>
      <c r="Z884" t="s">
        <v>353</v>
      </c>
      <c r="AA884" t="s">
        <v>354</v>
      </c>
      <c r="AB884" s="3">
        <f t="shared" si="109"/>
        <v>6.0000000000000009</v>
      </c>
      <c r="AC884">
        <v>461.85</v>
      </c>
      <c r="AD884" s="2">
        <v>76.974999999999994</v>
      </c>
      <c r="AE884" s="2">
        <v>90.52</v>
      </c>
      <c r="AF884" s="2">
        <v>3.23</v>
      </c>
      <c r="AG884" s="2">
        <v>555.6</v>
      </c>
      <c r="AH884">
        <v>0</v>
      </c>
      <c r="AI884">
        <v>92.6</v>
      </c>
      <c r="AJ884">
        <v>2.778</v>
      </c>
      <c r="AK884" t="s">
        <v>54</v>
      </c>
      <c r="AL884">
        <v>4.32</v>
      </c>
      <c r="AM884" s="4">
        <f t="shared" si="110"/>
        <v>92.6</v>
      </c>
      <c r="AN884" s="4">
        <f t="shared" si="111"/>
        <v>144.328125</v>
      </c>
      <c r="AO884" s="4">
        <f t="shared" si="112"/>
        <v>160.34854687500001</v>
      </c>
      <c r="AP884" s="4">
        <f t="shared" si="113"/>
        <v>233.79712968749999</v>
      </c>
      <c r="AQ884" s="10">
        <f t="shared" si="114"/>
        <v>161.04066</v>
      </c>
      <c r="AR884" s="10">
        <f t="shared" si="115"/>
        <v>178.93227732599999</v>
      </c>
      <c r="AS884" s="10">
        <f t="shared" si="116"/>
        <v>250.70809948799999</v>
      </c>
    </row>
    <row r="885" spans="1:45" x14ac:dyDescent="0.3">
      <c r="A885">
        <v>2025</v>
      </c>
      <c r="B885">
        <v>8</v>
      </c>
      <c r="C885" t="s">
        <v>55</v>
      </c>
      <c r="D885">
        <v>10</v>
      </c>
      <c r="E885" t="s">
        <v>36</v>
      </c>
      <c r="F885" t="s">
        <v>37</v>
      </c>
      <c r="G885" t="s">
        <v>38</v>
      </c>
      <c r="H885" t="s">
        <v>83</v>
      </c>
      <c r="I885" t="s">
        <v>190</v>
      </c>
      <c r="J885" t="s">
        <v>58</v>
      </c>
      <c r="K885" t="s">
        <v>59</v>
      </c>
      <c r="L885" t="s">
        <v>1194</v>
      </c>
      <c r="M885" t="s">
        <v>1195</v>
      </c>
      <c r="N885" t="s">
        <v>1196</v>
      </c>
      <c r="O885" t="s">
        <v>1197</v>
      </c>
      <c r="Q885" t="s">
        <v>62</v>
      </c>
      <c r="R885" t="s">
        <v>1198</v>
      </c>
      <c r="S885" t="s">
        <v>1198</v>
      </c>
      <c r="T885" t="s">
        <v>47</v>
      </c>
      <c r="U885" t="s">
        <v>163</v>
      </c>
      <c r="V885" t="s">
        <v>49</v>
      </c>
      <c r="W885" t="s">
        <v>164</v>
      </c>
      <c r="X885" t="s">
        <v>388</v>
      </c>
      <c r="Y885" t="s">
        <v>155</v>
      </c>
      <c r="Z885" t="s">
        <v>155</v>
      </c>
      <c r="AA885" t="s">
        <v>354</v>
      </c>
      <c r="AB885" s="3">
        <f t="shared" si="109"/>
        <v>1</v>
      </c>
      <c r="AC885">
        <v>86.96</v>
      </c>
      <c r="AD885" s="2">
        <v>86.96</v>
      </c>
      <c r="AE885" s="2">
        <v>94.84</v>
      </c>
      <c r="AF885" s="2">
        <v>0.7</v>
      </c>
      <c r="AG885" s="2">
        <v>182.5</v>
      </c>
      <c r="AH885">
        <v>0</v>
      </c>
      <c r="AI885">
        <v>182.5</v>
      </c>
      <c r="AJ885">
        <v>0.91249999999999998</v>
      </c>
      <c r="AK885" t="s">
        <v>54</v>
      </c>
      <c r="AL885">
        <v>3.11</v>
      </c>
      <c r="AM885" s="4">
        <f t="shared" si="110"/>
        <v>182.5</v>
      </c>
      <c r="AN885" s="4">
        <f t="shared" si="111"/>
        <v>163.04999999999998</v>
      </c>
      <c r="AO885" s="4">
        <f t="shared" si="112"/>
        <v>181.14854999999997</v>
      </c>
      <c r="AP885" s="4">
        <f t="shared" si="113"/>
        <v>264.12469499999997</v>
      </c>
      <c r="AQ885" s="10">
        <f t="shared" si="114"/>
        <v>317.38575000000003</v>
      </c>
      <c r="AR885" s="10">
        <f t="shared" si="115"/>
        <v>352.64730682500004</v>
      </c>
      <c r="AS885" s="10">
        <f t="shared" si="116"/>
        <v>494.10613560000002</v>
      </c>
    </row>
    <row r="886" spans="1:45" x14ac:dyDescent="0.3">
      <c r="A886">
        <v>2025</v>
      </c>
      <c r="B886">
        <v>4</v>
      </c>
      <c r="C886" t="s">
        <v>55</v>
      </c>
      <c r="D886">
        <v>10</v>
      </c>
      <c r="E886" t="s">
        <v>36</v>
      </c>
      <c r="F886" t="s">
        <v>37</v>
      </c>
      <c r="G886" t="s">
        <v>38</v>
      </c>
      <c r="H886" t="s">
        <v>83</v>
      </c>
      <c r="I886" t="s">
        <v>375</v>
      </c>
      <c r="J886" t="s">
        <v>376</v>
      </c>
      <c r="K886" t="s">
        <v>59</v>
      </c>
      <c r="M886">
        <v>2503061</v>
      </c>
      <c r="N886" t="s">
        <v>377</v>
      </c>
      <c r="O886" t="s">
        <v>36</v>
      </c>
      <c r="Q886" t="s">
        <v>62</v>
      </c>
      <c r="R886" t="s">
        <v>378</v>
      </c>
      <c r="S886" t="s">
        <v>378</v>
      </c>
      <c r="T886" t="s">
        <v>47</v>
      </c>
      <c r="U886" t="s">
        <v>167</v>
      </c>
      <c r="V886" t="s">
        <v>49</v>
      </c>
      <c r="W886" t="s">
        <v>168</v>
      </c>
      <c r="X886" t="s">
        <v>51</v>
      </c>
      <c r="Y886" t="s">
        <v>1387</v>
      </c>
      <c r="Z886" t="s">
        <v>1387</v>
      </c>
      <c r="AA886" t="s">
        <v>1388</v>
      </c>
      <c r="AB886" s="3">
        <f t="shared" si="109"/>
        <v>1</v>
      </c>
      <c r="AC886">
        <v>379.84</v>
      </c>
      <c r="AD886" s="2">
        <v>379.84</v>
      </c>
      <c r="AE886" s="2">
        <v>27.22</v>
      </c>
      <c r="AF886" s="2">
        <v>2.46</v>
      </c>
      <c r="AG886" s="2">
        <v>409.52</v>
      </c>
      <c r="AH886">
        <v>0</v>
      </c>
      <c r="AI886">
        <v>409.52</v>
      </c>
      <c r="AJ886">
        <v>2.0476000000000001</v>
      </c>
      <c r="AK886" t="s">
        <v>54</v>
      </c>
      <c r="AL886">
        <v>3.2</v>
      </c>
      <c r="AM886" s="4">
        <f t="shared" si="110"/>
        <v>409.52</v>
      </c>
      <c r="AN886" s="4">
        <f t="shared" si="111"/>
        <v>712.19999999999993</v>
      </c>
      <c r="AO886" s="4">
        <f t="shared" si="112"/>
        <v>791.25419999999997</v>
      </c>
      <c r="AP886" s="4">
        <f t="shared" si="113"/>
        <v>1153.6927799999999</v>
      </c>
      <c r="AQ886" s="10">
        <f t="shared" si="114"/>
        <v>712.19623200000001</v>
      </c>
      <c r="AR886" s="10">
        <f t="shared" si="115"/>
        <v>791.32123337519999</v>
      </c>
      <c r="AS886" s="10">
        <f t="shared" si="116"/>
        <v>1108.7470939775999</v>
      </c>
    </row>
    <row r="887" spans="1:45" x14ac:dyDescent="0.3">
      <c r="A887">
        <v>2025</v>
      </c>
      <c r="B887">
        <v>4</v>
      </c>
      <c r="C887" t="s">
        <v>55</v>
      </c>
      <c r="D887">
        <v>10</v>
      </c>
      <c r="E887" t="s">
        <v>36</v>
      </c>
      <c r="F887" t="s">
        <v>37</v>
      </c>
      <c r="G887" t="s">
        <v>38</v>
      </c>
      <c r="H887" t="s">
        <v>83</v>
      </c>
      <c r="I887" t="s">
        <v>375</v>
      </c>
      <c r="J887" t="s">
        <v>376</v>
      </c>
      <c r="K887" t="s">
        <v>59</v>
      </c>
      <c r="M887">
        <v>2503061</v>
      </c>
      <c r="N887" t="s">
        <v>377</v>
      </c>
      <c r="O887" t="s">
        <v>36</v>
      </c>
      <c r="Q887" t="s">
        <v>62</v>
      </c>
      <c r="R887" t="s">
        <v>378</v>
      </c>
      <c r="S887" t="s">
        <v>378</v>
      </c>
      <c r="T887" t="s">
        <v>47</v>
      </c>
      <c r="U887" t="s">
        <v>167</v>
      </c>
      <c r="V887" t="s">
        <v>49</v>
      </c>
      <c r="W887" t="s">
        <v>168</v>
      </c>
      <c r="X887" t="s">
        <v>51</v>
      </c>
      <c r="Y887" t="s">
        <v>522</v>
      </c>
      <c r="Z887" t="s">
        <v>522</v>
      </c>
      <c r="AA887" t="s">
        <v>575</v>
      </c>
      <c r="AB887" s="3">
        <f t="shared" si="109"/>
        <v>10</v>
      </c>
      <c r="AC887">
        <v>169.75</v>
      </c>
      <c r="AD887" s="2">
        <v>16.975000000000001</v>
      </c>
      <c r="AE887" s="2">
        <v>150.87</v>
      </c>
      <c r="AF887" s="2">
        <v>1.08</v>
      </c>
      <c r="AG887" s="2">
        <v>321.69</v>
      </c>
      <c r="AH887">
        <v>0</v>
      </c>
      <c r="AI887">
        <v>32.168999999999997</v>
      </c>
      <c r="AJ887">
        <v>1.6084499999999999</v>
      </c>
      <c r="AK887" t="s">
        <v>54</v>
      </c>
      <c r="AL887">
        <v>7.2</v>
      </c>
      <c r="AM887" s="4">
        <f t="shared" si="110"/>
        <v>32.168999999999997</v>
      </c>
      <c r="AN887" s="4">
        <f t="shared" si="111"/>
        <v>31.828125000000004</v>
      </c>
      <c r="AO887" s="4">
        <f t="shared" si="112"/>
        <v>35.361046875000007</v>
      </c>
      <c r="AP887" s="4">
        <f t="shared" si="113"/>
        <v>51.5583796875</v>
      </c>
      <c r="AQ887" s="10">
        <f t="shared" si="114"/>
        <v>55.945107899999996</v>
      </c>
      <c r="AR887" s="10">
        <f t="shared" si="115"/>
        <v>62.160609387689995</v>
      </c>
      <c r="AS887" s="10">
        <f t="shared" si="116"/>
        <v>87.095343978719995</v>
      </c>
    </row>
    <row r="888" spans="1:45" x14ac:dyDescent="0.3">
      <c r="A888">
        <v>2025</v>
      </c>
      <c r="B888">
        <v>5</v>
      </c>
      <c r="C888" t="s">
        <v>55</v>
      </c>
      <c r="D888">
        <v>10</v>
      </c>
      <c r="E888" t="s">
        <v>36</v>
      </c>
      <c r="F888" t="s">
        <v>37</v>
      </c>
      <c r="G888" t="s">
        <v>38</v>
      </c>
      <c r="H888" t="s">
        <v>83</v>
      </c>
      <c r="I888" t="s">
        <v>190</v>
      </c>
      <c r="J888" t="s">
        <v>58</v>
      </c>
      <c r="K888" t="s">
        <v>59</v>
      </c>
      <c r="M888" t="s">
        <v>682</v>
      </c>
      <c r="N888" t="s">
        <v>384</v>
      </c>
      <c r="O888" t="s">
        <v>36</v>
      </c>
      <c r="Q888" t="s">
        <v>62</v>
      </c>
      <c r="R888" t="s">
        <v>683</v>
      </c>
      <c r="S888" t="s">
        <v>683</v>
      </c>
      <c r="T888" t="s">
        <v>47</v>
      </c>
      <c r="U888" t="s">
        <v>167</v>
      </c>
      <c r="V888" t="s">
        <v>49</v>
      </c>
      <c r="W888" t="s">
        <v>168</v>
      </c>
      <c r="X888" t="s">
        <v>686</v>
      </c>
      <c r="Y888" t="s">
        <v>581</v>
      </c>
      <c r="Z888" t="s">
        <v>581</v>
      </c>
      <c r="AA888" t="s">
        <v>575</v>
      </c>
      <c r="AB888" s="3">
        <f t="shared" si="109"/>
        <v>10</v>
      </c>
      <c r="AC888">
        <v>170.88</v>
      </c>
      <c r="AD888" s="2">
        <v>17.088000000000001</v>
      </c>
      <c r="AE888" s="2">
        <v>235.95</v>
      </c>
      <c r="AF888" s="2">
        <v>1.01</v>
      </c>
      <c r="AG888" s="2">
        <v>407.84</v>
      </c>
      <c r="AH888">
        <v>0</v>
      </c>
      <c r="AI888">
        <v>40.783999999999999</v>
      </c>
      <c r="AJ888">
        <v>2.0392000000000001</v>
      </c>
      <c r="AK888" t="s">
        <v>54</v>
      </c>
      <c r="AL888">
        <v>11.26</v>
      </c>
      <c r="AM888" s="4">
        <f t="shared" si="110"/>
        <v>40.783999999999999</v>
      </c>
      <c r="AN888" s="4">
        <f t="shared" si="111"/>
        <v>32.04</v>
      </c>
      <c r="AO888" s="4">
        <f t="shared" si="112"/>
        <v>35.596440000000001</v>
      </c>
      <c r="AP888" s="4">
        <f t="shared" si="113"/>
        <v>51.901595999999998</v>
      </c>
      <c r="AQ888" s="10">
        <f t="shared" si="114"/>
        <v>70.927454400000002</v>
      </c>
      <c r="AR888" s="10">
        <f t="shared" si="115"/>
        <v>78.807494583839997</v>
      </c>
      <c r="AS888" s="10">
        <f t="shared" si="116"/>
        <v>110.41986100992</v>
      </c>
    </row>
    <row r="889" spans="1:45" x14ac:dyDescent="0.3">
      <c r="A889">
        <v>2025</v>
      </c>
      <c r="B889">
        <v>4</v>
      </c>
      <c r="C889" t="s">
        <v>55</v>
      </c>
      <c r="D889">
        <v>10</v>
      </c>
      <c r="E889" t="s">
        <v>36</v>
      </c>
      <c r="F889" t="s">
        <v>37</v>
      </c>
      <c r="G889" t="s">
        <v>38</v>
      </c>
      <c r="H889" t="s">
        <v>83</v>
      </c>
      <c r="I889" t="s">
        <v>375</v>
      </c>
      <c r="J889" t="s">
        <v>376</v>
      </c>
      <c r="K889" t="s">
        <v>59</v>
      </c>
      <c r="M889">
        <v>2503061</v>
      </c>
      <c r="N889" t="s">
        <v>377</v>
      </c>
      <c r="O889" t="s">
        <v>36</v>
      </c>
      <c r="Q889" t="s">
        <v>62</v>
      </c>
      <c r="R889" t="s">
        <v>378</v>
      </c>
      <c r="S889" t="s">
        <v>378</v>
      </c>
      <c r="T889" t="s">
        <v>47</v>
      </c>
      <c r="U889" t="s">
        <v>167</v>
      </c>
      <c r="V889" t="s">
        <v>49</v>
      </c>
      <c r="W889" t="s">
        <v>168</v>
      </c>
      <c r="X889" t="s">
        <v>51</v>
      </c>
      <c r="Y889" t="s">
        <v>721</v>
      </c>
      <c r="Z889" t="s">
        <v>721</v>
      </c>
      <c r="AA889" t="s">
        <v>575</v>
      </c>
      <c r="AB889" s="3">
        <f t="shared" si="109"/>
        <v>1</v>
      </c>
      <c r="AC889">
        <v>26.59</v>
      </c>
      <c r="AD889" s="2">
        <v>26.59</v>
      </c>
      <c r="AE889" s="2">
        <v>94.84</v>
      </c>
      <c r="AF889" s="2">
        <v>0.12</v>
      </c>
      <c r="AG889" s="2">
        <v>121.55</v>
      </c>
      <c r="AH889">
        <v>0</v>
      </c>
      <c r="AI889">
        <v>121.55</v>
      </c>
      <c r="AJ889">
        <v>0.60775000000000001</v>
      </c>
      <c r="AK889" t="s">
        <v>54</v>
      </c>
      <c r="AL889">
        <v>3.11</v>
      </c>
      <c r="AM889" s="4">
        <f t="shared" si="110"/>
        <v>121.55</v>
      </c>
      <c r="AN889" s="4">
        <f t="shared" si="111"/>
        <v>49.856250000000003</v>
      </c>
      <c r="AO889" s="4">
        <f t="shared" si="112"/>
        <v>55.390293750000005</v>
      </c>
      <c r="AP889" s="4">
        <f t="shared" si="113"/>
        <v>80.762139375000004</v>
      </c>
      <c r="AQ889" s="10">
        <f t="shared" si="114"/>
        <v>211.38760500000001</v>
      </c>
      <c r="AR889" s="10">
        <f t="shared" si="115"/>
        <v>234.87276791549999</v>
      </c>
      <c r="AS889" s="10">
        <f t="shared" si="116"/>
        <v>329.08822346400001</v>
      </c>
    </row>
    <row r="890" spans="1:45" x14ac:dyDescent="0.3">
      <c r="A890">
        <v>2025</v>
      </c>
      <c r="B890">
        <v>4</v>
      </c>
      <c r="C890" t="s">
        <v>55</v>
      </c>
      <c r="D890">
        <v>10</v>
      </c>
      <c r="E890" t="s">
        <v>36</v>
      </c>
      <c r="F890" t="s">
        <v>37</v>
      </c>
      <c r="G890" t="s">
        <v>38</v>
      </c>
      <c r="H890" t="s">
        <v>83</v>
      </c>
      <c r="I890" t="s">
        <v>375</v>
      </c>
      <c r="J890" t="s">
        <v>376</v>
      </c>
      <c r="K890" t="s">
        <v>59</v>
      </c>
      <c r="M890">
        <v>2503061</v>
      </c>
      <c r="N890" t="s">
        <v>377</v>
      </c>
      <c r="O890" t="s">
        <v>36</v>
      </c>
      <c r="Q890" t="s">
        <v>62</v>
      </c>
      <c r="R890" t="s">
        <v>378</v>
      </c>
      <c r="S890" t="s">
        <v>378</v>
      </c>
      <c r="T890" t="s">
        <v>47</v>
      </c>
      <c r="U890" t="s">
        <v>614</v>
      </c>
      <c r="V890" t="s">
        <v>49</v>
      </c>
      <c r="W890" t="s">
        <v>615</v>
      </c>
      <c r="X890" t="s">
        <v>51</v>
      </c>
      <c r="Y890" t="s">
        <v>582</v>
      </c>
      <c r="Z890" t="s">
        <v>582</v>
      </c>
      <c r="AA890" t="s">
        <v>583</v>
      </c>
      <c r="AB890" s="3">
        <f t="shared" si="109"/>
        <v>2.9999999999999996</v>
      </c>
      <c r="AC890">
        <v>722.79</v>
      </c>
      <c r="AD890" s="2">
        <v>240.93</v>
      </c>
      <c r="AE890" s="2">
        <v>70.83</v>
      </c>
      <c r="AF890" s="2">
        <v>5.13</v>
      </c>
      <c r="AG890" s="2">
        <v>798.74</v>
      </c>
      <c r="AH890">
        <v>0</v>
      </c>
      <c r="AI890">
        <v>266.24666666667002</v>
      </c>
      <c r="AJ890">
        <v>3.9937</v>
      </c>
      <c r="AK890" t="s">
        <v>54</v>
      </c>
      <c r="AL890">
        <v>3.38</v>
      </c>
      <c r="AM890" s="4">
        <f t="shared" si="110"/>
        <v>266.24666666666673</v>
      </c>
      <c r="AN890" s="4">
        <f t="shared" si="111"/>
        <v>451.74375000000003</v>
      </c>
      <c r="AO890" s="4">
        <f t="shared" si="112"/>
        <v>501.88730625000005</v>
      </c>
      <c r="AP890" s="4">
        <f t="shared" si="113"/>
        <v>731.77970062500003</v>
      </c>
      <c r="AQ890" s="10">
        <f t="shared" si="114"/>
        <v>463.02957800000013</v>
      </c>
      <c r="AR890" s="10">
        <f t="shared" si="115"/>
        <v>514.47216411580018</v>
      </c>
      <c r="AS890" s="10">
        <f t="shared" si="116"/>
        <v>720.84444703040015</v>
      </c>
    </row>
    <row r="891" spans="1:45" x14ac:dyDescent="0.3">
      <c r="A891">
        <v>2025</v>
      </c>
      <c r="B891">
        <v>8</v>
      </c>
      <c r="C891" t="s">
        <v>55</v>
      </c>
      <c r="D891">
        <v>10</v>
      </c>
      <c r="E891" t="s">
        <v>36</v>
      </c>
      <c r="F891" t="s">
        <v>37</v>
      </c>
      <c r="G891" t="s">
        <v>38</v>
      </c>
      <c r="H891" t="s">
        <v>83</v>
      </c>
      <c r="I891" t="s">
        <v>190</v>
      </c>
      <c r="J891" t="s">
        <v>58</v>
      </c>
      <c r="K891" t="s">
        <v>59</v>
      </c>
      <c r="L891" t="s">
        <v>1194</v>
      </c>
      <c r="M891" t="s">
        <v>1195</v>
      </c>
      <c r="N891" t="s">
        <v>1196</v>
      </c>
      <c r="O891" t="s">
        <v>1197</v>
      </c>
      <c r="Q891" t="s">
        <v>62</v>
      </c>
      <c r="R891" t="s">
        <v>1198</v>
      </c>
      <c r="S891" t="s">
        <v>1198</v>
      </c>
      <c r="T891" t="s">
        <v>47</v>
      </c>
      <c r="U891" t="s">
        <v>614</v>
      </c>
      <c r="V891" t="s">
        <v>49</v>
      </c>
      <c r="W891" t="s">
        <v>615</v>
      </c>
      <c r="X891" t="s">
        <v>388</v>
      </c>
      <c r="Y891" t="s">
        <v>616</v>
      </c>
      <c r="Z891" t="s">
        <v>616</v>
      </c>
      <c r="AA891" t="s">
        <v>617</v>
      </c>
      <c r="AB891" s="3">
        <f t="shared" si="109"/>
        <v>1</v>
      </c>
      <c r="AC891">
        <v>1564.03</v>
      </c>
      <c r="AD891" s="2">
        <v>1564.03</v>
      </c>
      <c r="AE891" s="2">
        <v>15.09</v>
      </c>
      <c r="AF891" s="2">
        <v>11.2</v>
      </c>
      <c r="AG891" s="2">
        <v>1590.31</v>
      </c>
      <c r="AH891">
        <v>0</v>
      </c>
      <c r="AI891">
        <v>1590.31</v>
      </c>
      <c r="AJ891">
        <v>7.9515500000000001</v>
      </c>
      <c r="AK891" t="s">
        <v>54</v>
      </c>
      <c r="AL891">
        <v>0.72</v>
      </c>
      <c r="AM891" s="4">
        <f t="shared" si="110"/>
        <v>1590.31</v>
      </c>
      <c r="AN891" s="4">
        <f t="shared" si="111"/>
        <v>2932.5562500000001</v>
      </c>
      <c r="AO891" s="4">
        <f t="shared" si="112"/>
        <v>3258.0699937499999</v>
      </c>
      <c r="AP891" s="4">
        <f t="shared" si="113"/>
        <v>4750.4478693749998</v>
      </c>
      <c r="AQ891" s="10">
        <f t="shared" si="114"/>
        <v>2765.7081210000001</v>
      </c>
      <c r="AR891" s="10">
        <f t="shared" si="115"/>
        <v>3072.9782932430999</v>
      </c>
      <c r="AS891" s="10">
        <f t="shared" si="116"/>
        <v>4305.6544027728005</v>
      </c>
    </row>
    <row r="892" spans="1:45" x14ac:dyDescent="0.3">
      <c r="A892">
        <v>2025</v>
      </c>
      <c r="B892">
        <v>4</v>
      </c>
      <c r="C892" t="s">
        <v>55</v>
      </c>
      <c r="D892">
        <v>10</v>
      </c>
      <c r="E892" t="s">
        <v>36</v>
      </c>
      <c r="F892" t="s">
        <v>37</v>
      </c>
      <c r="G892" t="s">
        <v>38</v>
      </c>
      <c r="H892" t="s">
        <v>101</v>
      </c>
      <c r="I892" t="s">
        <v>190</v>
      </c>
      <c r="J892" t="s">
        <v>58</v>
      </c>
      <c r="K892" t="s">
        <v>59</v>
      </c>
      <c r="M892" t="s">
        <v>383</v>
      </c>
      <c r="N892" t="s">
        <v>384</v>
      </c>
      <c r="O892" t="s">
        <v>36</v>
      </c>
      <c r="Q892" t="s">
        <v>62</v>
      </c>
      <c r="R892" t="s">
        <v>385</v>
      </c>
      <c r="S892" t="s">
        <v>385</v>
      </c>
      <c r="T892" t="s">
        <v>47</v>
      </c>
      <c r="U892" t="s">
        <v>559</v>
      </c>
      <c r="V892" t="s">
        <v>49</v>
      </c>
      <c r="W892" t="s">
        <v>560</v>
      </c>
      <c r="X892" t="s">
        <v>388</v>
      </c>
      <c r="Y892" t="s">
        <v>1430</v>
      </c>
      <c r="Z892" t="s">
        <v>1430</v>
      </c>
      <c r="AA892" t="s">
        <v>617</v>
      </c>
      <c r="AB892" s="3">
        <f t="shared" si="109"/>
        <v>2</v>
      </c>
      <c r="AC892">
        <v>3306.95</v>
      </c>
      <c r="AD892" s="2">
        <v>1653.4749999999999</v>
      </c>
      <c r="AE892" s="2">
        <v>236.99</v>
      </c>
      <c r="AF892" s="2">
        <v>21.4</v>
      </c>
      <c r="AG892" s="2">
        <v>3565.33</v>
      </c>
      <c r="AH892">
        <v>0</v>
      </c>
      <c r="AI892">
        <v>1782.665</v>
      </c>
      <c r="AJ892">
        <v>17.826650000000001</v>
      </c>
      <c r="AK892" t="s">
        <v>54</v>
      </c>
      <c r="AL892">
        <v>27.84</v>
      </c>
      <c r="AM892" s="4">
        <f t="shared" si="110"/>
        <v>1782.665</v>
      </c>
      <c r="AN892" s="4">
        <f t="shared" si="111"/>
        <v>3100.265625</v>
      </c>
      <c r="AO892" s="4">
        <f t="shared" si="112"/>
        <v>3444.3951093750002</v>
      </c>
      <c r="AP892" s="4">
        <f t="shared" si="113"/>
        <v>5022.1202859374998</v>
      </c>
      <c r="AQ892" s="10">
        <f t="shared" si="114"/>
        <v>3100.2327015000001</v>
      </c>
      <c r="AR892" s="10">
        <f t="shared" si="115"/>
        <v>3444.6685546366498</v>
      </c>
      <c r="AS892" s="10">
        <f t="shared" si="116"/>
        <v>4826.4422696951997</v>
      </c>
    </row>
    <row r="893" spans="1:45" x14ac:dyDescent="0.3">
      <c r="A893">
        <v>2025</v>
      </c>
      <c r="B893">
        <v>8</v>
      </c>
      <c r="C893" t="s">
        <v>55</v>
      </c>
      <c r="D893">
        <v>10</v>
      </c>
      <c r="E893" t="s">
        <v>36</v>
      </c>
      <c r="F893" t="s">
        <v>37</v>
      </c>
      <c r="G893" t="s">
        <v>38</v>
      </c>
      <c r="H893" t="s">
        <v>101</v>
      </c>
      <c r="I893" t="s">
        <v>190</v>
      </c>
      <c r="J893" t="s">
        <v>58</v>
      </c>
      <c r="K893" t="s">
        <v>59</v>
      </c>
      <c r="L893" t="s">
        <v>1194</v>
      </c>
      <c r="M893" t="s">
        <v>1195</v>
      </c>
      <c r="N893" t="s">
        <v>1196</v>
      </c>
      <c r="O893" t="s">
        <v>1197</v>
      </c>
      <c r="Q893" t="s">
        <v>62</v>
      </c>
      <c r="R893" t="s">
        <v>1198</v>
      </c>
      <c r="S893" t="s">
        <v>1198</v>
      </c>
      <c r="T893" t="s">
        <v>47</v>
      </c>
      <c r="U893" t="s">
        <v>167</v>
      </c>
      <c r="V893" t="s">
        <v>49</v>
      </c>
      <c r="W893" t="s">
        <v>168</v>
      </c>
      <c r="X893" t="s">
        <v>388</v>
      </c>
      <c r="Y893" t="s">
        <v>568</v>
      </c>
      <c r="Z893" t="s">
        <v>568</v>
      </c>
      <c r="AA893" t="s">
        <v>569</v>
      </c>
      <c r="AB893" s="3">
        <f t="shared" si="109"/>
        <v>6.0000000000001688</v>
      </c>
      <c r="AC893">
        <v>713.63</v>
      </c>
      <c r="AD893" s="2">
        <v>118.93833333332999</v>
      </c>
      <c r="AE893" s="2">
        <v>91.95</v>
      </c>
      <c r="AF893" s="2">
        <v>4.6900000000000004</v>
      </c>
      <c r="AG893" s="2">
        <v>810.27</v>
      </c>
      <c r="AH893">
        <v>0</v>
      </c>
      <c r="AI893">
        <v>135.04499999999999</v>
      </c>
      <c r="AJ893">
        <v>4.0513500000000002</v>
      </c>
      <c r="AK893" t="s">
        <v>54</v>
      </c>
      <c r="AL893">
        <v>4.68</v>
      </c>
      <c r="AM893" s="4">
        <f t="shared" si="110"/>
        <v>135.04499999999621</v>
      </c>
      <c r="AN893" s="4">
        <f t="shared" si="111"/>
        <v>223.00937499999372</v>
      </c>
      <c r="AO893" s="4">
        <f t="shared" si="112"/>
        <v>247.76341562499303</v>
      </c>
      <c r="AP893" s="4">
        <f t="shared" si="113"/>
        <v>361.25288656248983</v>
      </c>
      <c r="AQ893" s="10">
        <f t="shared" si="114"/>
        <v>234.85675949999342</v>
      </c>
      <c r="AR893" s="10">
        <f t="shared" si="115"/>
        <v>260.94934548044267</v>
      </c>
      <c r="AS893" s="10">
        <f t="shared" si="116"/>
        <v>365.62500318958973</v>
      </c>
    </row>
    <row r="894" spans="1:45" x14ac:dyDescent="0.3">
      <c r="A894">
        <v>2025</v>
      </c>
      <c r="B894">
        <v>8</v>
      </c>
      <c r="C894" t="s">
        <v>55</v>
      </c>
      <c r="D894">
        <v>10</v>
      </c>
      <c r="E894" t="s">
        <v>36</v>
      </c>
      <c r="F894" t="s">
        <v>37</v>
      </c>
      <c r="G894" t="s">
        <v>38</v>
      </c>
      <c r="H894" t="s">
        <v>101</v>
      </c>
      <c r="I894" t="s">
        <v>190</v>
      </c>
      <c r="J894" t="s">
        <v>58</v>
      </c>
      <c r="K894" t="s">
        <v>59</v>
      </c>
      <c r="L894" t="s">
        <v>1194</v>
      </c>
      <c r="M894" t="s">
        <v>1195</v>
      </c>
      <c r="N894" t="s">
        <v>1196</v>
      </c>
      <c r="O894" t="s">
        <v>1197</v>
      </c>
      <c r="Q894" t="s">
        <v>62</v>
      </c>
      <c r="R894" t="s">
        <v>1198</v>
      </c>
      <c r="S894" t="s">
        <v>1198</v>
      </c>
      <c r="T894" t="s">
        <v>47</v>
      </c>
      <c r="U894" t="s">
        <v>167</v>
      </c>
      <c r="V894" t="s">
        <v>49</v>
      </c>
      <c r="W894" t="s">
        <v>168</v>
      </c>
      <c r="X894" t="s">
        <v>388</v>
      </c>
      <c r="Y894" t="s">
        <v>1410</v>
      </c>
      <c r="Z894" t="s">
        <v>1410</v>
      </c>
      <c r="AA894" t="s">
        <v>569</v>
      </c>
      <c r="AB894" s="3">
        <f t="shared" si="109"/>
        <v>6.0000000000000009</v>
      </c>
      <c r="AC894">
        <v>679.35</v>
      </c>
      <c r="AD894" s="2">
        <v>113.22499999999999</v>
      </c>
      <c r="AE894" s="2">
        <v>48.69</v>
      </c>
      <c r="AF894" s="2">
        <v>4.4000000000000004</v>
      </c>
      <c r="AG894" s="2">
        <v>732.43</v>
      </c>
      <c r="AH894">
        <v>0</v>
      </c>
      <c r="AI894">
        <v>122.07166666667</v>
      </c>
      <c r="AJ894">
        <v>3.66215</v>
      </c>
      <c r="AK894" t="s">
        <v>54</v>
      </c>
      <c r="AL894">
        <v>5.72</v>
      </c>
      <c r="AM894" s="4">
        <f t="shared" si="110"/>
        <v>122.07166666666664</v>
      </c>
      <c r="AN894" s="4">
        <f t="shared" si="111"/>
        <v>212.296875</v>
      </c>
      <c r="AO894" s="4">
        <f t="shared" si="112"/>
        <v>235.86182812499999</v>
      </c>
      <c r="AP894" s="4">
        <f t="shared" si="113"/>
        <v>343.89970781249997</v>
      </c>
      <c r="AQ894" s="10">
        <f t="shared" si="114"/>
        <v>212.29483549999998</v>
      </c>
      <c r="AR894" s="10">
        <f t="shared" si="115"/>
        <v>235.88079172404997</v>
      </c>
      <c r="AS894" s="10">
        <f t="shared" si="116"/>
        <v>330.50059990639994</v>
      </c>
    </row>
    <row r="895" spans="1:45" x14ac:dyDescent="0.3">
      <c r="A895">
        <v>2025</v>
      </c>
      <c r="B895">
        <v>9</v>
      </c>
      <c r="C895" t="s">
        <v>55</v>
      </c>
      <c r="D895">
        <v>10</v>
      </c>
      <c r="E895" t="s">
        <v>36</v>
      </c>
      <c r="F895" t="s">
        <v>37</v>
      </c>
      <c r="G895" t="s">
        <v>38</v>
      </c>
      <c r="H895" t="s">
        <v>101</v>
      </c>
      <c r="I895" t="s">
        <v>375</v>
      </c>
      <c r="J895" t="s">
        <v>376</v>
      </c>
      <c r="K895" t="s">
        <v>59</v>
      </c>
      <c r="L895" t="s">
        <v>1483</v>
      </c>
      <c r="M895" t="s">
        <v>1484</v>
      </c>
      <c r="N895" t="s">
        <v>1485</v>
      </c>
      <c r="O895" t="s">
        <v>1197</v>
      </c>
      <c r="Q895" t="s">
        <v>62</v>
      </c>
      <c r="R895" t="s">
        <v>1486</v>
      </c>
      <c r="S895" t="s">
        <v>1486</v>
      </c>
      <c r="T895" t="s">
        <v>47</v>
      </c>
      <c r="U895" t="s">
        <v>167</v>
      </c>
      <c r="V895" t="s">
        <v>49</v>
      </c>
      <c r="W895" t="s">
        <v>168</v>
      </c>
      <c r="X895" t="s">
        <v>51</v>
      </c>
      <c r="Y895" t="s">
        <v>1410</v>
      </c>
      <c r="Z895" t="s">
        <v>1410</v>
      </c>
      <c r="AA895" t="s">
        <v>569</v>
      </c>
      <c r="AB895" s="3">
        <f t="shared" si="109"/>
        <v>10</v>
      </c>
      <c r="AC895">
        <v>1132.25</v>
      </c>
      <c r="AD895" s="2">
        <v>113.22499999999999</v>
      </c>
      <c r="AE895" s="2">
        <v>81.14</v>
      </c>
      <c r="AF895" s="2">
        <v>7.33</v>
      </c>
      <c r="AG895" s="2">
        <v>1220.72</v>
      </c>
      <c r="AH895">
        <v>0</v>
      </c>
      <c r="AI895">
        <v>122.072</v>
      </c>
      <c r="AJ895">
        <v>6.1036000000000001</v>
      </c>
      <c r="AK895" t="s">
        <v>54</v>
      </c>
      <c r="AL895">
        <v>9.5299999999999994</v>
      </c>
      <c r="AM895" s="4">
        <f t="shared" si="110"/>
        <v>122.072</v>
      </c>
      <c r="AN895" s="4">
        <f t="shared" si="111"/>
        <v>212.296875</v>
      </c>
      <c r="AO895" s="4">
        <f t="shared" si="112"/>
        <v>235.86182812499999</v>
      </c>
      <c r="AP895" s="4">
        <f t="shared" si="113"/>
        <v>343.89970781249997</v>
      </c>
      <c r="AQ895" s="10">
        <f t="shared" si="114"/>
        <v>212.29541520000001</v>
      </c>
      <c r="AR895" s="10">
        <f t="shared" si="115"/>
        <v>235.88143582872002</v>
      </c>
      <c r="AS895" s="10">
        <f t="shared" si="116"/>
        <v>330.50150238335999</v>
      </c>
    </row>
    <row r="896" spans="1:45" x14ac:dyDescent="0.3">
      <c r="A896">
        <v>2025</v>
      </c>
      <c r="B896">
        <v>12</v>
      </c>
      <c r="C896" t="s">
        <v>55</v>
      </c>
      <c r="D896">
        <v>10</v>
      </c>
      <c r="E896" t="s">
        <v>36</v>
      </c>
      <c r="F896" t="s">
        <v>37</v>
      </c>
      <c r="G896" t="s">
        <v>38</v>
      </c>
      <c r="H896" t="s">
        <v>83</v>
      </c>
      <c r="I896" t="s">
        <v>57</v>
      </c>
      <c r="J896" t="s">
        <v>58</v>
      </c>
      <c r="K896" t="s">
        <v>59</v>
      </c>
      <c r="L896" t="s">
        <v>1769</v>
      </c>
      <c r="M896" t="s">
        <v>1770</v>
      </c>
      <c r="N896" t="s">
        <v>1771</v>
      </c>
      <c r="O896" t="s">
        <v>1197</v>
      </c>
      <c r="Q896" t="s">
        <v>62</v>
      </c>
      <c r="R896" t="s">
        <v>1772</v>
      </c>
      <c r="S896" t="s">
        <v>1772</v>
      </c>
      <c r="T896" t="s">
        <v>47</v>
      </c>
      <c r="U896" t="s">
        <v>153</v>
      </c>
      <c r="V896" t="s">
        <v>49</v>
      </c>
      <c r="W896" t="s">
        <v>154</v>
      </c>
      <c r="X896" t="s">
        <v>51</v>
      </c>
      <c r="Y896" t="s">
        <v>1410</v>
      </c>
      <c r="Z896" t="s">
        <v>1410</v>
      </c>
      <c r="AA896" t="s">
        <v>569</v>
      </c>
      <c r="AB896" s="3">
        <f t="shared" si="109"/>
        <v>10.000000000000002</v>
      </c>
      <c r="AC896">
        <v>1114.45</v>
      </c>
      <c r="AD896" s="2">
        <v>111.44499999999999</v>
      </c>
      <c r="AE896" s="2">
        <v>172.81</v>
      </c>
      <c r="AF896" s="2">
        <v>7.9</v>
      </c>
      <c r="AG896" s="2">
        <v>1295.1600000000001</v>
      </c>
      <c r="AH896">
        <v>0</v>
      </c>
      <c r="AI896">
        <v>129.51599999999999</v>
      </c>
      <c r="AJ896">
        <v>6.4757999999999996</v>
      </c>
      <c r="AK896" t="s">
        <v>54</v>
      </c>
      <c r="AL896">
        <v>7.15</v>
      </c>
      <c r="AM896" s="4">
        <f t="shared" si="110"/>
        <v>129.51599999999999</v>
      </c>
      <c r="AN896" s="4">
        <f t="shared" si="111"/>
        <v>208.95937499999999</v>
      </c>
      <c r="AO896" s="4">
        <f t="shared" si="112"/>
        <v>232.15386562499998</v>
      </c>
      <c r="AP896" s="4">
        <f t="shared" si="113"/>
        <v>338.49329156249996</v>
      </c>
      <c r="AQ896" s="10">
        <f t="shared" si="114"/>
        <v>225.24127559999999</v>
      </c>
      <c r="AR896" s="10">
        <f t="shared" si="115"/>
        <v>250.26558131915999</v>
      </c>
      <c r="AS896" s="10">
        <f t="shared" si="116"/>
        <v>350.65561785407999</v>
      </c>
    </row>
    <row r="897" spans="1:45" x14ac:dyDescent="0.3">
      <c r="A897">
        <v>2025</v>
      </c>
      <c r="B897">
        <v>8</v>
      </c>
      <c r="C897" t="s">
        <v>55</v>
      </c>
      <c r="D897">
        <v>10</v>
      </c>
      <c r="E897" t="s">
        <v>36</v>
      </c>
      <c r="F897" t="s">
        <v>37</v>
      </c>
      <c r="G897" t="s">
        <v>38</v>
      </c>
      <c r="H897" t="s">
        <v>83</v>
      </c>
      <c r="I897" t="s">
        <v>190</v>
      </c>
      <c r="J897" t="s">
        <v>58</v>
      </c>
      <c r="K897" t="s">
        <v>59</v>
      </c>
      <c r="L897" t="s">
        <v>1194</v>
      </c>
      <c r="M897" t="s">
        <v>1195</v>
      </c>
      <c r="N897" t="s">
        <v>1196</v>
      </c>
      <c r="O897" t="s">
        <v>1197</v>
      </c>
      <c r="Q897" t="s">
        <v>62</v>
      </c>
      <c r="R897" t="s">
        <v>1198</v>
      </c>
      <c r="S897" t="s">
        <v>1198</v>
      </c>
      <c r="T897" t="s">
        <v>47</v>
      </c>
      <c r="U897" t="s">
        <v>1277</v>
      </c>
      <c r="V897" t="s">
        <v>49</v>
      </c>
      <c r="W897" t="s">
        <v>1278</v>
      </c>
      <c r="X897" t="s">
        <v>388</v>
      </c>
      <c r="Y897" t="s">
        <v>1881</v>
      </c>
      <c r="Z897" t="s">
        <v>1881</v>
      </c>
      <c r="AA897" t="s">
        <v>1882</v>
      </c>
      <c r="AB897" s="3">
        <f t="shared" si="109"/>
        <v>2</v>
      </c>
      <c r="AC897">
        <v>775.48</v>
      </c>
      <c r="AD897" s="2">
        <v>387.74</v>
      </c>
      <c r="AE897" s="2">
        <v>230.21</v>
      </c>
      <c r="AF897" s="2">
        <v>5.82</v>
      </c>
      <c r="AG897" s="2">
        <v>1011.51</v>
      </c>
      <c r="AH897">
        <v>0</v>
      </c>
      <c r="AI897">
        <v>505.755</v>
      </c>
      <c r="AJ897">
        <v>5.05755</v>
      </c>
      <c r="AK897" t="s">
        <v>54</v>
      </c>
      <c r="AL897">
        <v>5.76</v>
      </c>
      <c r="AM897" s="4">
        <f t="shared" si="110"/>
        <v>505.755</v>
      </c>
      <c r="AN897" s="4">
        <f t="shared" si="111"/>
        <v>727.01250000000005</v>
      </c>
      <c r="AO897" s="4">
        <f t="shared" si="112"/>
        <v>807.71088750000001</v>
      </c>
      <c r="AP897" s="4">
        <f t="shared" si="113"/>
        <v>1177.6875487499999</v>
      </c>
      <c r="AQ897" s="10">
        <f t="shared" si="114"/>
        <v>879.55852049999999</v>
      </c>
      <c r="AR897" s="10">
        <f t="shared" si="115"/>
        <v>977.27747212754991</v>
      </c>
      <c r="AS897" s="10">
        <f t="shared" si="116"/>
        <v>1369.2967047144</v>
      </c>
    </row>
    <row r="898" spans="1:45" x14ac:dyDescent="0.3">
      <c r="A898">
        <v>2025</v>
      </c>
      <c r="B898">
        <v>8</v>
      </c>
      <c r="C898" t="s">
        <v>55</v>
      </c>
      <c r="D898">
        <v>10</v>
      </c>
      <c r="E898" t="s">
        <v>36</v>
      </c>
      <c r="F898" t="s">
        <v>37</v>
      </c>
      <c r="G898" t="s">
        <v>38</v>
      </c>
      <c r="H898" t="s">
        <v>83</v>
      </c>
      <c r="I898" t="s">
        <v>190</v>
      </c>
      <c r="J898" t="s">
        <v>58</v>
      </c>
      <c r="K898" t="s">
        <v>59</v>
      </c>
      <c r="L898" t="s">
        <v>1194</v>
      </c>
      <c r="M898" t="s">
        <v>1195</v>
      </c>
      <c r="N898" t="s">
        <v>1196</v>
      </c>
      <c r="O898" t="s">
        <v>1197</v>
      </c>
      <c r="Q898" t="s">
        <v>62</v>
      </c>
      <c r="R898" t="s">
        <v>1198</v>
      </c>
      <c r="S898" t="s">
        <v>1198</v>
      </c>
      <c r="T898" t="s">
        <v>47</v>
      </c>
      <c r="U898" t="s">
        <v>1277</v>
      </c>
      <c r="V898" t="s">
        <v>49</v>
      </c>
      <c r="W898" t="s">
        <v>1278</v>
      </c>
      <c r="X898" t="s">
        <v>388</v>
      </c>
      <c r="Y898" t="s">
        <v>1279</v>
      </c>
      <c r="Z898" t="s">
        <v>1279</v>
      </c>
      <c r="AA898" t="s">
        <v>1280</v>
      </c>
      <c r="AB898" s="3">
        <f t="shared" si="109"/>
        <v>3</v>
      </c>
      <c r="AC898">
        <v>125.91</v>
      </c>
      <c r="AD898" s="2">
        <v>41.97</v>
      </c>
      <c r="AE898" s="2">
        <v>9.1999999999999993</v>
      </c>
      <c r="AF898" s="2">
        <v>0.82</v>
      </c>
      <c r="AG898" s="2">
        <v>135.75</v>
      </c>
      <c r="AH898">
        <v>0</v>
      </c>
      <c r="AI898">
        <v>45.25</v>
      </c>
      <c r="AJ898">
        <v>0.67874999999999996</v>
      </c>
      <c r="AK898" t="s">
        <v>54</v>
      </c>
      <c r="AL898">
        <v>1.6</v>
      </c>
      <c r="AM898" s="4">
        <f t="shared" si="110"/>
        <v>45.25</v>
      </c>
      <c r="AN898" s="4">
        <f t="shared" si="111"/>
        <v>78.693749999999994</v>
      </c>
      <c r="AO898" s="4">
        <f t="shared" si="112"/>
        <v>87.428756249999992</v>
      </c>
      <c r="AP898" s="4">
        <f t="shared" si="113"/>
        <v>127.47600562499998</v>
      </c>
      <c r="AQ898" s="10">
        <f t="shared" si="114"/>
        <v>78.694275000000005</v>
      </c>
      <c r="AR898" s="10">
        <f t="shared" si="115"/>
        <v>87.437208952500001</v>
      </c>
      <c r="AS898" s="10">
        <f t="shared" si="116"/>
        <v>122.51124732000001</v>
      </c>
    </row>
    <row r="899" spans="1:45" x14ac:dyDescent="0.3">
      <c r="A899">
        <v>2025</v>
      </c>
      <c r="B899">
        <v>8</v>
      </c>
      <c r="C899" t="s">
        <v>55</v>
      </c>
      <c r="D899">
        <v>10</v>
      </c>
      <c r="E899" t="s">
        <v>36</v>
      </c>
      <c r="F899" t="s">
        <v>37</v>
      </c>
      <c r="G899" t="s">
        <v>38</v>
      </c>
      <c r="H899" t="s">
        <v>83</v>
      </c>
      <c r="I899" t="s">
        <v>190</v>
      </c>
      <c r="J899" t="s">
        <v>58</v>
      </c>
      <c r="K899" t="s">
        <v>59</v>
      </c>
      <c r="L899" t="s">
        <v>1194</v>
      </c>
      <c r="M899" t="s">
        <v>1195</v>
      </c>
      <c r="N899" t="s">
        <v>1196</v>
      </c>
      <c r="O899" t="s">
        <v>1197</v>
      </c>
      <c r="Q899" t="s">
        <v>62</v>
      </c>
      <c r="R899" t="s">
        <v>1198</v>
      </c>
      <c r="S899" t="s">
        <v>1198</v>
      </c>
      <c r="T899" t="s">
        <v>47</v>
      </c>
      <c r="U899" t="s">
        <v>1277</v>
      </c>
      <c r="V899" t="s">
        <v>49</v>
      </c>
      <c r="W899" t="s">
        <v>1278</v>
      </c>
      <c r="X899" t="s">
        <v>388</v>
      </c>
      <c r="Y899" t="s">
        <v>1281</v>
      </c>
      <c r="Z899" t="s">
        <v>1281</v>
      </c>
      <c r="AA899" t="s">
        <v>1280</v>
      </c>
      <c r="AB899" s="3">
        <f t="shared" ref="AB899:AB962" si="117">SUM(AC899/AD899)</f>
        <v>3</v>
      </c>
      <c r="AC899">
        <v>125.91</v>
      </c>
      <c r="AD899" s="2">
        <v>41.97</v>
      </c>
      <c r="AE899" s="2">
        <v>9.1999999999999993</v>
      </c>
      <c r="AF899" s="2">
        <v>0.82</v>
      </c>
      <c r="AG899" s="2">
        <v>135.75</v>
      </c>
      <c r="AH899">
        <v>0</v>
      </c>
      <c r="AI899">
        <v>45.25</v>
      </c>
      <c r="AJ899">
        <v>0.67874999999999996</v>
      </c>
      <c r="AK899" t="s">
        <v>54</v>
      </c>
      <c r="AL899">
        <v>1.6</v>
      </c>
      <c r="AM899" s="4">
        <f t="shared" ref="AM899:AM962" si="118">SUM(AG899/AB899)</f>
        <v>45.25</v>
      </c>
      <c r="AN899" s="4">
        <f t="shared" ref="AN899:AN962" si="119">SUM(AD899*1.875)</f>
        <v>78.693749999999994</v>
      </c>
      <c r="AO899" s="4">
        <f t="shared" si="112"/>
        <v>87.428756249999992</v>
      </c>
      <c r="AP899" s="4">
        <f t="shared" si="113"/>
        <v>127.47600562499998</v>
      </c>
      <c r="AQ899" s="10">
        <f t="shared" si="114"/>
        <v>78.694275000000005</v>
      </c>
      <c r="AR899" s="10">
        <f t="shared" si="115"/>
        <v>87.437208952500001</v>
      </c>
      <c r="AS899" s="10">
        <f t="shared" si="116"/>
        <v>122.51124732000001</v>
      </c>
    </row>
    <row r="900" spans="1:45" x14ac:dyDescent="0.3">
      <c r="A900">
        <v>2025</v>
      </c>
      <c r="B900">
        <v>3</v>
      </c>
      <c r="C900" t="s">
        <v>55</v>
      </c>
      <c r="D900">
        <v>10</v>
      </c>
      <c r="E900" t="s">
        <v>36</v>
      </c>
      <c r="F900" t="s">
        <v>37</v>
      </c>
      <c r="G900" t="s">
        <v>38</v>
      </c>
      <c r="H900" t="s">
        <v>83</v>
      </c>
      <c r="I900" t="s">
        <v>190</v>
      </c>
      <c r="J900" t="s">
        <v>58</v>
      </c>
      <c r="K900" t="s">
        <v>59</v>
      </c>
      <c r="M900" t="s">
        <v>213</v>
      </c>
      <c r="N900" t="s">
        <v>61</v>
      </c>
      <c r="O900" t="s">
        <v>43</v>
      </c>
      <c r="Q900" t="s">
        <v>62</v>
      </c>
      <c r="R900" t="s">
        <v>214</v>
      </c>
      <c r="S900" t="s">
        <v>215</v>
      </c>
      <c r="T900" t="s">
        <v>47</v>
      </c>
      <c r="U900" t="s">
        <v>247</v>
      </c>
      <c r="V900" t="s">
        <v>49</v>
      </c>
      <c r="W900" t="s">
        <v>248</v>
      </c>
      <c r="X900" t="s">
        <v>51</v>
      </c>
      <c r="Y900" t="s">
        <v>1281</v>
      </c>
      <c r="Z900" t="s">
        <v>1281</v>
      </c>
      <c r="AA900" t="s">
        <v>1280</v>
      </c>
      <c r="AB900" s="3">
        <f t="shared" si="117"/>
        <v>3</v>
      </c>
      <c r="AC900">
        <v>125.91</v>
      </c>
      <c r="AD900" s="2">
        <v>41.97</v>
      </c>
      <c r="AE900" s="2">
        <v>9.1999999999999993</v>
      </c>
      <c r="AF900" s="2">
        <v>0.82</v>
      </c>
      <c r="AG900" s="2">
        <v>135.75</v>
      </c>
      <c r="AH900">
        <v>0</v>
      </c>
      <c r="AI900">
        <v>45.25</v>
      </c>
      <c r="AJ900">
        <v>0.67874999999999996</v>
      </c>
      <c r="AK900" t="s">
        <v>54</v>
      </c>
      <c r="AL900">
        <v>1.6</v>
      </c>
      <c r="AM900" s="4">
        <f t="shared" si="118"/>
        <v>45.25</v>
      </c>
      <c r="AN900" s="4">
        <f t="shared" si="119"/>
        <v>78.693749999999994</v>
      </c>
      <c r="AO900" s="4">
        <f t="shared" ref="AO900:AO963" si="120">SUM(AN900)*1.111</f>
        <v>87.428756249999992</v>
      </c>
      <c r="AP900" s="4">
        <f t="shared" ref="AP900:AP963" si="121">SUM(AN900)*1.6199</f>
        <v>127.47600562499998</v>
      </c>
      <c r="AQ900" s="10">
        <f t="shared" si="114"/>
        <v>78.694275000000005</v>
      </c>
      <c r="AR900" s="10">
        <f t="shared" si="115"/>
        <v>87.437208952500001</v>
      </c>
      <c r="AS900" s="10">
        <f t="shared" si="116"/>
        <v>122.51124732000001</v>
      </c>
    </row>
    <row r="901" spans="1:45" x14ac:dyDescent="0.3">
      <c r="A901">
        <v>2025</v>
      </c>
      <c r="B901">
        <v>4</v>
      </c>
      <c r="C901" t="s">
        <v>55</v>
      </c>
      <c r="D901">
        <v>10</v>
      </c>
      <c r="E901" t="s">
        <v>36</v>
      </c>
      <c r="F901" t="s">
        <v>37</v>
      </c>
      <c r="G901" t="s">
        <v>38</v>
      </c>
      <c r="H901" t="s">
        <v>83</v>
      </c>
      <c r="I901" t="s">
        <v>375</v>
      </c>
      <c r="J901" t="s">
        <v>376</v>
      </c>
      <c r="K901" t="s">
        <v>59</v>
      </c>
      <c r="M901">
        <v>2503061</v>
      </c>
      <c r="N901" t="s">
        <v>377</v>
      </c>
      <c r="O901" t="s">
        <v>36</v>
      </c>
      <c r="Q901" t="s">
        <v>62</v>
      </c>
      <c r="R901" t="s">
        <v>378</v>
      </c>
      <c r="S901" t="s">
        <v>378</v>
      </c>
      <c r="T901" t="s">
        <v>47</v>
      </c>
      <c r="U901" t="s">
        <v>244</v>
      </c>
      <c r="V901" t="s">
        <v>49</v>
      </c>
      <c r="W901" t="s">
        <v>90</v>
      </c>
      <c r="X901" t="s">
        <v>51</v>
      </c>
      <c r="Y901" t="s">
        <v>249</v>
      </c>
      <c r="Z901" t="s">
        <v>64</v>
      </c>
      <c r="AA901" t="s">
        <v>250</v>
      </c>
      <c r="AB901" s="3">
        <f t="shared" si="117"/>
        <v>10</v>
      </c>
      <c r="AC901">
        <v>594.21</v>
      </c>
      <c r="AD901" s="2">
        <v>59.420999999999999</v>
      </c>
      <c r="AE901" s="2">
        <v>124.7</v>
      </c>
      <c r="AF901" s="2">
        <v>4.4000000000000004</v>
      </c>
      <c r="AG901" s="2">
        <v>723.31</v>
      </c>
      <c r="AH901">
        <v>0</v>
      </c>
      <c r="AI901">
        <v>72.331000000000003</v>
      </c>
      <c r="AJ901">
        <v>3.6165500000000002</v>
      </c>
      <c r="AK901" t="s">
        <v>54</v>
      </c>
      <c r="AL901">
        <v>19.440000000000001</v>
      </c>
      <c r="AM901" s="4">
        <f t="shared" si="118"/>
        <v>72.330999999999989</v>
      </c>
      <c r="AN901" s="4">
        <f t="shared" si="119"/>
        <v>111.41437499999999</v>
      </c>
      <c r="AO901" s="4">
        <f t="shared" si="120"/>
        <v>123.78137062499999</v>
      </c>
      <c r="AP901" s="4">
        <f t="shared" si="121"/>
        <v>180.48014606249998</v>
      </c>
      <c r="AQ901" s="10">
        <f t="shared" si="114"/>
        <v>125.79084209999999</v>
      </c>
      <c r="AR901" s="10">
        <f t="shared" si="115"/>
        <v>139.76620465731</v>
      </c>
      <c r="AS901" s="10">
        <f t="shared" si="116"/>
        <v>195.83118298127999</v>
      </c>
    </row>
    <row r="902" spans="1:45" x14ac:dyDescent="0.3">
      <c r="A902">
        <v>2025</v>
      </c>
      <c r="B902">
        <v>4</v>
      </c>
      <c r="C902" t="s">
        <v>55</v>
      </c>
      <c r="D902">
        <v>10</v>
      </c>
      <c r="E902" t="s">
        <v>36</v>
      </c>
      <c r="F902" t="s">
        <v>37</v>
      </c>
      <c r="G902" t="s">
        <v>38</v>
      </c>
      <c r="H902" t="s">
        <v>83</v>
      </c>
      <c r="I902" t="s">
        <v>375</v>
      </c>
      <c r="J902" t="s">
        <v>376</v>
      </c>
      <c r="K902" t="s">
        <v>59</v>
      </c>
      <c r="M902">
        <v>2503061</v>
      </c>
      <c r="N902" t="s">
        <v>377</v>
      </c>
      <c r="O902" t="s">
        <v>36</v>
      </c>
      <c r="Q902" t="s">
        <v>62</v>
      </c>
      <c r="R902" t="s">
        <v>378</v>
      </c>
      <c r="S902" t="s">
        <v>378</v>
      </c>
      <c r="T902" t="s">
        <v>47</v>
      </c>
      <c r="U902" t="s">
        <v>244</v>
      </c>
      <c r="V902" t="s">
        <v>49</v>
      </c>
      <c r="W902" t="s">
        <v>90</v>
      </c>
      <c r="X902" t="s">
        <v>51</v>
      </c>
      <c r="Y902" t="s">
        <v>353</v>
      </c>
      <c r="Z902" t="s">
        <v>353</v>
      </c>
      <c r="AA902" t="s">
        <v>250</v>
      </c>
      <c r="AB902" s="3">
        <f t="shared" si="117"/>
        <v>11.040000000000003</v>
      </c>
      <c r="AC902">
        <v>589.75</v>
      </c>
      <c r="AD902" s="2">
        <v>53.419384057971001</v>
      </c>
      <c r="AE902" s="2">
        <v>150.87</v>
      </c>
      <c r="AF902" s="2">
        <v>4.09</v>
      </c>
      <c r="AG902" s="2">
        <v>744.7</v>
      </c>
      <c r="AH902">
        <v>0</v>
      </c>
      <c r="AI902">
        <v>67.454710144928001</v>
      </c>
      <c r="AJ902">
        <v>3.7235</v>
      </c>
      <c r="AK902" t="s">
        <v>54</v>
      </c>
      <c r="AL902">
        <v>7.2</v>
      </c>
      <c r="AM902" s="4">
        <f t="shared" si="118"/>
        <v>67.454710144927517</v>
      </c>
      <c r="AN902" s="4">
        <f t="shared" si="119"/>
        <v>100.16134510869563</v>
      </c>
      <c r="AO902" s="4">
        <f t="shared" si="120"/>
        <v>111.27925441576085</v>
      </c>
      <c r="AP902" s="4">
        <f t="shared" si="121"/>
        <v>162.25136294157605</v>
      </c>
      <c r="AQ902" s="10">
        <f t="shared" si="114"/>
        <v>117.31048641304345</v>
      </c>
      <c r="AR902" s="10">
        <f t="shared" si="115"/>
        <v>130.34368145353258</v>
      </c>
      <c r="AS902" s="10">
        <f t="shared" si="116"/>
        <v>182.62896524782605</v>
      </c>
    </row>
    <row r="903" spans="1:45" x14ac:dyDescent="0.3">
      <c r="A903">
        <v>2025</v>
      </c>
      <c r="B903">
        <v>4</v>
      </c>
      <c r="C903" t="s">
        <v>55</v>
      </c>
      <c r="D903">
        <v>10</v>
      </c>
      <c r="E903" t="s">
        <v>36</v>
      </c>
      <c r="F903" t="s">
        <v>37</v>
      </c>
      <c r="G903" t="s">
        <v>38</v>
      </c>
      <c r="H903" t="s">
        <v>83</v>
      </c>
      <c r="I903" t="s">
        <v>190</v>
      </c>
      <c r="J903" t="s">
        <v>58</v>
      </c>
      <c r="K903" t="s">
        <v>59</v>
      </c>
      <c r="M903" t="s">
        <v>383</v>
      </c>
      <c r="N903" t="s">
        <v>384</v>
      </c>
      <c r="O903" t="s">
        <v>36</v>
      </c>
      <c r="Q903" t="s">
        <v>62</v>
      </c>
      <c r="R903" t="s">
        <v>385</v>
      </c>
      <c r="S903" t="s">
        <v>385</v>
      </c>
      <c r="T903" t="s">
        <v>47</v>
      </c>
      <c r="U903" t="s">
        <v>247</v>
      </c>
      <c r="V903" t="s">
        <v>49</v>
      </c>
      <c r="W903" t="s">
        <v>248</v>
      </c>
      <c r="X903" t="s">
        <v>388</v>
      </c>
      <c r="Y903" t="s">
        <v>353</v>
      </c>
      <c r="Z903" t="s">
        <v>353</v>
      </c>
      <c r="AA903" t="s">
        <v>250</v>
      </c>
      <c r="AB903" s="3">
        <f t="shared" si="117"/>
        <v>13.819999999999922</v>
      </c>
      <c r="AC903">
        <v>464.71</v>
      </c>
      <c r="AD903" s="2">
        <v>33.625904486251997</v>
      </c>
      <c r="AE903" s="2">
        <v>188.8</v>
      </c>
      <c r="AF903" s="2">
        <v>3.16</v>
      </c>
      <c r="AG903" s="2">
        <v>656.67</v>
      </c>
      <c r="AH903">
        <v>0</v>
      </c>
      <c r="AI903">
        <v>47.515918958032003</v>
      </c>
      <c r="AJ903">
        <v>3.28335</v>
      </c>
      <c r="AK903" t="s">
        <v>54</v>
      </c>
      <c r="AL903">
        <v>9.01</v>
      </c>
      <c r="AM903" s="4">
        <f t="shared" si="118"/>
        <v>47.515918958032103</v>
      </c>
      <c r="AN903" s="4">
        <f t="shared" si="119"/>
        <v>63.048570911722493</v>
      </c>
      <c r="AO903" s="4">
        <f t="shared" si="120"/>
        <v>70.046962282923687</v>
      </c>
      <c r="AP903" s="4">
        <f t="shared" si="121"/>
        <v>102.13238001989926</v>
      </c>
      <c r="AQ903" s="10">
        <f t="shared" si="114"/>
        <v>82.63493465991364</v>
      </c>
      <c r="AR903" s="10">
        <f t="shared" si="115"/>
        <v>91.81567590063004</v>
      </c>
      <c r="AS903" s="10">
        <f t="shared" si="116"/>
        <v>128.64606627855355</v>
      </c>
    </row>
    <row r="904" spans="1:45" x14ac:dyDescent="0.3">
      <c r="A904">
        <v>2025</v>
      </c>
      <c r="B904">
        <v>5</v>
      </c>
      <c r="C904" t="s">
        <v>55</v>
      </c>
      <c r="D904">
        <v>10</v>
      </c>
      <c r="E904" t="s">
        <v>36</v>
      </c>
      <c r="F904" t="s">
        <v>37</v>
      </c>
      <c r="G904" t="s">
        <v>38</v>
      </c>
      <c r="H904" t="s">
        <v>83</v>
      </c>
      <c r="I904" t="s">
        <v>190</v>
      </c>
      <c r="J904" t="s">
        <v>58</v>
      </c>
      <c r="K904" t="s">
        <v>59</v>
      </c>
      <c r="M904" t="s">
        <v>682</v>
      </c>
      <c r="N904" t="s">
        <v>384</v>
      </c>
      <c r="O904" t="s">
        <v>36</v>
      </c>
      <c r="Q904" t="s">
        <v>62</v>
      </c>
      <c r="R904" t="s">
        <v>683</v>
      </c>
      <c r="S904" t="s">
        <v>683</v>
      </c>
      <c r="T904" t="s">
        <v>47</v>
      </c>
      <c r="U904" t="s">
        <v>244</v>
      </c>
      <c r="V904" t="s">
        <v>49</v>
      </c>
      <c r="W904" t="s">
        <v>90</v>
      </c>
      <c r="X904" t="s">
        <v>686</v>
      </c>
      <c r="Y904" t="s">
        <v>249</v>
      </c>
      <c r="Z904" t="s">
        <v>249</v>
      </c>
      <c r="AA904" t="s">
        <v>250</v>
      </c>
      <c r="AB904" s="3">
        <f t="shared" si="117"/>
        <v>10.889999999999979</v>
      </c>
      <c r="AC904">
        <v>575.1</v>
      </c>
      <c r="AD904" s="2">
        <v>52.809917355372001</v>
      </c>
      <c r="AE904" s="2">
        <v>122.59</v>
      </c>
      <c r="AF904" s="2">
        <v>3.66</v>
      </c>
      <c r="AG904" s="2">
        <v>701.36</v>
      </c>
      <c r="AH904">
        <v>0</v>
      </c>
      <c r="AI904">
        <v>64.404040404040003</v>
      </c>
      <c r="AJ904">
        <v>3.5068000000000001</v>
      </c>
      <c r="AK904" t="s">
        <v>54</v>
      </c>
      <c r="AL904">
        <v>6.24</v>
      </c>
      <c r="AM904" s="4">
        <f t="shared" si="118"/>
        <v>64.404040404040529</v>
      </c>
      <c r="AN904" s="4">
        <f t="shared" si="119"/>
        <v>99.018595041322499</v>
      </c>
      <c r="AO904" s="4">
        <f t="shared" si="120"/>
        <v>110.0096590909093</v>
      </c>
      <c r="AP904" s="4">
        <f t="shared" si="121"/>
        <v>160.40022210743831</v>
      </c>
      <c r="AQ904" s="10">
        <f t="shared" si="114"/>
        <v>112.00506666666689</v>
      </c>
      <c r="AR904" s="10">
        <f t="shared" si="115"/>
        <v>124.44882957333358</v>
      </c>
      <c r="AS904" s="10">
        <f t="shared" si="116"/>
        <v>174.36948778666701</v>
      </c>
    </row>
    <row r="905" spans="1:45" x14ac:dyDescent="0.3">
      <c r="A905">
        <v>2025</v>
      </c>
      <c r="B905">
        <v>11</v>
      </c>
      <c r="C905" t="s">
        <v>55</v>
      </c>
      <c r="D905">
        <v>10</v>
      </c>
      <c r="E905" t="s">
        <v>36</v>
      </c>
      <c r="F905" t="s">
        <v>37</v>
      </c>
      <c r="G905" t="s">
        <v>38</v>
      </c>
      <c r="H905" t="s">
        <v>83</v>
      </c>
      <c r="I905" t="s">
        <v>375</v>
      </c>
      <c r="J905" t="s">
        <v>376</v>
      </c>
      <c r="K905" t="s">
        <v>59</v>
      </c>
      <c r="L905" t="s">
        <v>1647</v>
      </c>
      <c r="M905" t="s">
        <v>1633</v>
      </c>
      <c r="N905" t="s">
        <v>1485</v>
      </c>
      <c r="O905" t="s">
        <v>1197</v>
      </c>
      <c r="Q905" t="s">
        <v>62</v>
      </c>
      <c r="R905" t="s">
        <v>1648</v>
      </c>
      <c r="S905" t="s">
        <v>1648</v>
      </c>
      <c r="T905" t="s">
        <v>47</v>
      </c>
      <c r="U905" t="s">
        <v>247</v>
      </c>
      <c r="V905" t="s">
        <v>49</v>
      </c>
      <c r="W905" t="s">
        <v>248</v>
      </c>
      <c r="X905" t="s">
        <v>51</v>
      </c>
      <c r="Y905" t="s">
        <v>692</v>
      </c>
      <c r="Z905" t="s">
        <v>692</v>
      </c>
      <c r="AA905" t="s">
        <v>250</v>
      </c>
      <c r="AB905" s="3">
        <f t="shared" si="117"/>
        <v>4.7999999999998826</v>
      </c>
      <c r="AC905">
        <v>65.45</v>
      </c>
      <c r="AD905" s="2">
        <v>13.635416666667</v>
      </c>
      <c r="AE905" s="2">
        <v>94.84</v>
      </c>
      <c r="AF905" s="2">
        <v>0.5</v>
      </c>
      <c r="AG905" s="2">
        <v>160.79</v>
      </c>
      <c r="AH905">
        <v>0</v>
      </c>
      <c r="AI905">
        <v>33.497916666667003</v>
      </c>
      <c r="AJ905">
        <v>0.80395000000000005</v>
      </c>
      <c r="AK905" t="s">
        <v>54</v>
      </c>
      <c r="AL905">
        <v>3.11</v>
      </c>
      <c r="AM905" s="4">
        <f t="shared" si="118"/>
        <v>33.497916666667486</v>
      </c>
      <c r="AN905" s="4">
        <f t="shared" si="119"/>
        <v>25.566406250000625</v>
      </c>
      <c r="AO905" s="4">
        <f t="shared" si="120"/>
        <v>28.404277343750696</v>
      </c>
      <c r="AP905" s="4">
        <f t="shared" si="121"/>
        <v>41.415021484376012</v>
      </c>
      <c r="AQ905" s="10">
        <f t="shared" si="114"/>
        <v>58.256226875001424</v>
      </c>
      <c r="AR905" s="10">
        <f t="shared" si="115"/>
        <v>64.728493680814083</v>
      </c>
      <c r="AS905" s="10">
        <f t="shared" si="116"/>
        <v>90.693293999002208</v>
      </c>
    </row>
    <row r="906" spans="1:45" x14ac:dyDescent="0.3">
      <c r="A906">
        <v>2025</v>
      </c>
      <c r="B906">
        <v>12</v>
      </c>
      <c r="C906" t="s">
        <v>55</v>
      </c>
      <c r="D906">
        <v>10</v>
      </c>
      <c r="E906" t="s">
        <v>36</v>
      </c>
      <c r="F906" t="s">
        <v>37</v>
      </c>
      <c r="G906" t="s">
        <v>38</v>
      </c>
      <c r="H906" t="s">
        <v>83</v>
      </c>
      <c r="I906" t="s">
        <v>57</v>
      </c>
      <c r="J906" t="s">
        <v>58</v>
      </c>
      <c r="K906" t="s">
        <v>59</v>
      </c>
      <c r="L906" t="s">
        <v>1769</v>
      </c>
      <c r="M906" t="s">
        <v>1770</v>
      </c>
      <c r="N906" t="s">
        <v>1771</v>
      </c>
      <c r="O906" t="s">
        <v>1197</v>
      </c>
      <c r="Q906" t="s">
        <v>62</v>
      </c>
      <c r="R906" t="s">
        <v>1772</v>
      </c>
      <c r="S906" t="s">
        <v>1772</v>
      </c>
      <c r="T906" t="s">
        <v>47</v>
      </c>
      <c r="U906" t="s">
        <v>247</v>
      </c>
      <c r="V906" t="s">
        <v>49</v>
      </c>
      <c r="W906" t="s">
        <v>248</v>
      </c>
      <c r="X906" t="s">
        <v>51</v>
      </c>
      <c r="Y906" t="s">
        <v>1657</v>
      </c>
      <c r="Z906" t="s">
        <v>1657</v>
      </c>
      <c r="AA906" t="s">
        <v>250</v>
      </c>
      <c r="AB906" s="3">
        <f t="shared" si="117"/>
        <v>10.000000000000002</v>
      </c>
      <c r="AC906">
        <v>564.46</v>
      </c>
      <c r="AD906" s="2">
        <v>56.445999999999998</v>
      </c>
      <c r="AE906" s="2">
        <v>189.72</v>
      </c>
      <c r="AF906" s="2">
        <v>4.47</v>
      </c>
      <c r="AG906" s="2">
        <v>758.65</v>
      </c>
      <c r="AH906">
        <v>0</v>
      </c>
      <c r="AI906">
        <v>75.864999999999995</v>
      </c>
      <c r="AJ906">
        <v>3.79325</v>
      </c>
      <c r="AK906" t="s">
        <v>54</v>
      </c>
      <c r="AL906">
        <v>4.88</v>
      </c>
      <c r="AM906" s="4">
        <f t="shared" si="118"/>
        <v>75.864999999999981</v>
      </c>
      <c r="AN906" s="4">
        <f t="shared" si="119"/>
        <v>105.83624999999999</v>
      </c>
      <c r="AO906" s="4">
        <f t="shared" si="120"/>
        <v>117.58407374999999</v>
      </c>
      <c r="AP906" s="4">
        <f t="shared" si="121"/>
        <v>171.44414137499999</v>
      </c>
      <c r="AQ906" s="10">
        <f t="shared" si="114"/>
        <v>131.93682149999998</v>
      </c>
      <c r="AR906" s="10">
        <f t="shared" si="115"/>
        <v>146.59500236864997</v>
      </c>
      <c r="AS906" s="10">
        <f t="shared" si="116"/>
        <v>205.39924371119997</v>
      </c>
    </row>
    <row r="907" spans="1:45" x14ac:dyDescent="0.3">
      <c r="A907">
        <v>2025</v>
      </c>
      <c r="B907">
        <v>8</v>
      </c>
      <c r="C907" t="s">
        <v>55</v>
      </c>
      <c r="D907">
        <v>10</v>
      </c>
      <c r="E907" t="s">
        <v>36</v>
      </c>
      <c r="F907" t="s">
        <v>37</v>
      </c>
      <c r="G907" t="s">
        <v>38</v>
      </c>
      <c r="H907" t="s">
        <v>83</v>
      </c>
      <c r="I907" t="s">
        <v>190</v>
      </c>
      <c r="J907" t="s">
        <v>58</v>
      </c>
      <c r="K907" t="s">
        <v>59</v>
      </c>
      <c r="L907" t="s">
        <v>1194</v>
      </c>
      <c r="M907" t="s">
        <v>1195</v>
      </c>
      <c r="N907" t="s">
        <v>1196</v>
      </c>
      <c r="O907" t="s">
        <v>1197</v>
      </c>
      <c r="Q907" t="s">
        <v>62</v>
      </c>
      <c r="R907" t="s">
        <v>1198</v>
      </c>
      <c r="S907" t="s">
        <v>1198</v>
      </c>
      <c r="T907" t="s">
        <v>47</v>
      </c>
      <c r="U907" t="s">
        <v>163</v>
      </c>
      <c r="V907" t="s">
        <v>49</v>
      </c>
      <c r="W907" t="s">
        <v>164</v>
      </c>
      <c r="X907" t="s">
        <v>388</v>
      </c>
      <c r="Y907" t="s">
        <v>1657</v>
      </c>
      <c r="Z907" t="s">
        <v>1657</v>
      </c>
      <c r="AA907" t="s">
        <v>250</v>
      </c>
      <c r="AB907" s="3">
        <f t="shared" si="117"/>
        <v>14.999999999999911</v>
      </c>
      <c r="AC907">
        <v>849.13</v>
      </c>
      <c r="AD907" s="2">
        <v>56.608666666666998</v>
      </c>
      <c r="AE907" s="2">
        <v>252.7</v>
      </c>
      <c r="AF907" s="2">
        <v>6.37</v>
      </c>
      <c r="AG907" s="2">
        <v>1107.57</v>
      </c>
      <c r="AH907">
        <v>0</v>
      </c>
      <c r="AI907">
        <v>73.837999999999994</v>
      </c>
      <c r="AJ907">
        <v>5.5378499999999997</v>
      </c>
      <c r="AK907" t="s">
        <v>54</v>
      </c>
      <c r="AL907">
        <v>6.31</v>
      </c>
      <c r="AM907" s="4">
        <f t="shared" si="118"/>
        <v>73.838000000000434</v>
      </c>
      <c r="AN907" s="4">
        <f t="shared" si="119"/>
        <v>106.14125000000062</v>
      </c>
      <c r="AO907" s="4">
        <f t="shared" si="120"/>
        <v>117.92292875000069</v>
      </c>
      <c r="AP907" s="4">
        <f t="shared" si="121"/>
        <v>171.938210875001</v>
      </c>
      <c r="AQ907" s="10">
        <f t="shared" si="114"/>
        <v>128.41166580000078</v>
      </c>
      <c r="AR907" s="10">
        <f t="shared" si="115"/>
        <v>142.67820187038086</v>
      </c>
      <c r="AS907" s="10">
        <f t="shared" si="116"/>
        <v>199.91128131744119</v>
      </c>
    </row>
    <row r="908" spans="1:45" x14ac:dyDescent="0.3">
      <c r="A908">
        <v>2025</v>
      </c>
      <c r="B908">
        <v>8</v>
      </c>
      <c r="C908" t="s">
        <v>55</v>
      </c>
      <c r="D908">
        <v>10</v>
      </c>
      <c r="E908" t="s">
        <v>36</v>
      </c>
      <c r="F908" t="s">
        <v>37</v>
      </c>
      <c r="G908" t="s">
        <v>38</v>
      </c>
      <c r="H908" t="s">
        <v>83</v>
      </c>
      <c r="I908" t="s">
        <v>190</v>
      </c>
      <c r="J908" t="s">
        <v>58</v>
      </c>
      <c r="K908" t="s">
        <v>59</v>
      </c>
      <c r="L908" t="s">
        <v>1194</v>
      </c>
      <c r="M908" t="s">
        <v>1195</v>
      </c>
      <c r="N908" t="s">
        <v>1196</v>
      </c>
      <c r="O908" t="s">
        <v>1197</v>
      </c>
      <c r="Q908" t="s">
        <v>62</v>
      </c>
      <c r="R908" t="s">
        <v>1198</v>
      </c>
      <c r="S908" t="s">
        <v>1198</v>
      </c>
      <c r="T908" t="s">
        <v>47</v>
      </c>
      <c r="U908" t="s">
        <v>167</v>
      </c>
      <c r="V908" t="s">
        <v>49</v>
      </c>
      <c r="W908" t="s">
        <v>168</v>
      </c>
      <c r="X908" t="s">
        <v>388</v>
      </c>
      <c r="Y908" t="s">
        <v>1384</v>
      </c>
      <c r="Z908" t="s">
        <v>1384</v>
      </c>
      <c r="AA908" t="s">
        <v>1385</v>
      </c>
      <c r="AB908" s="3">
        <f t="shared" si="117"/>
        <v>1</v>
      </c>
      <c r="AC908">
        <v>808.18</v>
      </c>
      <c r="AD908" s="2">
        <v>808.18</v>
      </c>
      <c r="AE908" s="2">
        <v>57.92</v>
      </c>
      <c r="AF908" s="2">
        <v>5.23</v>
      </c>
      <c r="AG908" s="2">
        <v>871.33</v>
      </c>
      <c r="AH908">
        <v>0</v>
      </c>
      <c r="AI908">
        <v>871.33</v>
      </c>
      <c r="AJ908">
        <v>4.3566500000000001</v>
      </c>
      <c r="AK908" t="s">
        <v>54</v>
      </c>
      <c r="AL908">
        <v>6.8</v>
      </c>
      <c r="AM908" s="4">
        <f t="shared" si="118"/>
        <v>871.33</v>
      </c>
      <c r="AN908" s="4">
        <f t="shared" si="119"/>
        <v>1515.3374999999999</v>
      </c>
      <c r="AO908" s="4">
        <f t="shared" si="120"/>
        <v>1683.5399624999998</v>
      </c>
      <c r="AP908" s="4">
        <f t="shared" si="121"/>
        <v>2454.6952162499997</v>
      </c>
      <c r="AQ908" s="10">
        <f t="shared" si="114"/>
        <v>1515.3300030000003</v>
      </c>
      <c r="AR908" s="10">
        <f t="shared" si="115"/>
        <v>1683.6831663333003</v>
      </c>
      <c r="AS908" s="10">
        <f t="shared" si="116"/>
        <v>2359.0657486704004</v>
      </c>
    </row>
    <row r="909" spans="1:45" x14ac:dyDescent="0.3">
      <c r="A909">
        <v>2025</v>
      </c>
      <c r="B909">
        <v>8</v>
      </c>
      <c r="C909" t="s">
        <v>55</v>
      </c>
      <c r="D909">
        <v>10</v>
      </c>
      <c r="E909" t="s">
        <v>36</v>
      </c>
      <c r="F909" t="s">
        <v>37</v>
      </c>
      <c r="G909" t="s">
        <v>38</v>
      </c>
      <c r="H909" t="s">
        <v>83</v>
      </c>
      <c r="I909" t="s">
        <v>190</v>
      </c>
      <c r="J909" t="s">
        <v>58</v>
      </c>
      <c r="K909" t="s">
        <v>59</v>
      </c>
      <c r="L909" t="s">
        <v>1194</v>
      </c>
      <c r="M909" t="s">
        <v>1195</v>
      </c>
      <c r="N909" t="s">
        <v>1196</v>
      </c>
      <c r="O909" t="s">
        <v>1197</v>
      </c>
      <c r="Q909" t="s">
        <v>62</v>
      </c>
      <c r="R909" t="s">
        <v>1198</v>
      </c>
      <c r="S909" t="s">
        <v>1198</v>
      </c>
      <c r="T909" t="s">
        <v>47</v>
      </c>
      <c r="U909" t="s">
        <v>167</v>
      </c>
      <c r="V909" t="s">
        <v>49</v>
      </c>
      <c r="W909" t="s">
        <v>168</v>
      </c>
      <c r="X909" t="s">
        <v>388</v>
      </c>
      <c r="Y909" t="s">
        <v>1403</v>
      </c>
      <c r="Z909" t="s">
        <v>1403</v>
      </c>
      <c r="AA909" t="s">
        <v>1404</v>
      </c>
      <c r="AB909" s="3">
        <f t="shared" si="117"/>
        <v>1</v>
      </c>
      <c r="AC909">
        <v>1088.8399999999999</v>
      </c>
      <c r="AD909" s="2">
        <v>1088.8399999999999</v>
      </c>
      <c r="AE909" s="2">
        <v>78.3</v>
      </c>
      <c r="AF909" s="2">
        <v>7.5</v>
      </c>
      <c r="AG909" s="2">
        <v>1173.92</v>
      </c>
      <c r="AH909">
        <v>0</v>
      </c>
      <c r="AI909">
        <v>1173.92</v>
      </c>
      <c r="AJ909">
        <v>5.8696000000000002</v>
      </c>
      <c r="AK909" t="s">
        <v>54</v>
      </c>
      <c r="AL909">
        <v>9.17</v>
      </c>
      <c r="AM909" s="4">
        <f t="shared" si="118"/>
        <v>1173.92</v>
      </c>
      <c r="AN909" s="4">
        <f t="shared" si="119"/>
        <v>2041.5749999999998</v>
      </c>
      <c r="AO909" s="4">
        <f t="shared" si="120"/>
        <v>2268.1898249999999</v>
      </c>
      <c r="AP909" s="4">
        <f t="shared" si="121"/>
        <v>3307.1473424999995</v>
      </c>
      <c r="AQ909" s="10">
        <f t="shared" si="114"/>
        <v>2041.5642720000003</v>
      </c>
      <c r="AR909" s="10">
        <f t="shared" si="115"/>
        <v>2268.3820626192005</v>
      </c>
      <c r="AS909" s="10">
        <f t="shared" si="116"/>
        <v>3178.3072586496005</v>
      </c>
    </row>
    <row r="910" spans="1:45" x14ac:dyDescent="0.3">
      <c r="A910">
        <v>2025</v>
      </c>
      <c r="B910">
        <v>8</v>
      </c>
      <c r="C910" t="s">
        <v>55</v>
      </c>
      <c r="D910">
        <v>10</v>
      </c>
      <c r="E910" t="s">
        <v>36</v>
      </c>
      <c r="F910" t="s">
        <v>37</v>
      </c>
      <c r="G910" t="s">
        <v>38</v>
      </c>
      <c r="H910" t="s">
        <v>83</v>
      </c>
      <c r="I910" t="s">
        <v>190</v>
      </c>
      <c r="J910" t="s">
        <v>58</v>
      </c>
      <c r="K910" t="s">
        <v>59</v>
      </c>
      <c r="L910" t="s">
        <v>1194</v>
      </c>
      <c r="M910" t="s">
        <v>1195</v>
      </c>
      <c r="N910" t="s">
        <v>1196</v>
      </c>
      <c r="O910" t="s">
        <v>1197</v>
      </c>
      <c r="Q910" t="s">
        <v>62</v>
      </c>
      <c r="R910" t="s">
        <v>1198</v>
      </c>
      <c r="S910" t="s">
        <v>1198</v>
      </c>
      <c r="T910" t="s">
        <v>47</v>
      </c>
      <c r="U910" t="s">
        <v>167</v>
      </c>
      <c r="V910" t="s">
        <v>49</v>
      </c>
      <c r="W910" t="s">
        <v>168</v>
      </c>
      <c r="X910" t="s">
        <v>388</v>
      </c>
      <c r="Y910" t="s">
        <v>1401</v>
      </c>
      <c r="Z910" t="s">
        <v>1401</v>
      </c>
      <c r="AA910" t="s">
        <v>1402</v>
      </c>
      <c r="AB910" s="3">
        <f t="shared" si="117"/>
        <v>2.9999999999999236</v>
      </c>
      <c r="AC910">
        <v>393.41</v>
      </c>
      <c r="AD910" s="2">
        <v>131.13666666667001</v>
      </c>
      <c r="AE910" s="2">
        <v>28.19</v>
      </c>
      <c r="AF910" s="2">
        <v>2.5499999999999998</v>
      </c>
      <c r="AG910" s="2">
        <v>424.14</v>
      </c>
      <c r="AH910">
        <v>0</v>
      </c>
      <c r="AI910">
        <v>141.38</v>
      </c>
      <c r="AJ910">
        <v>2.1206999999999998</v>
      </c>
      <c r="AK910" t="s">
        <v>54</v>
      </c>
      <c r="AL910">
        <v>3.31</v>
      </c>
      <c r="AM910" s="4">
        <f t="shared" si="118"/>
        <v>141.38000000000361</v>
      </c>
      <c r="AN910" s="4">
        <f t="shared" si="119"/>
        <v>245.88125000000628</v>
      </c>
      <c r="AO910" s="4">
        <f t="shared" si="120"/>
        <v>273.174068750007</v>
      </c>
      <c r="AP910" s="4">
        <f t="shared" si="121"/>
        <v>398.30303687501015</v>
      </c>
      <c r="AQ910" s="10">
        <f t="shared" si="114"/>
        <v>245.87395800000627</v>
      </c>
      <c r="AR910" s="10">
        <f t="shared" si="115"/>
        <v>273.19055473380695</v>
      </c>
      <c r="AS910" s="10">
        <f t="shared" si="116"/>
        <v>382.77657781440973</v>
      </c>
    </row>
    <row r="911" spans="1:45" x14ac:dyDescent="0.3">
      <c r="A911">
        <v>2025</v>
      </c>
      <c r="B911">
        <v>11</v>
      </c>
      <c r="C911" t="s">
        <v>55</v>
      </c>
      <c r="D911">
        <v>10</v>
      </c>
      <c r="E911" t="s">
        <v>36</v>
      </c>
      <c r="F911" t="s">
        <v>37</v>
      </c>
      <c r="G911" t="s">
        <v>38</v>
      </c>
      <c r="H911" t="s">
        <v>83</v>
      </c>
      <c r="I911" t="s">
        <v>375</v>
      </c>
      <c r="J911" t="s">
        <v>376</v>
      </c>
      <c r="K911" t="s">
        <v>59</v>
      </c>
      <c r="L911" t="s">
        <v>1647</v>
      </c>
      <c r="M911" t="s">
        <v>1633</v>
      </c>
      <c r="N911" t="s">
        <v>1485</v>
      </c>
      <c r="O911" t="s">
        <v>1197</v>
      </c>
      <c r="Q911" t="s">
        <v>62</v>
      </c>
      <c r="R911" t="s">
        <v>1648</v>
      </c>
      <c r="S911" t="s">
        <v>1648</v>
      </c>
      <c r="T911" t="s">
        <v>47</v>
      </c>
      <c r="U911" t="s">
        <v>167</v>
      </c>
      <c r="V911" t="s">
        <v>49</v>
      </c>
      <c r="W911" t="s">
        <v>168</v>
      </c>
      <c r="X911" t="s">
        <v>51</v>
      </c>
      <c r="Y911" t="s">
        <v>1401</v>
      </c>
      <c r="Z911" t="s">
        <v>1401</v>
      </c>
      <c r="AA911" t="s">
        <v>1402</v>
      </c>
      <c r="AB911" s="3">
        <f t="shared" si="117"/>
        <v>2</v>
      </c>
      <c r="AC911">
        <v>262.27</v>
      </c>
      <c r="AD911" s="2">
        <v>131.13499999999999</v>
      </c>
      <c r="AE911" s="2">
        <v>18.8</v>
      </c>
      <c r="AF911" s="2">
        <v>1.7</v>
      </c>
      <c r="AG911" s="2">
        <v>282.76</v>
      </c>
      <c r="AH911">
        <v>0</v>
      </c>
      <c r="AI911">
        <v>141.38</v>
      </c>
      <c r="AJ911">
        <v>1.4137999999999999</v>
      </c>
      <c r="AK911" t="s">
        <v>54</v>
      </c>
      <c r="AL911">
        <v>2.21</v>
      </c>
      <c r="AM911" s="4">
        <f t="shared" si="118"/>
        <v>141.38</v>
      </c>
      <c r="AN911" s="4">
        <f t="shared" si="119"/>
        <v>245.87812499999998</v>
      </c>
      <c r="AO911" s="4">
        <f t="shared" si="120"/>
        <v>273.170596875</v>
      </c>
      <c r="AP911" s="4">
        <f t="shared" si="121"/>
        <v>398.29797468749996</v>
      </c>
      <c r="AQ911" s="10">
        <f t="shared" si="114"/>
        <v>245.87395800000002</v>
      </c>
      <c r="AR911" s="10">
        <f t="shared" si="115"/>
        <v>273.19055473380001</v>
      </c>
      <c r="AS911" s="10">
        <f t="shared" si="116"/>
        <v>382.77657781440001</v>
      </c>
    </row>
    <row r="912" spans="1:45" x14ac:dyDescent="0.3">
      <c r="A912">
        <v>2025</v>
      </c>
      <c r="B912">
        <v>8</v>
      </c>
      <c r="C912" t="s">
        <v>55</v>
      </c>
      <c r="D912">
        <v>10</v>
      </c>
      <c r="E912" t="s">
        <v>36</v>
      </c>
      <c r="F912" t="s">
        <v>37</v>
      </c>
      <c r="G912" t="s">
        <v>38</v>
      </c>
      <c r="H912" t="s">
        <v>83</v>
      </c>
      <c r="I912" t="s">
        <v>190</v>
      </c>
      <c r="J912" t="s">
        <v>58</v>
      </c>
      <c r="K912" t="s">
        <v>59</v>
      </c>
      <c r="L912" t="s">
        <v>1194</v>
      </c>
      <c r="M912" t="s">
        <v>1195</v>
      </c>
      <c r="N912" t="s">
        <v>1196</v>
      </c>
      <c r="O912" t="s">
        <v>1197</v>
      </c>
      <c r="Q912" t="s">
        <v>62</v>
      </c>
      <c r="R912" t="s">
        <v>1198</v>
      </c>
      <c r="S912" t="s">
        <v>1198</v>
      </c>
      <c r="T912" t="s">
        <v>47</v>
      </c>
      <c r="U912" t="s">
        <v>363</v>
      </c>
      <c r="V912" t="s">
        <v>49</v>
      </c>
      <c r="W912" t="s">
        <v>911</v>
      </c>
      <c r="X912" t="s">
        <v>388</v>
      </c>
      <c r="Y912" t="s">
        <v>1736</v>
      </c>
      <c r="Z912" t="s">
        <v>1736</v>
      </c>
      <c r="AA912" t="s">
        <v>1737</v>
      </c>
      <c r="AB912" s="3">
        <f t="shared" si="117"/>
        <v>1</v>
      </c>
      <c r="AC912">
        <v>141.68</v>
      </c>
      <c r="AD912" s="2">
        <v>141.68</v>
      </c>
      <c r="AE912" s="2">
        <v>47.43</v>
      </c>
      <c r="AF912" s="2">
        <v>1.1200000000000001</v>
      </c>
      <c r="AG912" s="2">
        <v>190.23</v>
      </c>
      <c r="AH912">
        <v>0</v>
      </c>
      <c r="AI912">
        <v>190.23</v>
      </c>
      <c r="AJ912">
        <v>0.95115000000000005</v>
      </c>
      <c r="AK912" t="s">
        <v>54</v>
      </c>
      <c r="AL912">
        <v>1.22</v>
      </c>
      <c r="AM912" s="4">
        <f t="shared" si="118"/>
        <v>190.23</v>
      </c>
      <c r="AN912" s="4">
        <f t="shared" si="119"/>
        <v>265.65000000000003</v>
      </c>
      <c r="AO912" s="4">
        <f t="shared" si="120"/>
        <v>295.13715000000002</v>
      </c>
      <c r="AP912" s="4">
        <f t="shared" si="121"/>
        <v>430.326435</v>
      </c>
      <c r="AQ912" s="10">
        <f t="shared" si="114"/>
        <v>330.82899300000003</v>
      </c>
      <c r="AR912" s="10">
        <f t="shared" si="115"/>
        <v>367.58409412230003</v>
      </c>
      <c r="AS912" s="10">
        <f t="shared" si="116"/>
        <v>515.03457630240007</v>
      </c>
    </row>
    <row r="913" spans="1:45" x14ac:dyDescent="0.3">
      <c r="A913">
        <v>2025</v>
      </c>
      <c r="B913">
        <v>8</v>
      </c>
      <c r="C913" t="s">
        <v>55</v>
      </c>
      <c r="D913">
        <v>10</v>
      </c>
      <c r="E913" t="s">
        <v>36</v>
      </c>
      <c r="F913" t="s">
        <v>37</v>
      </c>
      <c r="G913" t="s">
        <v>38</v>
      </c>
      <c r="H913" t="s">
        <v>83</v>
      </c>
      <c r="I913" t="s">
        <v>190</v>
      </c>
      <c r="J913" t="s">
        <v>58</v>
      </c>
      <c r="K913" t="s">
        <v>59</v>
      </c>
      <c r="L913" t="s">
        <v>1194</v>
      </c>
      <c r="M913" t="s">
        <v>1195</v>
      </c>
      <c r="N913" t="s">
        <v>1196</v>
      </c>
      <c r="O913" t="s">
        <v>1197</v>
      </c>
      <c r="Q913" t="s">
        <v>62</v>
      </c>
      <c r="R913" t="s">
        <v>1198</v>
      </c>
      <c r="S913" t="s">
        <v>1198</v>
      </c>
      <c r="T913" t="s">
        <v>47</v>
      </c>
      <c r="U913" t="s">
        <v>363</v>
      </c>
      <c r="V913" t="s">
        <v>49</v>
      </c>
      <c r="W913" t="s">
        <v>911</v>
      </c>
      <c r="X913" t="s">
        <v>388</v>
      </c>
      <c r="Y913" t="s">
        <v>1447</v>
      </c>
      <c r="Z913" t="s">
        <v>1447</v>
      </c>
      <c r="AA913" t="s">
        <v>1448</v>
      </c>
      <c r="AB913" s="3">
        <f t="shared" si="117"/>
        <v>1</v>
      </c>
      <c r="AC913">
        <v>67.36</v>
      </c>
      <c r="AD913" s="2">
        <v>67.36</v>
      </c>
      <c r="AE913" s="2">
        <v>4.83</v>
      </c>
      <c r="AF913" s="2">
        <v>0.44</v>
      </c>
      <c r="AG913" s="2">
        <v>72.63</v>
      </c>
      <c r="AH913">
        <v>0</v>
      </c>
      <c r="AI913">
        <v>72.63</v>
      </c>
      <c r="AJ913">
        <v>0.36314999999999997</v>
      </c>
      <c r="AK913" t="s">
        <v>54</v>
      </c>
      <c r="AL913">
        <v>0.56999999999999995</v>
      </c>
      <c r="AM913" s="4">
        <f t="shared" si="118"/>
        <v>72.63</v>
      </c>
      <c r="AN913" s="4">
        <f t="shared" si="119"/>
        <v>126.3</v>
      </c>
      <c r="AO913" s="4">
        <f t="shared" si="120"/>
        <v>140.3193</v>
      </c>
      <c r="AP913" s="4">
        <f t="shared" si="121"/>
        <v>204.59336999999999</v>
      </c>
      <c r="AQ913" s="10">
        <f t="shared" si="114"/>
        <v>126.310833</v>
      </c>
      <c r="AR913" s="10">
        <f t="shared" si="115"/>
        <v>140.34396654630001</v>
      </c>
      <c r="AS913" s="10">
        <f t="shared" si="116"/>
        <v>196.64070481440001</v>
      </c>
    </row>
    <row r="914" spans="1:45" x14ac:dyDescent="0.3">
      <c r="A914">
        <v>2025</v>
      </c>
      <c r="B914">
        <v>11</v>
      </c>
      <c r="C914" t="s">
        <v>55</v>
      </c>
      <c r="D914">
        <v>10</v>
      </c>
      <c r="E914" t="s">
        <v>36</v>
      </c>
      <c r="F914" t="s">
        <v>37</v>
      </c>
      <c r="G914" t="s">
        <v>38</v>
      </c>
      <c r="H914" t="s">
        <v>83</v>
      </c>
      <c r="I914" t="s">
        <v>375</v>
      </c>
      <c r="J914" t="s">
        <v>376</v>
      </c>
      <c r="K914" t="s">
        <v>51</v>
      </c>
      <c r="L914" t="s">
        <v>1622</v>
      </c>
      <c r="M914" t="s">
        <v>1623</v>
      </c>
      <c r="N914" t="s">
        <v>1485</v>
      </c>
      <c r="O914" t="s">
        <v>1197</v>
      </c>
      <c r="Q914" t="s">
        <v>62</v>
      </c>
      <c r="R914" t="s">
        <v>1624</v>
      </c>
      <c r="S914" t="s">
        <v>1624</v>
      </c>
      <c r="T914" t="s">
        <v>47</v>
      </c>
      <c r="U914" t="s">
        <v>247</v>
      </c>
      <c r="V914" t="s">
        <v>49</v>
      </c>
      <c r="W914" t="s">
        <v>248</v>
      </c>
      <c r="X914" t="s">
        <v>51</v>
      </c>
      <c r="Y914" t="s">
        <v>1447</v>
      </c>
      <c r="Z914" t="s">
        <v>1447</v>
      </c>
      <c r="AA914" t="s">
        <v>1448</v>
      </c>
      <c r="AB914" s="3">
        <f t="shared" si="117"/>
        <v>1</v>
      </c>
      <c r="AC914">
        <v>67.36</v>
      </c>
      <c r="AD914" s="2">
        <v>67.36</v>
      </c>
      <c r="AE914" s="2">
        <v>4.83</v>
      </c>
      <c r="AF914" s="2">
        <v>0.44</v>
      </c>
      <c r="AG914" s="2">
        <v>72.63</v>
      </c>
      <c r="AH914">
        <v>0</v>
      </c>
      <c r="AI914">
        <v>72.63</v>
      </c>
      <c r="AJ914">
        <v>0.36314999999999997</v>
      </c>
      <c r="AK914" t="s">
        <v>54</v>
      </c>
      <c r="AL914">
        <v>0.56999999999999995</v>
      </c>
      <c r="AM914" s="4">
        <f t="shared" si="118"/>
        <v>72.63</v>
      </c>
      <c r="AN914" s="4">
        <f t="shared" si="119"/>
        <v>126.3</v>
      </c>
      <c r="AO914" s="4">
        <f t="shared" si="120"/>
        <v>140.3193</v>
      </c>
      <c r="AP914" s="4">
        <f t="shared" si="121"/>
        <v>204.59336999999999</v>
      </c>
      <c r="AQ914" s="10">
        <f t="shared" si="114"/>
        <v>126.310833</v>
      </c>
      <c r="AR914" s="10">
        <f t="shared" si="115"/>
        <v>140.34396654630001</v>
      </c>
      <c r="AS914" s="10">
        <f t="shared" si="116"/>
        <v>196.64070481440001</v>
      </c>
    </row>
    <row r="915" spans="1:45" x14ac:dyDescent="0.3">
      <c r="A915">
        <v>2025</v>
      </c>
      <c r="B915">
        <v>11</v>
      </c>
      <c r="C915" t="s">
        <v>55</v>
      </c>
      <c r="D915">
        <v>10</v>
      </c>
      <c r="E915" t="s">
        <v>36</v>
      </c>
      <c r="F915" t="s">
        <v>37</v>
      </c>
      <c r="G915" t="s">
        <v>38</v>
      </c>
      <c r="H915" t="s">
        <v>83</v>
      </c>
      <c r="I915" t="s">
        <v>375</v>
      </c>
      <c r="J915" t="s">
        <v>376</v>
      </c>
      <c r="K915" t="s">
        <v>51</v>
      </c>
      <c r="L915" t="s">
        <v>1622</v>
      </c>
      <c r="M915" t="s">
        <v>1623</v>
      </c>
      <c r="N915" t="s">
        <v>1485</v>
      </c>
      <c r="O915" t="s">
        <v>1197</v>
      </c>
      <c r="Q915" t="s">
        <v>62</v>
      </c>
      <c r="R915" t="s">
        <v>1624</v>
      </c>
      <c r="S915" t="s">
        <v>1624</v>
      </c>
      <c r="T915" t="s">
        <v>47</v>
      </c>
      <c r="U915" t="s">
        <v>247</v>
      </c>
      <c r="V915" t="s">
        <v>49</v>
      </c>
      <c r="W915" t="s">
        <v>248</v>
      </c>
      <c r="X915" t="s">
        <v>51</v>
      </c>
      <c r="Y915" t="s">
        <v>1532</v>
      </c>
      <c r="Z915" t="s">
        <v>1532</v>
      </c>
      <c r="AA915" t="s">
        <v>1656</v>
      </c>
      <c r="AB915" s="3">
        <f t="shared" si="117"/>
        <v>5</v>
      </c>
      <c r="AC915">
        <v>793.85</v>
      </c>
      <c r="AD915" s="2">
        <v>158.77000000000001</v>
      </c>
      <c r="AE915" s="2">
        <v>111.16</v>
      </c>
      <c r="AF915" s="2">
        <v>5.5</v>
      </c>
      <c r="AG915" s="2">
        <v>910.5</v>
      </c>
      <c r="AH915">
        <v>0</v>
      </c>
      <c r="AI915">
        <v>182.1</v>
      </c>
      <c r="AJ915">
        <v>4.5525000000000002</v>
      </c>
      <c r="AK915" t="s">
        <v>54</v>
      </c>
      <c r="AL915">
        <v>4.17</v>
      </c>
      <c r="AM915" s="4">
        <f t="shared" si="118"/>
        <v>182.1</v>
      </c>
      <c r="AN915" s="4">
        <f t="shared" si="119"/>
        <v>297.69375000000002</v>
      </c>
      <c r="AO915" s="4">
        <f t="shared" si="120"/>
        <v>330.73775625000002</v>
      </c>
      <c r="AP915" s="4">
        <f t="shared" si="121"/>
        <v>482.23410562499998</v>
      </c>
      <c r="AQ915" s="10">
        <f t="shared" si="114"/>
        <v>316.69011</v>
      </c>
      <c r="AR915" s="10">
        <f t="shared" si="115"/>
        <v>351.87438122100002</v>
      </c>
      <c r="AS915" s="10">
        <f t="shared" si="116"/>
        <v>493.023163248</v>
      </c>
    </row>
    <row r="916" spans="1:45" x14ac:dyDescent="0.3">
      <c r="A916">
        <v>2025</v>
      </c>
      <c r="B916">
        <v>8</v>
      </c>
      <c r="C916" t="s">
        <v>55</v>
      </c>
      <c r="D916">
        <v>10</v>
      </c>
      <c r="E916" t="s">
        <v>36</v>
      </c>
      <c r="F916" t="s">
        <v>37</v>
      </c>
      <c r="G916" t="s">
        <v>38</v>
      </c>
      <c r="H916" t="s">
        <v>83</v>
      </c>
      <c r="I916" t="s">
        <v>190</v>
      </c>
      <c r="J916" t="s">
        <v>58</v>
      </c>
      <c r="K916" t="s">
        <v>59</v>
      </c>
      <c r="L916" t="s">
        <v>1194</v>
      </c>
      <c r="M916" t="s">
        <v>1195</v>
      </c>
      <c r="N916" t="s">
        <v>1196</v>
      </c>
      <c r="O916" t="s">
        <v>1197</v>
      </c>
      <c r="Q916" t="s">
        <v>62</v>
      </c>
      <c r="R916" t="s">
        <v>1198</v>
      </c>
      <c r="S916" t="s">
        <v>1198</v>
      </c>
      <c r="T916" t="s">
        <v>47</v>
      </c>
      <c r="U916" t="s">
        <v>167</v>
      </c>
      <c r="V916" t="s">
        <v>49</v>
      </c>
      <c r="W916" t="s">
        <v>168</v>
      </c>
      <c r="X916" t="s">
        <v>388</v>
      </c>
      <c r="Y916" t="s">
        <v>1532</v>
      </c>
      <c r="Z916" t="s">
        <v>1532</v>
      </c>
      <c r="AA916" t="s">
        <v>1656</v>
      </c>
      <c r="AB916" s="3">
        <f t="shared" si="117"/>
        <v>4</v>
      </c>
      <c r="AC916">
        <v>636.71</v>
      </c>
      <c r="AD916" s="2">
        <v>159.17750000000001</v>
      </c>
      <c r="AE916" s="2">
        <v>89.16</v>
      </c>
      <c r="AF916" s="2">
        <v>4.41</v>
      </c>
      <c r="AG916" s="2">
        <v>730.28</v>
      </c>
      <c r="AH916">
        <v>0</v>
      </c>
      <c r="AI916">
        <v>182.57</v>
      </c>
      <c r="AJ916">
        <v>3.6514000000000002</v>
      </c>
      <c r="AK916" t="s">
        <v>54</v>
      </c>
      <c r="AL916">
        <v>4.8499999999999996</v>
      </c>
      <c r="AM916" s="4">
        <f t="shared" si="118"/>
        <v>182.57</v>
      </c>
      <c r="AN916" s="4">
        <f t="shared" si="119"/>
        <v>298.45781250000005</v>
      </c>
      <c r="AO916" s="4">
        <f t="shared" si="120"/>
        <v>331.58662968750002</v>
      </c>
      <c r="AP916" s="4">
        <f t="shared" si="121"/>
        <v>483.47181046875005</v>
      </c>
      <c r="AQ916" s="10">
        <f t="shared" si="114"/>
        <v>317.50748700000003</v>
      </c>
      <c r="AR916" s="10">
        <f t="shared" si="115"/>
        <v>352.78256880570001</v>
      </c>
      <c r="AS916" s="10">
        <f t="shared" si="116"/>
        <v>494.29565576160002</v>
      </c>
    </row>
    <row r="917" spans="1:45" x14ac:dyDescent="0.3">
      <c r="A917">
        <v>2025</v>
      </c>
      <c r="B917">
        <v>11</v>
      </c>
      <c r="C917" t="s">
        <v>55</v>
      </c>
      <c r="D917">
        <v>10</v>
      </c>
      <c r="E917" t="s">
        <v>36</v>
      </c>
      <c r="F917" t="s">
        <v>37</v>
      </c>
      <c r="G917" t="s">
        <v>38</v>
      </c>
      <c r="H917" t="s">
        <v>83</v>
      </c>
      <c r="I917" t="s">
        <v>375</v>
      </c>
      <c r="J917" t="s">
        <v>376</v>
      </c>
      <c r="K917" t="s">
        <v>51</v>
      </c>
      <c r="L917" t="s">
        <v>1622</v>
      </c>
      <c r="M917" t="s">
        <v>1623</v>
      </c>
      <c r="N917" t="s">
        <v>1485</v>
      </c>
      <c r="O917" t="s">
        <v>1197</v>
      </c>
      <c r="Q917" t="s">
        <v>62</v>
      </c>
      <c r="R917" t="s">
        <v>1624</v>
      </c>
      <c r="S917" t="s">
        <v>1624</v>
      </c>
      <c r="T917" t="s">
        <v>47</v>
      </c>
      <c r="U917" t="s">
        <v>167</v>
      </c>
      <c r="V917" t="s">
        <v>49</v>
      </c>
      <c r="W917" t="s">
        <v>168</v>
      </c>
      <c r="X917" t="s">
        <v>51</v>
      </c>
      <c r="Y917" t="s">
        <v>1401</v>
      </c>
      <c r="Z917" t="s">
        <v>1401</v>
      </c>
      <c r="AA917" t="s">
        <v>1409</v>
      </c>
      <c r="AB917" s="3">
        <f t="shared" si="117"/>
        <v>1</v>
      </c>
      <c r="AC917">
        <v>176.18</v>
      </c>
      <c r="AD917" s="2">
        <v>176.18</v>
      </c>
      <c r="AE917" s="2">
        <v>12.63</v>
      </c>
      <c r="AF917" s="2">
        <v>1.1399999999999999</v>
      </c>
      <c r="AG917" s="2">
        <v>189.94</v>
      </c>
      <c r="AH917">
        <v>0</v>
      </c>
      <c r="AI917">
        <v>189.94</v>
      </c>
      <c r="AJ917">
        <v>0.94969999999999999</v>
      </c>
      <c r="AK917" t="s">
        <v>54</v>
      </c>
      <c r="AL917">
        <v>1.48</v>
      </c>
      <c r="AM917" s="4">
        <f t="shared" si="118"/>
        <v>189.94</v>
      </c>
      <c r="AN917" s="4">
        <f t="shared" si="119"/>
        <v>330.33750000000003</v>
      </c>
      <c r="AO917" s="4">
        <f t="shared" si="120"/>
        <v>367.00496250000003</v>
      </c>
      <c r="AP917" s="4">
        <f t="shared" si="121"/>
        <v>535.11371625000004</v>
      </c>
      <c r="AQ917" s="10">
        <f t="shared" si="114"/>
        <v>330.32465400000001</v>
      </c>
      <c r="AR917" s="10">
        <f t="shared" si="115"/>
        <v>367.02372305940003</v>
      </c>
      <c r="AS917" s="10">
        <f t="shared" si="116"/>
        <v>514.24942134720004</v>
      </c>
    </row>
    <row r="918" spans="1:45" x14ac:dyDescent="0.3">
      <c r="A918">
        <v>2025</v>
      </c>
      <c r="B918">
        <v>8</v>
      </c>
      <c r="C918" t="s">
        <v>55</v>
      </c>
      <c r="D918">
        <v>10</v>
      </c>
      <c r="E918" t="s">
        <v>36</v>
      </c>
      <c r="F918" t="s">
        <v>37</v>
      </c>
      <c r="G918" t="s">
        <v>38</v>
      </c>
      <c r="H918" t="s">
        <v>78</v>
      </c>
      <c r="I918" t="s">
        <v>190</v>
      </c>
      <c r="J918" t="s">
        <v>58</v>
      </c>
      <c r="K918" t="s">
        <v>59</v>
      </c>
      <c r="L918" t="s">
        <v>1194</v>
      </c>
      <c r="M918" t="s">
        <v>1195</v>
      </c>
      <c r="N918" t="s">
        <v>1196</v>
      </c>
      <c r="O918" t="s">
        <v>1197</v>
      </c>
      <c r="Q918" t="s">
        <v>62</v>
      </c>
      <c r="R918" t="s">
        <v>1198</v>
      </c>
      <c r="S918" t="s">
        <v>1198</v>
      </c>
      <c r="T918" t="s">
        <v>47</v>
      </c>
      <c r="U918" t="s">
        <v>157</v>
      </c>
      <c r="V918" t="s">
        <v>49</v>
      </c>
      <c r="W918" t="s">
        <v>158</v>
      </c>
      <c r="X918" t="s">
        <v>388</v>
      </c>
      <c r="Y918" t="s">
        <v>1726</v>
      </c>
      <c r="Z918" t="s">
        <v>1726</v>
      </c>
      <c r="AA918" t="s">
        <v>1409</v>
      </c>
      <c r="AB918" s="3">
        <f t="shared" si="117"/>
        <v>2.9999999999999409</v>
      </c>
      <c r="AC918">
        <v>507.98</v>
      </c>
      <c r="AD918" s="2">
        <v>169.32666666667001</v>
      </c>
      <c r="AE918" s="2">
        <v>71.13</v>
      </c>
      <c r="AF918" s="2">
        <v>3.52</v>
      </c>
      <c r="AG918" s="2">
        <v>582.62</v>
      </c>
      <c r="AH918">
        <v>0</v>
      </c>
      <c r="AI918">
        <v>194.20666666667</v>
      </c>
      <c r="AJ918">
        <v>2.9131</v>
      </c>
      <c r="AK918" t="s">
        <v>54</v>
      </c>
      <c r="AL918">
        <v>2.67</v>
      </c>
      <c r="AM918" s="4">
        <f t="shared" si="118"/>
        <v>194.20666666667049</v>
      </c>
      <c r="AN918" s="4">
        <f t="shared" si="119"/>
        <v>317.48750000000626</v>
      </c>
      <c r="AO918" s="4">
        <f t="shared" si="120"/>
        <v>352.72861250000693</v>
      </c>
      <c r="AP918" s="4">
        <f t="shared" si="121"/>
        <v>514.29800125001009</v>
      </c>
      <c r="AQ918" s="10">
        <f t="shared" si="114"/>
        <v>337.74481400000667</v>
      </c>
      <c r="AR918" s="10">
        <f t="shared" si="115"/>
        <v>375.26826283540743</v>
      </c>
      <c r="AS918" s="10">
        <f t="shared" si="116"/>
        <v>525.80112643521034</v>
      </c>
    </row>
    <row r="919" spans="1:45" x14ac:dyDescent="0.3">
      <c r="A919">
        <v>2025</v>
      </c>
      <c r="B919">
        <v>8</v>
      </c>
      <c r="C919" t="s">
        <v>55</v>
      </c>
      <c r="D919">
        <v>10</v>
      </c>
      <c r="E919" t="s">
        <v>36</v>
      </c>
      <c r="F919" t="s">
        <v>37</v>
      </c>
      <c r="G919" t="s">
        <v>38</v>
      </c>
      <c r="H919" t="s">
        <v>78</v>
      </c>
      <c r="I919" t="s">
        <v>190</v>
      </c>
      <c r="J919" t="s">
        <v>58</v>
      </c>
      <c r="K919" t="s">
        <v>59</v>
      </c>
      <c r="L919" t="s">
        <v>1194</v>
      </c>
      <c r="M919" t="s">
        <v>1195</v>
      </c>
      <c r="N919" t="s">
        <v>1196</v>
      </c>
      <c r="O919" t="s">
        <v>1197</v>
      </c>
      <c r="Q919" t="s">
        <v>62</v>
      </c>
      <c r="R919" t="s">
        <v>1198</v>
      </c>
      <c r="S919" t="s">
        <v>1198</v>
      </c>
      <c r="T919" t="s">
        <v>47</v>
      </c>
      <c r="U919" t="s">
        <v>157</v>
      </c>
      <c r="V919" t="s">
        <v>49</v>
      </c>
      <c r="W919" t="s">
        <v>158</v>
      </c>
      <c r="X919" t="s">
        <v>388</v>
      </c>
      <c r="Y919" t="s">
        <v>1125</v>
      </c>
      <c r="Z919" t="s">
        <v>1125</v>
      </c>
      <c r="AA919" t="s">
        <v>1382</v>
      </c>
      <c r="AB919" s="3">
        <f t="shared" si="117"/>
        <v>1</v>
      </c>
      <c r="AC919">
        <v>739.32</v>
      </c>
      <c r="AD919" s="2">
        <v>739.32</v>
      </c>
      <c r="AE919" s="2">
        <v>52.98</v>
      </c>
      <c r="AF919" s="2">
        <v>4.78</v>
      </c>
      <c r="AG919" s="2">
        <v>797.9</v>
      </c>
      <c r="AH919">
        <v>0</v>
      </c>
      <c r="AI919">
        <v>797.9</v>
      </c>
      <c r="AJ919">
        <v>3.9895</v>
      </c>
      <c r="AK919" t="s">
        <v>54</v>
      </c>
      <c r="AL919">
        <v>6.22</v>
      </c>
      <c r="AM919" s="4">
        <f t="shared" si="118"/>
        <v>797.9</v>
      </c>
      <c r="AN919" s="4">
        <f t="shared" si="119"/>
        <v>1386.2250000000001</v>
      </c>
      <c r="AO919" s="4">
        <f t="shared" si="120"/>
        <v>1540.0959750000002</v>
      </c>
      <c r="AP919" s="4">
        <f t="shared" si="121"/>
        <v>2245.5458775000002</v>
      </c>
      <c r="AQ919" s="10">
        <f t="shared" si="114"/>
        <v>1387.62789</v>
      </c>
      <c r="AR919" s="10">
        <f t="shared" si="115"/>
        <v>1541.7933485789999</v>
      </c>
      <c r="AS919" s="10">
        <f t="shared" si="116"/>
        <v>2160.2590991520001</v>
      </c>
    </row>
    <row r="920" spans="1:45" x14ac:dyDescent="0.3">
      <c r="A920">
        <v>2025</v>
      </c>
      <c r="B920">
        <v>12</v>
      </c>
      <c r="C920" t="s">
        <v>55</v>
      </c>
      <c r="D920">
        <v>10</v>
      </c>
      <c r="E920" t="s">
        <v>36</v>
      </c>
      <c r="F920" t="s">
        <v>37</v>
      </c>
      <c r="G920" t="s">
        <v>38</v>
      </c>
      <c r="H920" t="s">
        <v>78</v>
      </c>
      <c r="I920" t="s">
        <v>57</v>
      </c>
      <c r="J920" t="s">
        <v>58</v>
      </c>
      <c r="K920" t="s">
        <v>59</v>
      </c>
      <c r="L920" t="s">
        <v>1769</v>
      </c>
      <c r="M920" t="s">
        <v>1770</v>
      </c>
      <c r="N920" t="s">
        <v>1771</v>
      </c>
      <c r="O920" t="s">
        <v>1197</v>
      </c>
      <c r="Q920" t="s">
        <v>62</v>
      </c>
      <c r="R920" t="s">
        <v>1772</v>
      </c>
      <c r="S920" t="s">
        <v>1772</v>
      </c>
      <c r="T920" t="s">
        <v>47</v>
      </c>
      <c r="U920" t="s">
        <v>157</v>
      </c>
      <c r="V920" t="s">
        <v>49</v>
      </c>
      <c r="W920" t="s">
        <v>158</v>
      </c>
      <c r="X920" t="s">
        <v>51</v>
      </c>
      <c r="Y920" t="s">
        <v>1125</v>
      </c>
      <c r="Z920" t="s">
        <v>1125</v>
      </c>
      <c r="AA920" t="s">
        <v>1382</v>
      </c>
      <c r="AB920" s="3">
        <f t="shared" si="117"/>
        <v>1</v>
      </c>
      <c r="AC920">
        <v>739.32</v>
      </c>
      <c r="AD920" s="2">
        <v>739.32</v>
      </c>
      <c r="AE920" s="2">
        <v>52.98</v>
      </c>
      <c r="AF920" s="2">
        <v>4.78</v>
      </c>
      <c r="AG920" s="2">
        <v>797.9</v>
      </c>
      <c r="AH920">
        <v>0</v>
      </c>
      <c r="AI920">
        <v>797.9</v>
      </c>
      <c r="AJ920">
        <v>3.9895</v>
      </c>
      <c r="AK920" t="s">
        <v>54</v>
      </c>
      <c r="AL920">
        <v>6.22</v>
      </c>
      <c r="AM920" s="4">
        <f t="shared" si="118"/>
        <v>797.9</v>
      </c>
      <c r="AN920" s="4">
        <f t="shared" si="119"/>
        <v>1386.2250000000001</v>
      </c>
      <c r="AO920" s="4">
        <f t="shared" si="120"/>
        <v>1540.0959750000002</v>
      </c>
      <c r="AP920" s="4">
        <f t="shared" si="121"/>
        <v>2245.5458775000002</v>
      </c>
      <c r="AQ920" s="10">
        <f t="shared" si="114"/>
        <v>1387.62789</v>
      </c>
      <c r="AR920" s="10">
        <f t="shared" si="115"/>
        <v>1541.7933485789999</v>
      </c>
      <c r="AS920" s="10">
        <f t="shared" si="116"/>
        <v>2160.2590991520001</v>
      </c>
    </row>
    <row r="921" spans="1:45" x14ac:dyDescent="0.3">
      <c r="A921">
        <v>2025</v>
      </c>
      <c r="B921">
        <v>7</v>
      </c>
      <c r="C921" t="s">
        <v>55</v>
      </c>
      <c r="D921">
        <v>10</v>
      </c>
      <c r="E921" t="s">
        <v>36</v>
      </c>
      <c r="F921" t="s">
        <v>37</v>
      </c>
      <c r="G921" t="s">
        <v>38</v>
      </c>
      <c r="H921" t="s">
        <v>78</v>
      </c>
      <c r="I921" t="s">
        <v>190</v>
      </c>
      <c r="J921" t="s">
        <v>58</v>
      </c>
      <c r="K921" t="s">
        <v>41</v>
      </c>
      <c r="L921" t="s">
        <v>953</v>
      </c>
      <c r="M921" t="s">
        <v>954</v>
      </c>
      <c r="N921" t="s">
        <v>731</v>
      </c>
      <c r="O921" t="s">
        <v>36</v>
      </c>
      <c r="Q921" t="s">
        <v>62</v>
      </c>
      <c r="R921" t="s">
        <v>955</v>
      </c>
      <c r="S921" t="s">
        <v>956</v>
      </c>
      <c r="T921" t="s">
        <v>47</v>
      </c>
      <c r="U921" t="s">
        <v>163</v>
      </c>
      <c r="V921" t="s">
        <v>49</v>
      </c>
      <c r="W921" t="s">
        <v>164</v>
      </c>
      <c r="X921" t="s">
        <v>51</v>
      </c>
      <c r="Y921" t="s">
        <v>1125</v>
      </c>
      <c r="Z921" t="s">
        <v>1125</v>
      </c>
      <c r="AA921" t="s">
        <v>1382</v>
      </c>
      <c r="AB921" s="3">
        <f t="shared" si="117"/>
        <v>1</v>
      </c>
      <c r="AC921">
        <v>745.17</v>
      </c>
      <c r="AD921" s="2">
        <v>745.17</v>
      </c>
      <c r="AE921" s="2">
        <v>221.21</v>
      </c>
      <c r="AF921" s="2">
        <v>5.59</v>
      </c>
      <c r="AG921" s="2">
        <v>971.98</v>
      </c>
      <c r="AH921">
        <v>0</v>
      </c>
      <c r="AI921">
        <v>971.98</v>
      </c>
      <c r="AJ921">
        <v>4.8598999999999997</v>
      </c>
      <c r="AK921" t="s">
        <v>54</v>
      </c>
      <c r="AL921">
        <v>5.54</v>
      </c>
      <c r="AM921" s="4">
        <f t="shared" si="118"/>
        <v>971.98</v>
      </c>
      <c r="AN921" s="4">
        <f t="shared" si="119"/>
        <v>1397.1937499999999</v>
      </c>
      <c r="AO921" s="4">
        <f t="shared" si="120"/>
        <v>1552.2822562499998</v>
      </c>
      <c r="AP921" s="4">
        <f t="shared" si="121"/>
        <v>2263.3141556249998</v>
      </c>
      <c r="AQ921" s="10">
        <f t="shared" si="114"/>
        <v>1690.3704180000002</v>
      </c>
      <c r="AR921" s="10">
        <f t="shared" si="115"/>
        <v>1878.1705714398001</v>
      </c>
      <c r="AS921" s="10">
        <f t="shared" si="116"/>
        <v>2631.5686667424002</v>
      </c>
    </row>
    <row r="922" spans="1:45" x14ac:dyDescent="0.3">
      <c r="A922">
        <v>2025</v>
      </c>
      <c r="B922">
        <v>8</v>
      </c>
      <c r="C922" t="s">
        <v>55</v>
      </c>
      <c r="D922">
        <v>10</v>
      </c>
      <c r="E922" t="s">
        <v>36</v>
      </c>
      <c r="F922" t="s">
        <v>37</v>
      </c>
      <c r="G922" t="s">
        <v>38</v>
      </c>
      <c r="H922" t="s">
        <v>83</v>
      </c>
      <c r="I922" t="s">
        <v>190</v>
      </c>
      <c r="J922" t="s">
        <v>58</v>
      </c>
      <c r="K922" t="s">
        <v>59</v>
      </c>
      <c r="L922" t="s">
        <v>1194</v>
      </c>
      <c r="M922" t="s">
        <v>1195</v>
      </c>
      <c r="N922" t="s">
        <v>1196</v>
      </c>
      <c r="O922" t="s">
        <v>1197</v>
      </c>
      <c r="Q922" t="s">
        <v>62</v>
      </c>
      <c r="R922" t="s">
        <v>1198</v>
      </c>
      <c r="S922" t="s">
        <v>1198</v>
      </c>
      <c r="T922" t="s">
        <v>47</v>
      </c>
      <c r="U922" t="s">
        <v>1277</v>
      </c>
      <c r="V922" t="s">
        <v>49</v>
      </c>
      <c r="W922" t="s">
        <v>1278</v>
      </c>
      <c r="X922" t="s">
        <v>388</v>
      </c>
      <c r="Y922" t="s">
        <v>1125</v>
      </c>
      <c r="Z922" t="s">
        <v>1125</v>
      </c>
      <c r="AA922" t="s">
        <v>1126</v>
      </c>
      <c r="AB922" s="3">
        <f t="shared" si="117"/>
        <v>1</v>
      </c>
      <c r="AC922">
        <v>772.26</v>
      </c>
      <c r="AD922" s="2">
        <v>772.26</v>
      </c>
      <c r="AE922" s="2">
        <v>29.4</v>
      </c>
      <c r="AF922" s="2">
        <v>5.38</v>
      </c>
      <c r="AG922" s="2">
        <v>806.68</v>
      </c>
      <c r="AH922">
        <v>0</v>
      </c>
      <c r="AI922">
        <v>806.68</v>
      </c>
      <c r="AJ922">
        <v>4.0334000000000003</v>
      </c>
      <c r="AK922" t="s">
        <v>54</v>
      </c>
      <c r="AL922">
        <v>2.17</v>
      </c>
      <c r="AM922" s="4">
        <f t="shared" si="118"/>
        <v>806.68</v>
      </c>
      <c r="AN922" s="4">
        <f t="shared" si="119"/>
        <v>1447.9875</v>
      </c>
      <c r="AO922" s="4">
        <f t="shared" si="120"/>
        <v>1608.7141124999998</v>
      </c>
      <c r="AP922" s="4">
        <f t="shared" si="121"/>
        <v>2345.5949512499997</v>
      </c>
      <c r="AQ922" s="10">
        <f t="shared" si="114"/>
        <v>1402.8971879999999</v>
      </c>
      <c r="AR922" s="10">
        <f t="shared" si="115"/>
        <v>1558.7590655867998</v>
      </c>
      <c r="AS922" s="10">
        <f t="shared" si="116"/>
        <v>2184.0303422784</v>
      </c>
    </row>
    <row r="923" spans="1:45" x14ac:dyDescent="0.3">
      <c r="A923">
        <v>2025</v>
      </c>
      <c r="B923">
        <v>3</v>
      </c>
      <c r="C923" t="s">
        <v>55</v>
      </c>
      <c r="D923">
        <v>10</v>
      </c>
      <c r="E923" t="s">
        <v>36</v>
      </c>
      <c r="F923" t="s">
        <v>37</v>
      </c>
      <c r="G923" t="s">
        <v>38</v>
      </c>
      <c r="H923" t="s">
        <v>83</v>
      </c>
      <c r="I923" t="s">
        <v>190</v>
      </c>
      <c r="J923" t="s">
        <v>58</v>
      </c>
      <c r="K923" t="s">
        <v>59</v>
      </c>
      <c r="M923" t="s">
        <v>213</v>
      </c>
      <c r="N923" t="s">
        <v>61</v>
      </c>
      <c r="O923" t="s">
        <v>43</v>
      </c>
      <c r="Q923" t="s">
        <v>62</v>
      </c>
      <c r="R923" t="s">
        <v>214</v>
      </c>
      <c r="S923" t="s">
        <v>215</v>
      </c>
      <c r="T923" t="s">
        <v>47</v>
      </c>
      <c r="U923" t="s">
        <v>167</v>
      </c>
      <c r="V923" t="s">
        <v>49</v>
      </c>
      <c r="W923" t="s">
        <v>168</v>
      </c>
      <c r="X923" t="s">
        <v>51</v>
      </c>
      <c r="Y923" t="s">
        <v>1281</v>
      </c>
      <c r="Z923" t="s">
        <v>1281</v>
      </c>
      <c r="AA923" t="s">
        <v>1282</v>
      </c>
      <c r="AB923" s="3">
        <f t="shared" si="117"/>
        <v>4</v>
      </c>
      <c r="AC923">
        <v>203.6</v>
      </c>
      <c r="AD923" s="2">
        <v>50.9</v>
      </c>
      <c r="AE923" s="2">
        <v>14.59</v>
      </c>
      <c r="AF923" s="2">
        <v>1.32</v>
      </c>
      <c r="AG923" s="2">
        <v>219.51</v>
      </c>
      <c r="AH923">
        <v>0</v>
      </c>
      <c r="AI923">
        <v>54.877499999999998</v>
      </c>
      <c r="AJ923">
        <v>1.09755</v>
      </c>
      <c r="AK923" t="s">
        <v>54</v>
      </c>
      <c r="AL923">
        <v>1.71</v>
      </c>
      <c r="AM923" s="4">
        <f t="shared" si="118"/>
        <v>54.877499999999998</v>
      </c>
      <c r="AN923" s="4">
        <f t="shared" si="119"/>
        <v>95.4375</v>
      </c>
      <c r="AO923" s="4">
        <f t="shared" si="120"/>
        <v>106.0310625</v>
      </c>
      <c r="AP923" s="4">
        <f t="shared" si="121"/>
        <v>154.59920624999998</v>
      </c>
      <c r="AQ923" s="10">
        <f t="shared" si="114"/>
        <v>95.437460250000001</v>
      </c>
      <c r="AR923" s="10">
        <f t="shared" si="115"/>
        <v>106.040562083775</v>
      </c>
      <c r="AS923" s="10">
        <f t="shared" si="116"/>
        <v>148.5770381172</v>
      </c>
    </row>
    <row r="924" spans="1:45" x14ac:dyDescent="0.3">
      <c r="A924">
        <v>2025</v>
      </c>
      <c r="B924">
        <v>4</v>
      </c>
      <c r="C924" t="s">
        <v>55</v>
      </c>
      <c r="D924">
        <v>10</v>
      </c>
      <c r="E924" t="s">
        <v>36</v>
      </c>
      <c r="F924" t="s">
        <v>37</v>
      </c>
      <c r="G924" t="s">
        <v>38</v>
      </c>
      <c r="H924" t="s">
        <v>83</v>
      </c>
      <c r="I924" t="s">
        <v>375</v>
      </c>
      <c r="J924" t="s">
        <v>376</v>
      </c>
      <c r="K924" t="s">
        <v>59</v>
      </c>
      <c r="M924">
        <v>2503061</v>
      </c>
      <c r="N924" t="s">
        <v>377</v>
      </c>
      <c r="O924" t="s">
        <v>36</v>
      </c>
      <c r="Q924" t="s">
        <v>62</v>
      </c>
      <c r="R924" t="s">
        <v>378</v>
      </c>
      <c r="S924" t="s">
        <v>378</v>
      </c>
      <c r="T924" t="s">
        <v>47</v>
      </c>
      <c r="U924" t="s">
        <v>167</v>
      </c>
      <c r="V924" t="s">
        <v>49</v>
      </c>
      <c r="W924" t="s">
        <v>168</v>
      </c>
      <c r="X924" t="s">
        <v>51</v>
      </c>
      <c r="Y924" t="s">
        <v>351</v>
      </c>
      <c r="Z924" t="s">
        <v>64</v>
      </c>
      <c r="AA924" t="s">
        <v>352</v>
      </c>
      <c r="AB924" s="3">
        <f t="shared" si="117"/>
        <v>4</v>
      </c>
      <c r="AC924">
        <v>154.29</v>
      </c>
      <c r="AD924" s="2">
        <v>38.572499999999998</v>
      </c>
      <c r="AE924" s="2">
        <v>32.380000000000003</v>
      </c>
      <c r="AF924" s="2">
        <v>1.1399999999999999</v>
      </c>
      <c r="AG924" s="2">
        <v>187.81</v>
      </c>
      <c r="AH924">
        <v>0</v>
      </c>
      <c r="AI924">
        <v>46.952500000000001</v>
      </c>
      <c r="AJ924">
        <v>0.93905000000000005</v>
      </c>
      <c r="AK924" t="s">
        <v>54</v>
      </c>
      <c r="AL924">
        <v>7.78</v>
      </c>
      <c r="AM924" s="4">
        <f t="shared" si="118"/>
        <v>46.952500000000001</v>
      </c>
      <c r="AN924" s="4">
        <f t="shared" si="119"/>
        <v>72.323437499999997</v>
      </c>
      <c r="AO924" s="4">
        <f t="shared" si="120"/>
        <v>80.351339062500003</v>
      </c>
      <c r="AP924" s="4">
        <f t="shared" si="121"/>
        <v>117.15673640624999</v>
      </c>
      <c r="AQ924" s="10">
        <f t="shared" si="114"/>
        <v>81.655092750000009</v>
      </c>
      <c r="AR924" s="10">
        <f t="shared" si="115"/>
        <v>90.726973554525003</v>
      </c>
      <c r="AS924" s="10">
        <f t="shared" si="116"/>
        <v>127.12064839320001</v>
      </c>
    </row>
    <row r="925" spans="1:45" x14ac:dyDescent="0.3">
      <c r="A925">
        <v>2025</v>
      </c>
      <c r="B925">
        <v>4</v>
      </c>
      <c r="C925" t="s">
        <v>55</v>
      </c>
      <c r="D925">
        <v>10</v>
      </c>
      <c r="E925" t="s">
        <v>36</v>
      </c>
      <c r="F925" t="s">
        <v>37</v>
      </c>
      <c r="G925" t="s">
        <v>38</v>
      </c>
      <c r="H925" t="s">
        <v>83</v>
      </c>
      <c r="I925" t="s">
        <v>375</v>
      </c>
      <c r="J925" t="s">
        <v>376</v>
      </c>
      <c r="K925" t="s">
        <v>59</v>
      </c>
      <c r="M925">
        <v>2503061</v>
      </c>
      <c r="N925" t="s">
        <v>377</v>
      </c>
      <c r="O925" t="s">
        <v>36</v>
      </c>
      <c r="Q925" t="s">
        <v>62</v>
      </c>
      <c r="R925" t="s">
        <v>378</v>
      </c>
      <c r="S925" t="s">
        <v>378</v>
      </c>
      <c r="T925" t="s">
        <v>47</v>
      </c>
      <c r="U925" t="s">
        <v>167</v>
      </c>
      <c r="V925" t="s">
        <v>49</v>
      </c>
      <c r="W925" t="s">
        <v>168</v>
      </c>
      <c r="X925" t="s">
        <v>51</v>
      </c>
      <c r="Y925" t="s">
        <v>351</v>
      </c>
      <c r="Z925" t="s">
        <v>351</v>
      </c>
      <c r="AA925" t="s">
        <v>352</v>
      </c>
      <c r="AB925" s="3">
        <f t="shared" si="117"/>
        <v>10</v>
      </c>
      <c r="AC925">
        <v>389.75</v>
      </c>
      <c r="AD925" s="2">
        <v>38.975000000000001</v>
      </c>
      <c r="AE925" s="2">
        <v>150.87</v>
      </c>
      <c r="AF925" s="2">
        <v>2.65</v>
      </c>
      <c r="AG925" s="2">
        <v>543.27</v>
      </c>
      <c r="AH925">
        <v>0</v>
      </c>
      <c r="AI925">
        <v>54.326999999999998</v>
      </c>
      <c r="AJ925">
        <v>2.7163499999999998</v>
      </c>
      <c r="AK925" t="s">
        <v>54</v>
      </c>
      <c r="AL925">
        <v>7.2</v>
      </c>
      <c r="AM925" s="4">
        <f t="shared" si="118"/>
        <v>54.326999999999998</v>
      </c>
      <c r="AN925" s="4">
        <f t="shared" si="119"/>
        <v>73.078125</v>
      </c>
      <c r="AO925" s="4">
        <f t="shared" si="120"/>
        <v>81.189796874999999</v>
      </c>
      <c r="AP925" s="4">
        <f t="shared" si="121"/>
        <v>118.37925468749999</v>
      </c>
      <c r="AQ925" s="10">
        <f t="shared" si="114"/>
        <v>94.480085700000004</v>
      </c>
      <c r="AR925" s="10">
        <f t="shared" si="115"/>
        <v>104.97682322127</v>
      </c>
      <c r="AS925" s="10">
        <f t="shared" si="116"/>
        <v>147.08659741776</v>
      </c>
    </row>
    <row r="926" spans="1:45" x14ac:dyDescent="0.3">
      <c r="A926">
        <v>2025</v>
      </c>
      <c r="B926">
        <v>4</v>
      </c>
      <c r="C926" t="s">
        <v>55</v>
      </c>
      <c r="D926">
        <v>10</v>
      </c>
      <c r="E926" t="s">
        <v>36</v>
      </c>
      <c r="F926" t="s">
        <v>37</v>
      </c>
      <c r="G926" t="s">
        <v>38</v>
      </c>
      <c r="H926" t="s">
        <v>83</v>
      </c>
      <c r="I926" t="s">
        <v>190</v>
      </c>
      <c r="J926" t="s">
        <v>58</v>
      </c>
      <c r="K926" t="s">
        <v>59</v>
      </c>
      <c r="M926" t="s">
        <v>383</v>
      </c>
      <c r="N926" t="s">
        <v>384</v>
      </c>
      <c r="O926" t="s">
        <v>36</v>
      </c>
      <c r="Q926" t="s">
        <v>62</v>
      </c>
      <c r="R926" t="s">
        <v>385</v>
      </c>
      <c r="S926" t="s">
        <v>385</v>
      </c>
      <c r="T926" t="s">
        <v>47</v>
      </c>
      <c r="U926" t="s">
        <v>167</v>
      </c>
      <c r="V926" t="s">
        <v>49</v>
      </c>
      <c r="W926" t="s">
        <v>168</v>
      </c>
      <c r="X926" t="s">
        <v>388</v>
      </c>
      <c r="Y926" t="s">
        <v>351</v>
      </c>
      <c r="Z926" t="s">
        <v>351</v>
      </c>
      <c r="AA926" t="s">
        <v>352</v>
      </c>
      <c r="AB926" s="3">
        <f t="shared" si="117"/>
        <v>10</v>
      </c>
      <c r="AC926">
        <v>390.88</v>
      </c>
      <c r="AD926" s="2">
        <v>39.088000000000001</v>
      </c>
      <c r="AE926" s="2">
        <v>235.95</v>
      </c>
      <c r="AF926" s="2">
        <v>2.59</v>
      </c>
      <c r="AG926" s="2">
        <v>629.41999999999996</v>
      </c>
      <c r="AH926">
        <v>0</v>
      </c>
      <c r="AI926">
        <v>62.942</v>
      </c>
      <c r="AJ926">
        <v>3.1471</v>
      </c>
      <c r="AK926" t="s">
        <v>54</v>
      </c>
      <c r="AL926">
        <v>11.26</v>
      </c>
      <c r="AM926" s="4">
        <f t="shared" si="118"/>
        <v>62.941999999999993</v>
      </c>
      <c r="AN926" s="4">
        <f t="shared" si="119"/>
        <v>73.290000000000006</v>
      </c>
      <c r="AO926" s="4">
        <f t="shared" si="120"/>
        <v>81.425190000000001</v>
      </c>
      <c r="AP926" s="4">
        <f t="shared" si="121"/>
        <v>118.722471</v>
      </c>
      <c r="AQ926" s="10">
        <f t="shared" si="114"/>
        <v>109.46243219999999</v>
      </c>
      <c r="AR926" s="10">
        <f t="shared" si="115"/>
        <v>121.62370841741999</v>
      </c>
      <c r="AS926" s="10">
        <f t="shared" si="116"/>
        <v>170.41111444895998</v>
      </c>
    </row>
    <row r="927" spans="1:45" x14ac:dyDescent="0.3">
      <c r="A927">
        <v>2025</v>
      </c>
      <c r="B927">
        <v>8</v>
      </c>
      <c r="C927" t="s">
        <v>55</v>
      </c>
      <c r="D927">
        <v>10</v>
      </c>
      <c r="E927" t="s">
        <v>36</v>
      </c>
      <c r="F927" t="s">
        <v>37</v>
      </c>
      <c r="G927" t="s">
        <v>38</v>
      </c>
      <c r="H927" t="s">
        <v>83</v>
      </c>
      <c r="I927" t="s">
        <v>190</v>
      </c>
      <c r="J927" t="s">
        <v>58</v>
      </c>
      <c r="K927" t="s">
        <v>59</v>
      </c>
      <c r="L927" t="s">
        <v>1194</v>
      </c>
      <c r="M927" t="s">
        <v>1195</v>
      </c>
      <c r="N927" t="s">
        <v>1196</v>
      </c>
      <c r="O927" t="s">
        <v>1197</v>
      </c>
      <c r="Q927" t="s">
        <v>62</v>
      </c>
      <c r="R927" t="s">
        <v>1198</v>
      </c>
      <c r="S927" t="s">
        <v>1198</v>
      </c>
      <c r="T927" t="s">
        <v>47</v>
      </c>
      <c r="U927" t="s">
        <v>167</v>
      </c>
      <c r="V927" t="s">
        <v>49</v>
      </c>
      <c r="W927" t="s">
        <v>168</v>
      </c>
      <c r="X927" t="s">
        <v>388</v>
      </c>
      <c r="Y927" t="s">
        <v>351</v>
      </c>
      <c r="Z927" t="s">
        <v>351</v>
      </c>
      <c r="AA927" t="s">
        <v>352</v>
      </c>
      <c r="AB927" s="3">
        <f t="shared" si="117"/>
        <v>10</v>
      </c>
      <c r="AC927">
        <v>487.28</v>
      </c>
      <c r="AD927" s="2">
        <v>48.728000000000002</v>
      </c>
      <c r="AE927" s="2">
        <v>153.24</v>
      </c>
      <c r="AF927" s="2">
        <v>2.98</v>
      </c>
      <c r="AG927" s="2">
        <v>643.5</v>
      </c>
      <c r="AH927">
        <v>0</v>
      </c>
      <c r="AI927">
        <v>64.349999999999994</v>
      </c>
      <c r="AJ927">
        <v>3.2174999999999998</v>
      </c>
      <c r="AK927" t="s">
        <v>54</v>
      </c>
      <c r="AL927">
        <v>7.8</v>
      </c>
      <c r="AM927" s="4">
        <f t="shared" si="118"/>
        <v>64.349999999999994</v>
      </c>
      <c r="AN927" s="4">
        <f t="shared" si="119"/>
        <v>91.365000000000009</v>
      </c>
      <c r="AO927" s="4">
        <f t="shared" si="120"/>
        <v>101.50651500000001</v>
      </c>
      <c r="AP927" s="4">
        <f t="shared" si="121"/>
        <v>148.00216349999999</v>
      </c>
      <c r="AQ927" s="10">
        <f t="shared" si="114"/>
        <v>111.911085</v>
      </c>
      <c r="AR927" s="10">
        <f t="shared" si="115"/>
        <v>124.3444065435</v>
      </c>
      <c r="AS927" s="10">
        <f t="shared" si="116"/>
        <v>174.223177128</v>
      </c>
    </row>
    <row r="928" spans="1:45" x14ac:dyDescent="0.3">
      <c r="A928">
        <v>2025</v>
      </c>
      <c r="B928">
        <v>12</v>
      </c>
      <c r="C928" t="s">
        <v>55</v>
      </c>
      <c r="D928">
        <v>10</v>
      </c>
      <c r="E928" t="s">
        <v>36</v>
      </c>
      <c r="F928" t="s">
        <v>37</v>
      </c>
      <c r="G928" t="s">
        <v>38</v>
      </c>
      <c r="H928" t="s">
        <v>83</v>
      </c>
      <c r="I928" t="s">
        <v>57</v>
      </c>
      <c r="J928" t="s">
        <v>58</v>
      </c>
      <c r="K928" t="s">
        <v>59</v>
      </c>
      <c r="L928" t="s">
        <v>1769</v>
      </c>
      <c r="M928" t="s">
        <v>1770</v>
      </c>
      <c r="N928" t="s">
        <v>1771</v>
      </c>
      <c r="O928" t="s">
        <v>1197</v>
      </c>
      <c r="Q928" t="s">
        <v>62</v>
      </c>
      <c r="R928" t="s">
        <v>1772</v>
      </c>
      <c r="S928" t="s">
        <v>1772</v>
      </c>
      <c r="T928" t="s">
        <v>47</v>
      </c>
      <c r="U928" t="s">
        <v>167</v>
      </c>
      <c r="V928" t="s">
        <v>49</v>
      </c>
      <c r="W928" t="s">
        <v>168</v>
      </c>
      <c r="X928" t="s">
        <v>51</v>
      </c>
      <c r="Y928" t="s">
        <v>1401</v>
      </c>
      <c r="Z928" t="s">
        <v>1401</v>
      </c>
      <c r="AA928" t="s">
        <v>352</v>
      </c>
      <c r="AB928" s="3">
        <f t="shared" si="117"/>
        <v>10</v>
      </c>
      <c r="AC928">
        <v>370.86</v>
      </c>
      <c r="AD928" s="2">
        <v>37.085999999999999</v>
      </c>
      <c r="AE928" s="2">
        <v>26.58</v>
      </c>
      <c r="AF928" s="2">
        <v>2.4</v>
      </c>
      <c r="AG928" s="2">
        <v>399.84</v>
      </c>
      <c r="AH928">
        <v>0</v>
      </c>
      <c r="AI928">
        <v>39.984000000000002</v>
      </c>
      <c r="AJ928">
        <v>1.9992000000000001</v>
      </c>
      <c r="AK928" t="s">
        <v>54</v>
      </c>
      <c r="AL928">
        <v>3.12</v>
      </c>
      <c r="AM928" s="4">
        <f t="shared" si="118"/>
        <v>39.983999999999995</v>
      </c>
      <c r="AN928" s="4">
        <f t="shared" si="119"/>
        <v>69.536249999999995</v>
      </c>
      <c r="AO928" s="4">
        <f t="shared" si="120"/>
        <v>77.254773749999998</v>
      </c>
      <c r="AP928" s="4">
        <f t="shared" si="121"/>
        <v>112.64177137499999</v>
      </c>
      <c r="AQ928" s="10">
        <f t="shared" si="114"/>
        <v>69.536174399999993</v>
      </c>
      <c r="AR928" s="10">
        <f t="shared" si="115"/>
        <v>77.261643375839995</v>
      </c>
      <c r="AS928" s="10">
        <f t="shared" si="116"/>
        <v>108.25391630591999</v>
      </c>
    </row>
    <row r="929" spans="1:45" x14ac:dyDescent="0.3">
      <c r="A929">
        <v>2025</v>
      </c>
      <c r="B929">
        <v>12</v>
      </c>
      <c r="C929" t="s">
        <v>55</v>
      </c>
      <c r="D929">
        <v>10</v>
      </c>
      <c r="E929" t="s">
        <v>36</v>
      </c>
      <c r="F929" t="s">
        <v>37</v>
      </c>
      <c r="G929" t="s">
        <v>38</v>
      </c>
      <c r="H929" t="s">
        <v>83</v>
      </c>
      <c r="I929" t="s">
        <v>57</v>
      </c>
      <c r="J929" t="s">
        <v>58</v>
      </c>
      <c r="K929" t="s">
        <v>59</v>
      </c>
      <c r="L929" t="s">
        <v>1769</v>
      </c>
      <c r="M929" t="s">
        <v>1770</v>
      </c>
      <c r="N929" t="s">
        <v>1771</v>
      </c>
      <c r="O929" t="s">
        <v>1197</v>
      </c>
      <c r="Q929" t="s">
        <v>62</v>
      </c>
      <c r="R929" t="s">
        <v>1772</v>
      </c>
      <c r="S929" t="s">
        <v>1772</v>
      </c>
      <c r="T929" t="s">
        <v>47</v>
      </c>
      <c r="U929" t="s">
        <v>167</v>
      </c>
      <c r="V929" t="s">
        <v>49</v>
      </c>
      <c r="W929" t="s">
        <v>168</v>
      </c>
      <c r="X929" t="s">
        <v>51</v>
      </c>
      <c r="Y929" t="s">
        <v>1133</v>
      </c>
      <c r="Z929" t="s">
        <v>1133</v>
      </c>
      <c r="AA929" t="s">
        <v>352</v>
      </c>
      <c r="AB929" s="3">
        <f t="shared" si="117"/>
        <v>15.000000000000135</v>
      </c>
      <c r="AC929">
        <v>560.69000000000005</v>
      </c>
      <c r="AD929" s="2">
        <v>37.379333333333001</v>
      </c>
      <c r="AE929" s="2">
        <v>166.45</v>
      </c>
      <c r="AF929" s="2">
        <v>4.21</v>
      </c>
      <c r="AG929" s="2">
        <v>731.35</v>
      </c>
      <c r="AH929">
        <v>0</v>
      </c>
      <c r="AI929">
        <v>48.756666666667002</v>
      </c>
      <c r="AJ929">
        <v>3.6567500000000002</v>
      </c>
      <c r="AK929" t="s">
        <v>54</v>
      </c>
      <c r="AL929">
        <v>4.17</v>
      </c>
      <c r="AM929" s="4">
        <f t="shared" si="118"/>
        <v>48.756666666666227</v>
      </c>
      <c r="AN929" s="4">
        <f t="shared" si="119"/>
        <v>70.086249999999382</v>
      </c>
      <c r="AO929" s="4">
        <f t="shared" si="120"/>
        <v>77.865823749999308</v>
      </c>
      <c r="AP929" s="4">
        <f t="shared" si="121"/>
        <v>113.532716374999</v>
      </c>
      <c r="AQ929" s="10">
        <f t="shared" si="114"/>
        <v>84.792718999999238</v>
      </c>
      <c r="AR929" s="10">
        <f t="shared" si="115"/>
        <v>94.213190080899153</v>
      </c>
      <c r="AS929" s="10">
        <f t="shared" si="116"/>
        <v>132.00530493919882</v>
      </c>
    </row>
    <row r="930" spans="1:45" x14ac:dyDescent="0.3">
      <c r="A930">
        <v>2025</v>
      </c>
      <c r="B930">
        <v>4</v>
      </c>
      <c r="C930" t="s">
        <v>55</v>
      </c>
      <c r="D930">
        <v>10</v>
      </c>
      <c r="E930" t="s">
        <v>36</v>
      </c>
      <c r="F930" t="s">
        <v>37</v>
      </c>
      <c r="G930" t="s">
        <v>38</v>
      </c>
      <c r="H930" t="s">
        <v>83</v>
      </c>
      <c r="I930" t="s">
        <v>190</v>
      </c>
      <c r="J930" t="s">
        <v>58</v>
      </c>
      <c r="K930" t="s">
        <v>59</v>
      </c>
      <c r="M930" t="s">
        <v>383</v>
      </c>
      <c r="N930" t="s">
        <v>384</v>
      </c>
      <c r="O930" t="s">
        <v>36</v>
      </c>
      <c r="Q930" t="s">
        <v>62</v>
      </c>
      <c r="R930" t="s">
        <v>385</v>
      </c>
      <c r="S930" t="s">
        <v>385</v>
      </c>
      <c r="T930" t="s">
        <v>47</v>
      </c>
      <c r="U930" t="s">
        <v>167</v>
      </c>
      <c r="V930" t="s">
        <v>49</v>
      </c>
      <c r="W930" t="s">
        <v>168</v>
      </c>
      <c r="X930" t="s">
        <v>388</v>
      </c>
      <c r="Y930" t="s">
        <v>1133</v>
      </c>
      <c r="Z930" t="s">
        <v>1133</v>
      </c>
      <c r="AA930" t="s">
        <v>352</v>
      </c>
      <c r="AB930" s="3">
        <f t="shared" si="117"/>
        <v>15.000000000000135</v>
      </c>
      <c r="AC930">
        <v>560.69000000000005</v>
      </c>
      <c r="AD930" s="2">
        <v>37.379333333333001</v>
      </c>
      <c r="AE930" s="2">
        <v>166.45</v>
      </c>
      <c r="AF930" s="2">
        <v>4.21</v>
      </c>
      <c r="AG930" s="2">
        <v>731.35</v>
      </c>
      <c r="AH930">
        <v>0</v>
      </c>
      <c r="AI930">
        <v>48.756666666667002</v>
      </c>
      <c r="AJ930">
        <v>3.6567500000000002</v>
      </c>
      <c r="AK930" t="s">
        <v>54</v>
      </c>
      <c r="AL930">
        <v>4.17</v>
      </c>
      <c r="AM930" s="4">
        <f t="shared" si="118"/>
        <v>48.756666666666227</v>
      </c>
      <c r="AN930" s="4">
        <f t="shared" si="119"/>
        <v>70.086249999999382</v>
      </c>
      <c r="AO930" s="4">
        <f t="shared" si="120"/>
        <v>77.865823749999308</v>
      </c>
      <c r="AP930" s="4">
        <f t="shared" si="121"/>
        <v>113.532716374999</v>
      </c>
      <c r="AQ930" s="10">
        <f t="shared" ref="AQ930:AQ993" si="122">SUM(AM930)*1.7391</f>
        <v>84.792718999999238</v>
      </c>
      <c r="AR930" s="10">
        <f t="shared" ref="AR930:AR993" si="123">SUM(AQ930)*1.1111</f>
        <v>94.213190080899153</v>
      </c>
      <c r="AS930" s="10">
        <f t="shared" ref="AS930:AS993" si="124">SUM(AQ930)*1.5568</f>
        <v>132.00530493919882</v>
      </c>
    </row>
    <row r="931" spans="1:45" x14ac:dyDescent="0.3">
      <c r="A931">
        <v>2025</v>
      </c>
      <c r="B931">
        <v>5</v>
      </c>
      <c r="C931" t="s">
        <v>55</v>
      </c>
      <c r="D931">
        <v>10</v>
      </c>
      <c r="E931" t="s">
        <v>36</v>
      </c>
      <c r="F931" t="s">
        <v>37</v>
      </c>
      <c r="G931" t="s">
        <v>38</v>
      </c>
      <c r="H931" t="s">
        <v>83</v>
      </c>
      <c r="I931" t="s">
        <v>190</v>
      </c>
      <c r="J931" t="s">
        <v>58</v>
      </c>
      <c r="K931" t="s">
        <v>59</v>
      </c>
      <c r="M931" t="s">
        <v>682</v>
      </c>
      <c r="N931" t="s">
        <v>384</v>
      </c>
      <c r="O931" t="s">
        <v>36</v>
      </c>
      <c r="Q931" t="s">
        <v>62</v>
      </c>
      <c r="R931" t="s">
        <v>683</v>
      </c>
      <c r="S931" t="s">
        <v>683</v>
      </c>
      <c r="T931" t="s">
        <v>47</v>
      </c>
      <c r="U931" t="s">
        <v>167</v>
      </c>
      <c r="V931" t="s">
        <v>49</v>
      </c>
      <c r="W931" t="s">
        <v>168</v>
      </c>
      <c r="X931" t="s">
        <v>686</v>
      </c>
      <c r="Y931" t="s">
        <v>584</v>
      </c>
      <c r="Z931" t="s">
        <v>584</v>
      </c>
      <c r="AA931" t="s">
        <v>597</v>
      </c>
      <c r="AB931" s="3">
        <f t="shared" si="117"/>
        <v>9.9999999999999982</v>
      </c>
      <c r="AC931">
        <v>477.28</v>
      </c>
      <c r="AD931" s="2">
        <v>47.728000000000002</v>
      </c>
      <c r="AE931" s="2">
        <v>153.24</v>
      </c>
      <c r="AF931" s="2">
        <v>2.91</v>
      </c>
      <c r="AG931" s="2">
        <v>633.42999999999995</v>
      </c>
      <c r="AH931">
        <v>0</v>
      </c>
      <c r="AI931">
        <v>63.343000000000004</v>
      </c>
      <c r="AJ931">
        <v>3.1671499999999999</v>
      </c>
      <c r="AK931" t="s">
        <v>54</v>
      </c>
      <c r="AL931">
        <v>7.8</v>
      </c>
      <c r="AM931" s="4">
        <f t="shared" si="118"/>
        <v>63.343000000000004</v>
      </c>
      <c r="AN931" s="4">
        <f t="shared" si="119"/>
        <v>89.490000000000009</v>
      </c>
      <c r="AO931" s="4">
        <f t="shared" si="120"/>
        <v>99.423390000000012</v>
      </c>
      <c r="AP931" s="4">
        <f t="shared" si="121"/>
        <v>144.96485100000001</v>
      </c>
      <c r="AQ931" s="10">
        <f t="shared" si="122"/>
        <v>110.15981130000002</v>
      </c>
      <c r="AR931" s="10">
        <f t="shared" si="123"/>
        <v>122.39856633543002</v>
      </c>
      <c r="AS931" s="10">
        <f t="shared" si="124"/>
        <v>171.49679423184003</v>
      </c>
    </row>
    <row r="932" spans="1:45" x14ac:dyDescent="0.3">
      <c r="A932">
        <v>2025</v>
      </c>
      <c r="B932">
        <v>8</v>
      </c>
      <c r="C932" t="s">
        <v>55</v>
      </c>
      <c r="D932">
        <v>10</v>
      </c>
      <c r="E932" t="s">
        <v>36</v>
      </c>
      <c r="F932" t="s">
        <v>37</v>
      </c>
      <c r="G932" t="s">
        <v>38</v>
      </c>
      <c r="H932" t="s">
        <v>83</v>
      </c>
      <c r="I932" t="s">
        <v>190</v>
      </c>
      <c r="J932" t="s">
        <v>58</v>
      </c>
      <c r="K932" t="s">
        <v>59</v>
      </c>
      <c r="L932" t="s">
        <v>1194</v>
      </c>
      <c r="M932" t="s">
        <v>1195</v>
      </c>
      <c r="N932" t="s">
        <v>1196</v>
      </c>
      <c r="O932" t="s">
        <v>1197</v>
      </c>
      <c r="Q932" t="s">
        <v>62</v>
      </c>
      <c r="R932" t="s">
        <v>1198</v>
      </c>
      <c r="S932" t="s">
        <v>1198</v>
      </c>
      <c r="T932" t="s">
        <v>47</v>
      </c>
      <c r="U932" t="s">
        <v>167</v>
      </c>
      <c r="V932" t="s">
        <v>49</v>
      </c>
      <c r="W932" t="s">
        <v>168</v>
      </c>
      <c r="X932" t="s">
        <v>388</v>
      </c>
      <c r="Y932" t="s">
        <v>722</v>
      </c>
      <c r="Z932" t="s">
        <v>722</v>
      </c>
      <c r="AA932" t="s">
        <v>723</v>
      </c>
      <c r="AB932" s="3">
        <f t="shared" si="117"/>
        <v>4</v>
      </c>
      <c r="AC932">
        <v>205.27</v>
      </c>
      <c r="AD932" s="2">
        <v>51.317500000000003</v>
      </c>
      <c r="AE932" s="2">
        <v>379.29</v>
      </c>
      <c r="AF932" s="2">
        <v>1.44</v>
      </c>
      <c r="AG932" s="2">
        <v>585.99</v>
      </c>
      <c r="AH932">
        <v>0</v>
      </c>
      <c r="AI932">
        <v>146.4975</v>
      </c>
      <c r="AJ932">
        <v>2.9299499999999998</v>
      </c>
      <c r="AK932" t="s">
        <v>54</v>
      </c>
      <c r="AL932">
        <v>12.45</v>
      </c>
      <c r="AM932" s="4">
        <f t="shared" si="118"/>
        <v>146.4975</v>
      </c>
      <c r="AN932" s="4">
        <f t="shared" si="119"/>
        <v>96.220312500000006</v>
      </c>
      <c r="AO932" s="4">
        <f t="shared" si="120"/>
        <v>106.90076718750001</v>
      </c>
      <c r="AP932" s="4">
        <f t="shared" si="121"/>
        <v>155.86728421875</v>
      </c>
      <c r="AQ932" s="10">
        <f t="shared" si="122"/>
        <v>254.77380225000002</v>
      </c>
      <c r="AR932" s="10">
        <f t="shared" si="123"/>
        <v>283.07917167997499</v>
      </c>
      <c r="AS932" s="10">
        <f t="shared" si="124"/>
        <v>396.63185534280001</v>
      </c>
    </row>
    <row r="933" spans="1:45" x14ac:dyDescent="0.3">
      <c r="A933">
        <v>2025</v>
      </c>
      <c r="B933">
        <v>1</v>
      </c>
      <c r="C933" t="s">
        <v>55</v>
      </c>
      <c r="D933">
        <v>10</v>
      </c>
      <c r="E933" t="s">
        <v>36</v>
      </c>
      <c r="F933" t="s">
        <v>37</v>
      </c>
      <c r="G933" t="s">
        <v>38</v>
      </c>
      <c r="H933" t="s">
        <v>83</v>
      </c>
      <c r="I933" t="s">
        <v>57</v>
      </c>
      <c r="J933" t="s">
        <v>58</v>
      </c>
      <c r="K933" t="s">
        <v>59</v>
      </c>
      <c r="M933" t="s">
        <v>60</v>
      </c>
      <c r="N933" t="s">
        <v>61</v>
      </c>
      <c r="O933" t="s">
        <v>43</v>
      </c>
      <c r="Q933" t="s">
        <v>62</v>
      </c>
      <c r="R933" t="s">
        <v>63</v>
      </c>
      <c r="S933" t="s">
        <v>63</v>
      </c>
      <c r="T933" t="s">
        <v>47</v>
      </c>
      <c r="U933" t="s">
        <v>163</v>
      </c>
      <c r="V933" t="s">
        <v>49</v>
      </c>
      <c r="W933" t="s">
        <v>164</v>
      </c>
      <c r="X933" t="s">
        <v>51</v>
      </c>
      <c r="Y933" t="s">
        <v>1413</v>
      </c>
      <c r="Z933" t="s">
        <v>1413</v>
      </c>
      <c r="AA933" t="s">
        <v>723</v>
      </c>
      <c r="AB933" s="3">
        <f t="shared" si="117"/>
        <v>8</v>
      </c>
      <c r="AC933">
        <v>324.62</v>
      </c>
      <c r="AD933" s="2">
        <v>40.577500000000001</v>
      </c>
      <c r="AE933" s="2">
        <v>23.26</v>
      </c>
      <c r="AF933" s="2">
        <v>2.1</v>
      </c>
      <c r="AG933" s="2">
        <v>349.98</v>
      </c>
      <c r="AH933">
        <v>0</v>
      </c>
      <c r="AI933">
        <v>43.747500000000002</v>
      </c>
      <c r="AJ933">
        <v>1.7499</v>
      </c>
      <c r="AK933" t="s">
        <v>54</v>
      </c>
      <c r="AL933">
        <v>2.73</v>
      </c>
      <c r="AM933" s="4">
        <f t="shared" si="118"/>
        <v>43.747500000000002</v>
      </c>
      <c r="AN933" s="4">
        <f t="shared" si="119"/>
        <v>76.082812500000003</v>
      </c>
      <c r="AO933" s="4">
        <f t="shared" si="120"/>
        <v>84.528004687500001</v>
      </c>
      <c r="AP933" s="4">
        <f t="shared" si="121"/>
        <v>123.24654796874999</v>
      </c>
      <c r="AQ933" s="10">
        <f t="shared" si="122"/>
        <v>76.081277250000014</v>
      </c>
      <c r="AR933" s="10">
        <f t="shared" si="123"/>
        <v>84.53390715247501</v>
      </c>
      <c r="AS933" s="10">
        <f t="shared" si="124"/>
        <v>118.44333242280001</v>
      </c>
    </row>
    <row r="934" spans="1:45" x14ac:dyDescent="0.3">
      <c r="A934">
        <v>2025</v>
      </c>
      <c r="B934">
        <v>4</v>
      </c>
      <c r="C934" t="s">
        <v>55</v>
      </c>
      <c r="D934">
        <v>10</v>
      </c>
      <c r="E934" t="s">
        <v>36</v>
      </c>
      <c r="F934" t="s">
        <v>37</v>
      </c>
      <c r="G934" t="s">
        <v>38</v>
      </c>
      <c r="H934" t="s">
        <v>83</v>
      </c>
      <c r="I934" t="s">
        <v>375</v>
      </c>
      <c r="J934" t="s">
        <v>376</v>
      </c>
      <c r="K934" t="s">
        <v>59</v>
      </c>
      <c r="M934">
        <v>2503061</v>
      </c>
      <c r="N934" t="s">
        <v>377</v>
      </c>
      <c r="O934" t="s">
        <v>36</v>
      </c>
      <c r="Q934" t="s">
        <v>62</v>
      </c>
      <c r="R934" t="s">
        <v>378</v>
      </c>
      <c r="S934" t="s">
        <v>378</v>
      </c>
      <c r="T934" t="s">
        <v>47</v>
      </c>
      <c r="U934" t="s">
        <v>163</v>
      </c>
      <c r="V934" t="s">
        <v>49</v>
      </c>
      <c r="W934" t="s">
        <v>164</v>
      </c>
      <c r="X934" t="s">
        <v>51</v>
      </c>
      <c r="Y934" t="s">
        <v>165</v>
      </c>
      <c r="Z934" t="s">
        <v>64</v>
      </c>
      <c r="AA934" t="s">
        <v>166</v>
      </c>
      <c r="AB934" s="3">
        <f t="shared" si="117"/>
        <v>6</v>
      </c>
      <c r="AC934">
        <v>1211.49</v>
      </c>
      <c r="AD934" s="2">
        <v>201.91499999999999</v>
      </c>
      <c r="AE934" s="2">
        <v>291.07</v>
      </c>
      <c r="AF934" s="2">
        <v>8.3699999999999992</v>
      </c>
      <c r="AG934" s="2">
        <v>1510.93</v>
      </c>
      <c r="AH934">
        <v>0</v>
      </c>
      <c r="AI934">
        <v>251.82166666667001</v>
      </c>
      <c r="AJ934">
        <v>7.5546499999999996</v>
      </c>
      <c r="AK934" t="s">
        <v>54</v>
      </c>
      <c r="AL934">
        <v>18.03</v>
      </c>
      <c r="AM934" s="4">
        <f t="shared" si="118"/>
        <v>251.82166666666669</v>
      </c>
      <c r="AN934" s="4">
        <f t="shared" si="119"/>
        <v>378.59062499999999</v>
      </c>
      <c r="AO934" s="4">
        <f t="shared" si="120"/>
        <v>420.61418437499998</v>
      </c>
      <c r="AP934" s="4">
        <f t="shared" si="121"/>
        <v>613.27895343749992</v>
      </c>
      <c r="AQ934" s="10">
        <f t="shared" si="122"/>
        <v>437.94306050000006</v>
      </c>
      <c r="AR934" s="10">
        <f t="shared" si="123"/>
        <v>486.59853452155005</v>
      </c>
      <c r="AS934" s="10">
        <f t="shared" si="124"/>
        <v>681.78975658640002</v>
      </c>
    </row>
    <row r="935" spans="1:45" x14ac:dyDescent="0.3">
      <c r="A935">
        <v>2025</v>
      </c>
      <c r="B935">
        <v>5</v>
      </c>
      <c r="C935" t="s">
        <v>55</v>
      </c>
      <c r="D935">
        <v>10</v>
      </c>
      <c r="E935" t="s">
        <v>36</v>
      </c>
      <c r="F935" t="s">
        <v>37</v>
      </c>
      <c r="G935" t="s">
        <v>38</v>
      </c>
      <c r="H935" t="s">
        <v>83</v>
      </c>
      <c r="I935" t="s">
        <v>190</v>
      </c>
      <c r="J935" t="s">
        <v>58</v>
      </c>
      <c r="K935" t="s">
        <v>59</v>
      </c>
      <c r="M935" t="s">
        <v>682</v>
      </c>
      <c r="N935" t="s">
        <v>384</v>
      </c>
      <c r="O935" t="s">
        <v>36</v>
      </c>
      <c r="Q935" t="s">
        <v>62</v>
      </c>
      <c r="R935" t="s">
        <v>683</v>
      </c>
      <c r="S935" t="s">
        <v>683</v>
      </c>
      <c r="T935" t="s">
        <v>47</v>
      </c>
      <c r="U935" t="s">
        <v>163</v>
      </c>
      <c r="V935" t="s">
        <v>49</v>
      </c>
      <c r="W935" t="s">
        <v>164</v>
      </c>
      <c r="X935" t="s">
        <v>686</v>
      </c>
      <c r="Y935" t="s">
        <v>552</v>
      </c>
      <c r="Z935" t="s">
        <v>552</v>
      </c>
      <c r="AA935" t="s">
        <v>166</v>
      </c>
      <c r="AB935" s="3">
        <f t="shared" si="117"/>
        <v>6</v>
      </c>
      <c r="AC935">
        <v>1177.47</v>
      </c>
      <c r="AD935" s="2">
        <v>196.245</v>
      </c>
      <c r="AE935" s="2">
        <v>90.52</v>
      </c>
      <c r="AF935" s="2">
        <v>8.35</v>
      </c>
      <c r="AG935" s="2">
        <v>1276.3499999999999</v>
      </c>
      <c r="AH935">
        <v>0</v>
      </c>
      <c r="AI935">
        <v>212.72499999999999</v>
      </c>
      <c r="AJ935">
        <v>6.3817500000000003</v>
      </c>
      <c r="AK935" t="s">
        <v>54</v>
      </c>
      <c r="AL935">
        <v>4.32</v>
      </c>
      <c r="AM935" s="4">
        <f t="shared" si="118"/>
        <v>212.72499999999999</v>
      </c>
      <c r="AN935" s="4">
        <f t="shared" si="119"/>
        <v>367.95937500000002</v>
      </c>
      <c r="AO935" s="4">
        <f t="shared" si="120"/>
        <v>408.80286562500004</v>
      </c>
      <c r="AP935" s="4">
        <f t="shared" si="121"/>
        <v>596.05739156250002</v>
      </c>
      <c r="AQ935" s="10">
        <f t="shared" si="122"/>
        <v>369.95004749999998</v>
      </c>
      <c r="AR935" s="10">
        <f t="shared" si="123"/>
        <v>411.05149777724995</v>
      </c>
      <c r="AS935" s="10">
        <f t="shared" si="124"/>
        <v>575.93823394799995</v>
      </c>
    </row>
    <row r="936" spans="1:45" x14ac:dyDescent="0.3">
      <c r="A936">
        <v>2025</v>
      </c>
      <c r="B936">
        <v>7</v>
      </c>
      <c r="C936" t="s">
        <v>55</v>
      </c>
      <c r="D936">
        <v>10</v>
      </c>
      <c r="E936" t="s">
        <v>36</v>
      </c>
      <c r="F936" t="s">
        <v>37</v>
      </c>
      <c r="G936" t="s">
        <v>38</v>
      </c>
      <c r="H936" t="s">
        <v>83</v>
      </c>
      <c r="I936" t="s">
        <v>190</v>
      </c>
      <c r="J936" t="s">
        <v>58</v>
      </c>
      <c r="K936" t="s">
        <v>41</v>
      </c>
      <c r="L936" t="s">
        <v>953</v>
      </c>
      <c r="M936" t="s">
        <v>954</v>
      </c>
      <c r="N936" t="s">
        <v>731</v>
      </c>
      <c r="O936" t="s">
        <v>36</v>
      </c>
      <c r="Q936" t="s">
        <v>62</v>
      </c>
      <c r="R936" t="s">
        <v>955</v>
      </c>
      <c r="S936" t="s">
        <v>956</v>
      </c>
      <c r="T936" t="s">
        <v>47</v>
      </c>
      <c r="U936" t="s">
        <v>153</v>
      </c>
      <c r="V936" t="s">
        <v>49</v>
      </c>
      <c r="W936" t="s">
        <v>154</v>
      </c>
      <c r="X936" t="s">
        <v>51</v>
      </c>
      <c r="Y936" t="s">
        <v>554</v>
      </c>
      <c r="Z936" t="s">
        <v>554</v>
      </c>
      <c r="AA936" t="s">
        <v>166</v>
      </c>
      <c r="AB936" s="3">
        <f t="shared" si="117"/>
        <v>1</v>
      </c>
      <c r="AC936">
        <v>150.19</v>
      </c>
      <c r="AD936" s="2">
        <v>150.19</v>
      </c>
      <c r="AE936" s="2">
        <v>94.84</v>
      </c>
      <c r="AF936" s="2">
        <v>1.31</v>
      </c>
      <c r="AG936" s="2">
        <v>246.34</v>
      </c>
      <c r="AH936">
        <v>0</v>
      </c>
      <c r="AI936">
        <v>246.34</v>
      </c>
      <c r="AJ936">
        <v>1.2317</v>
      </c>
      <c r="AK936" t="s">
        <v>54</v>
      </c>
      <c r="AL936">
        <v>3.11</v>
      </c>
      <c r="AM936" s="4">
        <f t="shared" si="118"/>
        <v>246.34</v>
      </c>
      <c r="AN936" s="4">
        <f t="shared" si="119"/>
        <v>281.60624999999999</v>
      </c>
      <c r="AO936" s="4">
        <f t="shared" si="120"/>
        <v>312.86454375</v>
      </c>
      <c r="AP936" s="4">
        <f t="shared" si="121"/>
        <v>456.17396437499997</v>
      </c>
      <c r="AQ936" s="10">
        <f t="shared" si="122"/>
        <v>428.40989400000001</v>
      </c>
      <c r="AR936" s="10">
        <f t="shared" si="123"/>
        <v>476.00623322339999</v>
      </c>
      <c r="AS936" s="10">
        <f t="shared" si="124"/>
        <v>666.94852297919999</v>
      </c>
    </row>
    <row r="937" spans="1:45" x14ac:dyDescent="0.3">
      <c r="A937">
        <v>2025</v>
      </c>
      <c r="B937">
        <v>7</v>
      </c>
      <c r="C937" t="s">
        <v>55</v>
      </c>
      <c r="D937">
        <v>10</v>
      </c>
      <c r="E937" t="s">
        <v>36</v>
      </c>
      <c r="F937" t="s">
        <v>37</v>
      </c>
      <c r="G937" t="s">
        <v>38</v>
      </c>
      <c r="H937" t="s">
        <v>83</v>
      </c>
      <c r="I937" t="s">
        <v>190</v>
      </c>
      <c r="J937" t="s">
        <v>58</v>
      </c>
      <c r="K937" t="s">
        <v>41</v>
      </c>
      <c r="L937" t="s">
        <v>953</v>
      </c>
      <c r="M937" t="s">
        <v>954</v>
      </c>
      <c r="N937" t="s">
        <v>731</v>
      </c>
      <c r="O937" t="s">
        <v>36</v>
      </c>
      <c r="Q937" t="s">
        <v>62</v>
      </c>
      <c r="R937" t="s">
        <v>955</v>
      </c>
      <c r="S937" t="s">
        <v>956</v>
      </c>
      <c r="T937" t="s">
        <v>47</v>
      </c>
      <c r="U937" t="s">
        <v>163</v>
      </c>
      <c r="V937" t="s">
        <v>49</v>
      </c>
      <c r="W937" t="s">
        <v>164</v>
      </c>
      <c r="X937" t="s">
        <v>51</v>
      </c>
      <c r="Y937" t="s">
        <v>1106</v>
      </c>
      <c r="Z937" t="s">
        <v>1106</v>
      </c>
      <c r="AA937" t="s">
        <v>166</v>
      </c>
      <c r="AB937" s="3">
        <f t="shared" si="117"/>
        <v>10</v>
      </c>
      <c r="AC937">
        <v>1403.87</v>
      </c>
      <c r="AD937" s="2">
        <v>140.387</v>
      </c>
      <c r="AE937" s="2">
        <v>290.42</v>
      </c>
      <c r="AF937" s="2">
        <v>9.6999999999999993</v>
      </c>
      <c r="AG937" s="2">
        <v>1703.99</v>
      </c>
      <c r="AH937">
        <v>0</v>
      </c>
      <c r="AI937">
        <v>170.399</v>
      </c>
      <c r="AJ937">
        <v>8.5199499999999997</v>
      </c>
      <c r="AK937" t="s">
        <v>54</v>
      </c>
      <c r="AL937">
        <v>21.74</v>
      </c>
      <c r="AM937" s="4">
        <f t="shared" si="118"/>
        <v>170.399</v>
      </c>
      <c r="AN937" s="4">
        <f t="shared" si="119"/>
        <v>263.22562499999998</v>
      </c>
      <c r="AO937" s="4">
        <f t="shared" si="120"/>
        <v>292.44366937499996</v>
      </c>
      <c r="AP937" s="4">
        <f t="shared" si="121"/>
        <v>426.39918993749995</v>
      </c>
      <c r="AQ937" s="10">
        <f t="shared" si="122"/>
        <v>296.34090090000001</v>
      </c>
      <c r="AR937" s="10">
        <f t="shared" si="123"/>
        <v>329.26437498999002</v>
      </c>
      <c r="AS937" s="10">
        <f t="shared" si="124"/>
        <v>461.34351452112003</v>
      </c>
    </row>
    <row r="938" spans="1:45" x14ac:dyDescent="0.3">
      <c r="A938">
        <v>2025</v>
      </c>
      <c r="B938">
        <v>11</v>
      </c>
      <c r="C938" t="s">
        <v>55</v>
      </c>
      <c r="D938">
        <v>10</v>
      </c>
      <c r="E938" t="s">
        <v>36</v>
      </c>
      <c r="F938" t="s">
        <v>37</v>
      </c>
      <c r="G938" t="s">
        <v>38</v>
      </c>
      <c r="H938" t="s">
        <v>83</v>
      </c>
      <c r="I938" t="s">
        <v>190</v>
      </c>
      <c r="J938" t="s">
        <v>58</v>
      </c>
      <c r="K938" t="s">
        <v>59</v>
      </c>
      <c r="L938" t="s">
        <v>1629</v>
      </c>
      <c r="M938" t="s">
        <v>1630</v>
      </c>
      <c r="N938" t="s">
        <v>1485</v>
      </c>
      <c r="O938" t="s">
        <v>1197</v>
      </c>
      <c r="Q938" t="s">
        <v>62</v>
      </c>
      <c r="R938" t="s">
        <v>1631</v>
      </c>
      <c r="S938" t="s">
        <v>1631</v>
      </c>
      <c r="T938" t="s">
        <v>47</v>
      </c>
      <c r="U938" t="s">
        <v>153</v>
      </c>
      <c r="V938" t="s">
        <v>49</v>
      </c>
      <c r="W938" t="s">
        <v>154</v>
      </c>
      <c r="X938" t="s">
        <v>1578</v>
      </c>
      <c r="Y938" t="s">
        <v>1106</v>
      </c>
      <c r="Z938" t="s">
        <v>1106</v>
      </c>
      <c r="AA938" t="s">
        <v>166</v>
      </c>
      <c r="AB938" s="3">
        <f t="shared" si="117"/>
        <v>5</v>
      </c>
      <c r="AC938">
        <v>701.94</v>
      </c>
      <c r="AD938" s="2">
        <v>140.38800000000001</v>
      </c>
      <c r="AE938" s="2">
        <v>145.21</v>
      </c>
      <c r="AF938" s="2">
        <v>4.8499999999999996</v>
      </c>
      <c r="AG938" s="2">
        <v>852</v>
      </c>
      <c r="AH938">
        <v>0</v>
      </c>
      <c r="AI938">
        <v>170.4</v>
      </c>
      <c r="AJ938">
        <v>4.26</v>
      </c>
      <c r="AK938" t="s">
        <v>54</v>
      </c>
      <c r="AL938">
        <v>10.87</v>
      </c>
      <c r="AM938" s="4">
        <f t="shared" si="118"/>
        <v>170.4</v>
      </c>
      <c r="AN938" s="4">
        <f t="shared" si="119"/>
        <v>263.22750000000002</v>
      </c>
      <c r="AO938" s="4">
        <f t="shared" si="120"/>
        <v>292.44575250000003</v>
      </c>
      <c r="AP938" s="4">
        <f t="shared" si="121"/>
        <v>426.40222725000001</v>
      </c>
      <c r="AQ938" s="10">
        <f t="shared" si="122"/>
        <v>296.34264000000002</v>
      </c>
      <c r="AR938" s="10">
        <f t="shared" si="123"/>
        <v>329.26630730400001</v>
      </c>
      <c r="AS938" s="10">
        <f t="shared" si="124"/>
        <v>461.34622195200001</v>
      </c>
    </row>
    <row r="939" spans="1:45" x14ac:dyDescent="0.3">
      <c r="A939">
        <v>2025</v>
      </c>
      <c r="B939">
        <v>12</v>
      </c>
      <c r="C939" t="s">
        <v>55</v>
      </c>
      <c r="D939">
        <v>10</v>
      </c>
      <c r="E939" t="s">
        <v>36</v>
      </c>
      <c r="F939" t="s">
        <v>37</v>
      </c>
      <c r="G939" t="s">
        <v>38</v>
      </c>
      <c r="H939" t="s">
        <v>83</v>
      </c>
      <c r="I939" t="s">
        <v>57</v>
      </c>
      <c r="J939" t="s">
        <v>58</v>
      </c>
      <c r="K939" t="s">
        <v>59</v>
      </c>
      <c r="L939" t="s">
        <v>1769</v>
      </c>
      <c r="M939" t="s">
        <v>1770</v>
      </c>
      <c r="N939" t="s">
        <v>1771</v>
      </c>
      <c r="O939" t="s">
        <v>1197</v>
      </c>
      <c r="Q939" t="s">
        <v>62</v>
      </c>
      <c r="R939" t="s">
        <v>1772</v>
      </c>
      <c r="S939" t="s">
        <v>1772</v>
      </c>
      <c r="T939" t="s">
        <v>47</v>
      </c>
      <c r="U939" t="s">
        <v>153</v>
      </c>
      <c r="V939" t="s">
        <v>49</v>
      </c>
      <c r="W939" t="s">
        <v>154</v>
      </c>
      <c r="X939" t="s">
        <v>51</v>
      </c>
      <c r="Y939" t="s">
        <v>1106</v>
      </c>
      <c r="Z939" t="s">
        <v>1106</v>
      </c>
      <c r="AA939" t="s">
        <v>166</v>
      </c>
      <c r="AB939" s="3">
        <f t="shared" si="117"/>
        <v>2</v>
      </c>
      <c r="AC939">
        <v>298.11</v>
      </c>
      <c r="AD939" s="2">
        <v>149.05500000000001</v>
      </c>
      <c r="AE939" s="2">
        <v>77.62</v>
      </c>
      <c r="AF939" s="2">
        <v>2.2999999999999998</v>
      </c>
      <c r="AG939" s="2">
        <v>378.3</v>
      </c>
      <c r="AH939">
        <v>0</v>
      </c>
      <c r="AI939">
        <v>189.15</v>
      </c>
      <c r="AJ939">
        <v>1.8915</v>
      </c>
      <c r="AK939" t="s">
        <v>54</v>
      </c>
      <c r="AL939">
        <v>3.75</v>
      </c>
      <c r="AM939" s="4">
        <f t="shared" si="118"/>
        <v>189.15</v>
      </c>
      <c r="AN939" s="4">
        <f t="shared" si="119"/>
        <v>279.47812500000003</v>
      </c>
      <c r="AO939" s="4">
        <f t="shared" si="120"/>
        <v>310.50019687500003</v>
      </c>
      <c r="AP939" s="4">
        <f t="shared" si="121"/>
        <v>452.72661468750005</v>
      </c>
      <c r="AQ939" s="10">
        <f t="shared" si="122"/>
        <v>328.95076500000005</v>
      </c>
      <c r="AR939" s="10">
        <f t="shared" si="123"/>
        <v>365.49719499150007</v>
      </c>
      <c r="AS939" s="10">
        <f t="shared" si="124"/>
        <v>512.11055095200004</v>
      </c>
    </row>
    <row r="940" spans="1:45" x14ac:dyDescent="0.3">
      <c r="A940">
        <v>2025</v>
      </c>
      <c r="B940">
        <v>3</v>
      </c>
      <c r="C940" t="s">
        <v>55</v>
      </c>
      <c r="D940">
        <v>10</v>
      </c>
      <c r="E940" t="s">
        <v>36</v>
      </c>
      <c r="F940" t="s">
        <v>37</v>
      </c>
      <c r="G940" t="s">
        <v>38</v>
      </c>
      <c r="H940" t="s">
        <v>78</v>
      </c>
      <c r="I940" t="s">
        <v>190</v>
      </c>
      <c r="J940" t="s">
        <v>58</v>
      </c>
      <c r="K940" t="s">
        <v>59</v>
      </c>
      <c r="M940" t="s">
        <v>209</v>
      </c>
      <c r="N940" t="s">
        <v>61</v>
      </c>
      <c r="O940" t="s">
        <v>43</v>
      </c>
      <c r="Q940" t="s">
        <v>62</v>
      </c>
      <c r="R940" t="s">
        <v>210</v>
      </c>
      <c r="S940" t="s">
        <v>211</v>
      </c>
      <c r="T940" t="s">
        <v>47</v>
      </c>
      <c r="U940" t="s">
        <v>118</v>
      </c>
      <c r="V940" t="s">
        <v>49</v>
      </c>
      <c r="W940" t="s">
        <v>119</v>
      </c>
      <c r="X940" t="s">
        <v>51</v>
      </c>
      <c r="Y940" t="s">
        <v>1106</v>
      </c>
      <c r="Z940" t="s">
        <v>1106</v>
      </c>
      <c r="AA940" t="s">
        <v>166</v>
      </c>
      <c r="AB940" s="3">
        <f t="shared" si="117"/>
        <v>4</v>
      </c>
      <c r="AC940">
        <v>598.9</v>
      </c>
      <c r="AD940" s="2">
        <v>149.72499999999999</v>
      </c>
      <c r="AE940" s="2">
        <v>177.79</v>
      </c>
      <c r="AF940" s="2">
        <v>4.5</v>
      </c>
      <c r="AG940" s="2">
        <v>781.19</v>
      </c>
      <c r="AH940">
        <v>0</v>
      </c>
      <c r="AI940">
        <v>195.29750000000001</v>
      </c>
      <c r="AJ940">
        <v>3.9059499999999998</v>
      </c>
      <c r="AK940" t="s">
        <v>54</v>
      </c>
      <c r="AL940">
        <v>4.45</v>
      </c>
      <c r="AM940" s="4">
        <f t="shared" si="118"/>
        <v>195.29750000000001</v>
      </c>
      <c r="AN940" s="4">
        <f t="shared" si="119"/>
        <v>280.734375</v>
      </c>
      <c r="AO940" s="4">
        <f t="shared" si="120"/>
        <v>311.89589062499999</v>
      </c>
      <c r="AP940" s="4">
        <f t="shared" si="121"/>
        <v>454.76161406249997</v>
      </c>
      <c r="AQ940" s="10">
        <f t="shared" si="122"/>
        <v>339.64188225000004</v>
      </c>
      <c r="AR940" s="10">
        <f t="shared" si="123"/>
        <v>377.37609536797504</v>
      </c>
      <c r="AS940" s="10">
        <f t="shared" si="124"/>
        <v>528.7544822868</v>
      </c>
    </row>
    <row r="941" spans="1:45" x14ac:dyDescent="0.3">
      <c r="A941">
        <v>2025</v>
      </c>
      <c r="B941">
        <v>7</v>
      </c>
      <c r="C941" t="s">
        <v>55</v>
      </c>
      <c r="D941">
        <v>10</v>
      </c>
      <c r="E941" t="s">
        <v>36</v>
      </c>
      <c r="F941" t="s">
        <v>37</v>
      </c>
      <c r="G941" t="s">
        <v>38</v>
      </c>
      <c r="H941" t="s">
        <v>78</v>
      </c>
      <c r="I941" t="s">
        <v>190</v>
      </c>
      <c r="J941" t="s">
        <v>58</v>
      </c>
      <c r="K941" t="s">
        <v>41</v>
      </c>
      <c r="L941" t="s">
        <v>953</v>
      </c>
      <c r="M941" t="s">
        <v>954</v>
      </c>
      <c r="N941" t="s">
        <v>731</v>
      </c>
      <c r="O941" t="s">
        <v>36</v>
      </c>
      <c r="Q941" t="s">
        <v>62</v>
      </c>
      <c r="R941" t="s">
        <v>955</v>
      </c>
      <c r="S941" t="s">
        <v>956</v>
      </c>
      <c r="T941" t="s">
        <v>47</v>
      </c>
      <c r="U941" t="s">
        <v>118</v>
      </c>
      <c r="V941" t="s">
        <v>49</v>
      </c>
      <c r="W941" t="s">
        <v>714</v>
      </c>
      <c r="X941" t="s">
        <v>51</v>
      </c>
      <c r="Y941" t="s">
        <v>116</v>
      </c>
      <c r="Z941" t="s">
        <v>64</v>
      </c>
      <c r="AA941" t="s">
        <v>314</v>
      </c>
      <c r="AB941" s="3">
        <f t="shared" si="117"/>
        <v>4</v>
      </c>
      <c r="AC941">
        <v>1071.56</v>
      </c>
      <c r="AD941" s="2">
        <v>267.89</v>
      </c>
      <c r="AE941" s="2">
        <v>239.35</v>
      </c>
      <c r="AF941" s="2">
        <v>7.85</v>
      </c>
      <c r="AG941" s="2">
        <v>1318.76</v>
      </c>
      <c r="AH941">
        <v>0</v>
      </c>
      <c r="AI941">
        <v>329.69</v>
      </c>
      <c r="AJ941">
        <v>6.5937999999999999</v>
      </c>
      <c r="AK941" t="s">
        <v>54</v>
      </c>
      <c r="AL941">
        <v>8.81</v>
      </c>
      <c r="AM941" s="4">
        <f t="shared" si="118"/>
        <v>329.69</v>
      </c>
      <c r="AN941" s="4">
        <f t="shared" si="119"/>
        <v>502.29374999999999</v>
      </c>
      <c r="AO941" s="4">
        <f t="shared" si="120"/>
        <v>558.04835624999998</v>
      </c>
      <c r="AP941" s="4">
        <f t="shared" si="121"/>
        <v>813.66564562499991</v>
      </c>
      <c r="AQ941" s="10">
        <f t="shared" si="122"/>
        <v>573.363879</v>
      </c>
      <c r="AR941" s="10">
        <f t="shared" si="123"/>
        <v>637.06460595689998</v>
      </c>
      <c r="AS941" s="10">
        <f t="shared" si="124"/>
        <v>892.61288682719999</v>
      </c>
    </row>
    <row r="942" spans="1:45" x14ac:dyDescent="0.3">
      <c r="A942">
        <v>2025</v>
      </c>
      <c r="B942">
        <v>8</v>
      </c>
      <c r="C942" t="s">
        <v>55</v>
      </c>
      <c r="D942">
        <v>10</v>
      </c>
      <c r="E942" t="s">
        <v>36</v>
      </c>
      <c r="F942" t="s">
        <v>37</v>
      </c>
      <c r="G942" t="s">
        <v>38</v>
      </c>
      <c r="H942" t="s">
        <v>78</v>
      </c>
      <c r="I942" t="s">
        <v>190</v>
      </c>
      <c r="J942" t="s">
        <v>58</v>
      </c>
      <c r="K942" t="s">
        <v>59</v>
      </c>
      <c r="L942" t="s">
        <v>1194</v>
      </c>
      <c r="M942" t="s">
        <v>1195</v>
      </c>
      <c r="N942" t="s">
        <v>1196</v>
      </c>
      <c r="O942" t="s">
        <v>1197</v>
      </c>
      <c r="Q942" t="s">
        <v>62</v>
      </c>
      <c r="R942" t="s">
        <v>1198</v>
      </c>
      <c r="S942" t="s">
        <v>1198</v>
      </c>
      <c r="T942" t="s">
        <v>47</v>
      </c>
      <c r="U942" t="s">
        <v>118</v>
      </c>
      <c r="V942" t="s">
        <v>49</v>
      </c>
      <c r="W942" t="s">
        <v>714</v>
      </c>
      <c r="X942" t="s">
        <v>388</v>
      </c>
      <c r="Y942" t="s">
        <v>1088</v>
      </c>
      <c r="Z942" t="s">
        <v>1088</v>
      </c>
      <c r="AA942" t="s">
        <v>314</v>
      </c>
      <c r="AB942" s="3">
        <f t="shared" si="117"/>
        <v>10</v>
      </c>
      <c r="AC942">
        <v>2365.5</v>
      </c>
      <c r="AD942" s="2">
        <v>236.55</v>
      </c>
      <c r="AE942" s="2">
        <v>290.42</v>
      </c>
      <c r="AF942" s="2">
        <v>16.52</v>
      </c>
      <c r="AG942" s="2">
        <v>2672.43</v>
      </c>
      <c r="AH942">
        <v>0</v>
      </c>
      <c r="AI942">
        <v>267.24299999999999</v>
      </c>
      <c r="AJ942">
        <v>13.36215</v>
      </c>
      <c r="AK942" t="s">
        <v>54</v>
      </c>
      <c r="AL942">
        <v>21.74</v>
      </c>
      <c r="AM942" s="4">
        <f t="shared" si="118"/>
        <v>267.24299999999999</v>
      </c>
      <c r="AN942" s="4">
        <f t="shared" si="119"/>
        <v>443.53125</v>
      </c>
      <c r="AO942" s="4">
        <f t="shared" si="120"/>
        <v>492.76321875000002</v>
      </c>
      <c r="AP942" s="4">
        <f t="shared" si="121"/>
        <v>718.47627187499995</v>
      </c>
      <c r="AQ942" s="10">
        <f t="shared" si="122"/>
        <v>464.76230129999999</v>
      </c>
      <c r="AR942" s="10">
        <f t="shared" si="123"/>
        <v>516.39739297442998</v>
      </c>
      <c r="AS942" s="10">
        <f t="shared" si="124"/>
        <v>723.54195066384</v>
      </c>
    </row>
    <row r="943" spans="1:45" x14ac:dyDescent="0.3">
      <c r="A943">
        <v>2025</v>
      </c>
      <c r="B943">
        <v>11</v>
      </c>
      <c r="C943" t="s">
        <v>55</v>
      </c>
      <c r="D943">
        <v>10</v>
      </c>
      <c r="E943" t="s">
        <v>36</v>
      </c>
      <c r="F943" t="s">
        <v>37</v>
      </c>
      <c r="G943" t="s">
        <v>38</v>
      </c>
      <c r="H943" t="s">
        <v>78</v>
      </c>
      <c r="I943" t="s">
        <v>190</v>
      </c>
      <c r="J943" t="s">
        <v>58</v>
      </c>
      <c r="K943" t="s">
        <v>59</v>
      </c>
      <c r="L943" t="s">
        <v>1629</v>
      </c>
      <c r="M943" t="s">
        <v>1630</v>
      </c>
      <c r="N943" t="s">
        <v>1485</v>
      </c>
      <c r="O943" t="s">
        <v>1197</v>
      </c>
      <c r="Q943" t="s">
        <v>62</v>
      </c>
      <c r="R943" t="s">
        <v>1631</v>
      </c>
      <c r="S943" t="s">
        <v>1631</v>
      </c>
      <c r="T943" t="s">
        <v>47</v>
      </c>
      <c r="U943" t="s">
        <v>118</v>
      </c>
      <c r="V943" t="s">
        <v>49</v>
      </c>
      <c r="W943" t="s">
        <v>714</v>
      </c>
      <c r="X943" t="s">
        <v>1578</v>
      </c>
      <c r="Y943" t="s">
        <v>1088</v>
      </c>
      <c r="Z943" t="s">
        <v>1088</v>
      </c>
      <c r="AA943" t="s">
        <v>314</v>
      </c>
      <c r="AB943" s="3">
        <f t="shared" si="117"/>
        <v>10.000000000000002</v>
      </c>
      <c r="AC943">
        <v>2536.7800000000002</v>
      </c>
      <c r="AD943" s="2">
        <v>253.678</v>
      </c>
      <c r="AE943" s="2">
        <v>181.8</v>
      </c>
      <c r="AF943" s="2">
        <v>16.41</v>
      </c>
      <c r="AG943" s="2">
        <v>2734.99</v>
      </c>
      <c r="AH943">
        <v>0</v>
      </c>
      <c r="AI943">
        <v>273.49900000000002</v>
      </c>
      <c r="AJ943">
        <v>13.674950000000001</v>
      </c>
      <c r="AK943" t="s">
        <v>54</v>
      </c>
      <c r="AL943">
        <v>21.36</v>
      </c>
      <c r="AM943" s="4">
        <f t="shared" si="118"/>
        <v>273.49899999999991</v>
      </c>
      <c r="AN943" s="4">
        <f t="shared" si="119"/>
        <v>475.64625000000001</v>
      </c>
      <c r="AO943" s="4">
        <f t="shared" si="120"/>
        <v>528.44298375000005</v>
      </c>
      <c r="AP943" s="4">
        <f t="shared" si="121"/>
        <v>770.49936037499992</v>
      </c>
      <c r="AQ943" s="10">
        <f t="shared" si="122"/>
        <v>475.64211089999986</v>
      </c>
      <c r="AR943" s="10">
        <f t="shared" si="123"/>
        <v>528.48594942098987</v>
      </c>
      <c r="AS943" s="10">
        <f t="shared" si="124"/>
        <v>740.47963824911972</v>
      </c>
    </row>
    <row r="944" spans="1:45" x14ac:dyDescent="0.3">
      <c r="A944">
        <v>2025</v>
      </c>
      <c r="B944">
        <v>12</v>
      </c>
      <c r="C944" t="s">
        <v>55</v>
      </c>
      <c r="D944">
        <v>10</v>
      </c>
      <c r="E944" t="s">
        <v>36</v>
      </c>
      <c r="F944" t="s">
        <v>37</v>
      </c>
      <c r="G944" t="s">
        <v>38</v>
      </c>
      <c r="H944" t="s">
        <v>83</v>
      </c>
      <c r="I944" t="s">
        <v>57</v>
      </c>
      <c r="J944" t="s">
        <v>58</v>
      </c>
      <c r="K944" t="s">
        <v>59</v>
      </c>
      <c r="L944" t="s">
        <v>1769</v>
      </c>
      <c r="M944" t="s">
        <v>1770</v>
      </c>
      <c r="N944" t="s">
        <v>1771</v>
      </c>
      <c r="O944" t="s">
        <v>1197</v>
      </c>
      <c r="Q944" t="s">
        <v>62</v>
      </c>
      <c r="R944" t="s">
        <v>1772</v>
      </c>
      <c r="S944" t="s">
        <v>1772</v>
      </c>
      <c r="T944" t="s">
        <v>47</v>
      </c>
      <c r="U944" t="s">
        <v>363</v>
      </c>
      <c r="V944" t="s">
        <v>49</v>
      </c>
      <c r="W944" t="s">
        <v>911</v>
      </c>
      <c r="X944" t="s">
        <v>51</v>
      </c>
      <c r="Y944" t="s">
        <v>1088</v>
      </c>
      <c r="Z944" t="s">
        <v>1088</v>
      </c>
      <c r="AA944" t="s">
        <v>314</v>
      </c>
      <c r="AB944" s="3">
        <f t="shared" si="117"/>
        <v>4</v>
      </c>
      <c r="AC944">
        <v>1018.18</v>
      </c>
      <c r="AD944" s="2">
        <v>254.54499999999999</v>
      </c>
      <c r="AE944" s="2">
        <v>265.10000000000002</v>
      </c>
      <c r="AF944" s="2">
        <v>7.84</v>
      </c>
      <c r="AG944" s="2">
        <v>1291.1300000000001</v>
      </c>
      <c r="AH944">
        <v>0</v>
      </c>
      <c r="AI944">
        <v>322.78250000000003</v>
      </c>
      <c r="AJ944">
        <v>6.4556500000000003</v>
      </c>
      <c r="AK944" t="s">
        <v>54</v>
      </c>
      <c r="AL944">
        <v>12.81</v>
      </c>
      <c r="AM944" s="4">
        <f t="shared" si="118"/>
        <v>322.78250000000003</v>
      </c>
      <c r="AN944" s="4">
        <f t="shared" si="119"/>
        <v>477.27187499999997</v>
      </c>
      <c r="AO944" s="4">
        <f t="shared" si="120"/>
        <v>530.24905312499993</v>
      </c>
      <c r="AP944" s="4">
        <f t="shared" si="121"/>
        <v>773.13271031249985</v>
      </c>
      <c r="AQ944" s="10">
        <f t="shared" si="122"/>
        <v>561.35104575000003</v>
      </c>
      <c r="AR944" s="10">
        <f t="shared" si="123"/>
        <v>623.71714693282502</v>
      </c>
      <c r="AS944" s="10">
        <f t="shared" si="124"/>
        <v>873.91130802359999</v>
      </c>
    </row>
    <row r="945" spans="1:45" x14ac:dyDescent="0.3">
      <c r="A945">
        <v>2025</v>
      </c>
      <c r="B945">
        <v>8</v>
      </c>
      <c r="C945" t="s">
        <v>55</v>
      </c>
      <c r="D945">
        <v>10</v>
      </c>
      <c r="E945" t="s">
        <v>36</v>
      </c>
      <c r="F945" t="s">
        <v>37</v>
      </c>
      <c r="G945" t="s">
        <v>38</v>
      </c>
      <c r="H945" t="s">
        <v>78</v>
      </c>
      <c r="I945" t="s">
        <v>190</v>
      </c>
      <c r="J945" t="s">
        <v>58</v>
      </c>
      <c r="K945" t="s">
        <v>59</v>
      </c>
      <c r="L945" t="s">
        <v>1194</v>
      </c>
      <c r="M945" t="s">
        <v>1195</v>
      </c>
      <c r="N945" t="s">
        <v>1196</v>
      </c>
      <c r="O945" t="s">
        <v>1197</v>
      </c>
      <c r="Q945" t="s">
        <v>62</v>
      </c>
      <c r="R945" t="s">
        <v>1198</v>
      </c>
      <c r="S945" t="s">
        <v>1198</v>
      </c>
      <c r="T945" t="s">
        <v>47</v>
      </c>
      <c r="U945" t="s">
        <v>118</v>
      </c>
      <c r="V945" t="s">
        <v>49</v>
      </c>
      <c r="W945" t="s">
        <v>714</v>
      </c>
      <c r="X945" t="s">
        <v>388</v>
      </c>
      <c r="Y945" t="s">
        <v>1271</v>
      </c>
      <c r="Z945" t="s">
        <v>1271</v>
      </c>
      <c r="AA945" t="s">
        <v>1922</v>
      </c>
      <c r="AB945" s="3">
        <f t="shared" si="117"/>
        <v>5</v>
      </c>
      <c r="AC945">
        <v>170.56</v>
      </c>
      <c r="AD945" s="2">
        <v>34.112000000000002</v>
      </c>
      <c r="AE945" s="2">
        <v>50.63</v>
      </c>
      <c r="AF945" s="2">
        <v>1.28</v>
      </c>
      <c r="AG945" s="2">
        <v>222.47</v>
      </c>
      <c r="AH945">
        <v>0</v>
      </c>
      <c r="AI945">
        <v>44.494</v>
      </c>
      <c r="AJ945">
        <v>1.1123499999999999</v>
      </c>
      <c r="AK945" t="s">
        <v>54</v>
      </c>
      <c r="AL945">
        <v>1.27</v>
      </c>
      <c r="AM945" s="4">
        <f t="shared" si="118"/>
        <v>44.494</v>
      </c>
      <c r="AN945" s="4">
        <f t="shared" si="119"/>
        <v>63.96</v>
      </c>
      <c r="AO945" s="4">
        <f t="shared" si="120"/>
        <v>71.059560000000005</v>
      </c>
      <c r="AP945" s="4">
        <f t="shared" si="121"/>
        <v>103.60880399999999</v>
      </c>
      <c r="AQ945" s="10">
        <f t="shared" si="122"/>
        <v>77.379515400000003</v>
      </c>
      <c r="AR945" s="10">
        <f t="shared" si="123"/>
        <v>85.976379560940003</v>
      </c>
      <c r="AS945" s="10">
        <f t="shared" si="124"/>
        <v>120.46442957472</v>
      </c>
    </row>
    <row r="946" spans="1:45" x14ac:dyDescent="0.3">
      <c r="A946">
        <v>2025</v>
      </c>
      <c r="B946">
        <v>9</v>
      </c>
      <c r="C946" t="s">
        <v>55</v>
      </c>
      <c r="D946">
        <v>10</v>
      </c>
      <c r="E946" t="s">
        <v>36</v>
      </c>
      <c r="F946" t="s">
        <v>37</v>
      </c>
      <c r="G946" t="s">
        <v>38</v>
      </c>
      <c r="H946" t="s">
        <v>78</v>
      </c>
      <c r="I946" t="s">
        <v>375</v>
      </c>
      <c r="J946" t="s">
        <v>376</v>
      </c>
      <c r="K946" t="s">
        <v>41</v>
      </c>
      <c r="L946" t="s">
        <v>1503</v>
      </c>
      <c r="M946" t="s">
        <v>1504</v>
      </c>
      <c r="N946" t="s">
        <v>377</v>
      </c>
      <c r="O946" t="s">
        <v>1197</v>
      </c>
      <c r="Q946" t="s">
        <v>62</v>
      </c>
      <c r="R946" t="s">
        <v>1505</v>
      </c>
      <c r="S946" t="s">
        <v>1505</v>
      </c>
      <c r="T946" t="s">
        <v>47</v>
      </c>
      <c r="U946" t="s">
        <v>118</v>
      </c>
      <c r="V946" t="s">
        <v>49</v>
      </c>
      <c r="W946" t="s">
        <v>714</v>
      </c>
      <c r="X946" t="s">
        <v>388</v>
      </c>
      <c r="Y946" t="s">
        <v>1349</v>
      </c>
      <c r="Z946" t="s">
        <v>1349</v>
      </c>
      <c r="AA946" t="s">
        <v>1356</v>
      </c>
      <c r="AB946" s="3">
        <f t="shared" si="117"/>
        <v>10</v>
      </c>
      <c r="AC946">
        <v>959.63</v>
      </c>
      <c r="AD946" s="2">
        <v>95.962999999999994</v>
      </c>
      <c r="AE946" s="2">
        <v>68.77</v>
      </c>
      <c r="AF946" s="2">
        <v>6.21</v>
      </c>
      <c r="AG946" s="2">
        <v>1034.6099999999999</v>
      </c>
      <c r="AH946">
        <v>0</v>
      </c>
      <c r="AI946">
        <v>103.461</v>
      </c>
      <c r="AJ946">
        <v>5.1730499999999999</v>
      </c>
      <c r="AK946" t="s">
        <v>54</v>
      </c>
      <c r="AL946">
        <v>8.8000000000000007</v>
      </c>
      <c r="AM946" s="4">
        <f t="shared" si="118"/>
        <v>103.46099999999998</v>
      </c>
      <c r="AN946" s="4">
        <f t="shared" si="119"/>
        <v>179.93062499999999</v>
      </c>
      <c r="AO946" s="4">
        <f t="shared" si="120"/>
        <v>199.902924375</v>
      </c>
      <c r="AP946" s="4">
        <f t="shared" si="121"/>
        <v>291.46961943749994</v>
      </c>
      <c r="AQ946" s="10">
        <f t="shared" si="122"/>
        <v>179.92902509999999</v>
      </c>
      <c r="AR946" s="10">
        <f t="shared" si="123"/>
        <v>199.91913978860998</v>
      </c>
      <c r="AS946" s="10">
        <f t="shared" si="124"/>
        <v>280.11350627567998</v>
      </c>
    </row>
    <row r="947" spans="1:45" x14ac:dyDescent="0.3">
      <c r="A947">
        <v>2025</v>
      </c>
      <c r="B947">
        <v>9</v>
      </c>
      <c r="C947" t="s">
        <v>55</v>
      </c>
      <c r="D947">
        <v>10</v>
      </c>
      <c r="E947" t="s">
        <v>36</v>
      </c>
      <c r="F947" t="s">
        <v>37</v>
      </c>
      <c r="G947" t="s">
        <v>38</v>
      </c>
      <c r="H947" t="s">
        <v>78</v>
      </c>
      <c r="I947" t="s">
        <v>375</v>
      </c>
      <c r="J947" t="s">
        <v>376</v>
      </c>
      <c r="K947" t="s">
        <v>41</v>
      </c>
      <c r="L947" t="s">
        <v>1503</v>
      </c>
      <c r="M947" t="s">
        <v>1504</v>
      </c>
      <c r="N947" t="s">
        <v>377</v>
      </c>
      <c r="O947" t="s">
        <v>1197</v>
      </c>
      <c r="Q947" t="s">
        <v>62</v>
      </c>
      <c r="R947" t="s">
        <v>1505</v>
      </c>
      <c r="S947" t="s">
        <v>1505</v>
      </c>
      <c r="T947" t="s">
        <v>47</v>
      </c>
      <c r="U947" t="s">
        <v>118</v>
      </c>
      <c r="V947" t="s">
        <v>49</v>
      </c>
      <c r="W947" t="s">
        <v>714</v>
      </c>
      <c r="X947" t="s">
        <v>388</v>
      </c>
      <c r="Y947" t="s">
        <v>1349</v>
      </c>
      <c r="Z947" t="s">
        <v>1349</v>
      </c>
      <c r="AA947" t="s">
        <v>1356</v>
      </c>
      <c r="AB947" s="3">
        <f t="shared" si="117"/>
        <v>1</v>
      </c>
      <c r="AC947">
        <v>93.92</v>
      </c>
      <c r="AD947" s="2">
        <v>93.92</v>
      </c>
      <c r="AE947" s="2">
        <v>34.14</v>
      </c>
      <c r="AF947" s="2">
        <v>0.79</v>
      </c>
      <c r="AG947" s="2">
        <v>128.85</v>
      </c>
      <c r="AH947">
        <v>0</v>
      </c>
      <c r="AI947">
        <v>128.85</v>
      </c>
      <c r="AJ947">
        <v>0.64424999999999999</v>
      </c>
      <c r="AK947" t="s">
        <v>54</v>
      </c>
      <c r="AL947">
        <v>2.23</v>
      </c>
      <c r="AM947" s="4">
        <f t="shared" si="118"/>
        <v>128.85</v>
      </c>
      <c r="AN947" s="4">
        <f t="shared" si="119"/>
        <v>176.1</v>
      </c>
      <c r="AO947" s="4">
        <f t="shared" si="120"/>
        <v>195.64709999999999</v>
      </c>
      <c r="AP947" s="4">
        <f t="shared" si="121"/>
        <v>285.26438999999999</v>
      </c>
      <c r="AQ947" s="10">
        <f t="shared" si="122"/>
        <v>224.083035</v>
      </c>
      <c r="AR947" s="10">
        <f t="shared" si="123"/>
        <v>248.97866018849999</v>
      </c>
      <c r="AS947" s="10">
        <f t="shared" si="124"/>
        <v>348.85246888799998</v>
      </c>
    </row>
    <row r="948" spans="1:45" x14ac:dyDescent="0.3">
      <c r="A948">
        <v>2025</v>
      </c>
      <c r="B948">
        <v>3</v>
      </c>
      <c r="C948" t="s">
        <v>55</v>
      </c>
      <c r="D948">
        <v>10</v>
      </c>
      <c r="E948" t="s">
        <v>36</v>
      </c>
      <c r="F948" t="s">
        <v>37</v>
      </c>
      <c r="G948" t="s">
        <v>38</v>
      </c>
      <c r="H948" t="s">
        <v>78</v>
      </c>
      <c r="I948" t="s">
        <v>190</v>
      </c>
      <c r="J948" t="s">
        <v>58</v>
      </c>
      <c r="K948" t="s">
        <v>59</v>
      </c>
      <c r="M948" t="s">
        <v>209</v>
      </c>
      <c r="N948" t="s">
        <v>61</v>
      </c>
      <c r="O948" t="s">
        <v>43</v>
      </c>
      <c r="Q948" t="s">
        <v>62</v>
      </c>
      <c r="R948" t="s">
        <v>210</v>
      </c>
      <c r="S948" t="s">
        <v>211</v>
      </c>
      <c r="T948" t="s">
        <v>47</v>
      </c>
      <c r="U948" t="s">
        <v>118</v>
      </c>
      <c r="V948" t="s">
        <v>49</v>
      </c>
      <c r="W948" t="s">
        <v>119</v>
      </c>
      <c r="X948" t="s">
        <v>51</v>
      </c>
      <c r="Y948" t="s">
        <v>1349</v>
      </c>
      <c r="Z948" t="s">
        <v>1349</v>
      </c>
      <c r="AA948" t="s">
        <v>1356</v>
      </c>
      <c r="AB948" s="3">
        <f t="shared" si="117"/>
        <v>5</v>
      </c>
      <c r="AC948">
        <v>469.61</v>
      </c>
      <c r="AD948" s="2">
        <v>93.921999999999997</v>
      </c>
      <c r="AE948" s="2">
        <v>170.76</v>
      </c>
      <c r="AF948" s="2">
        <v>3.93</v>
      </c>
      <c r="AG948" s="2">
        <v>644.29999999999995</v>
      </c>
      <c r="AH948">
        <v>0</v>
      </c>
      <c r="AI948">
        <v>128.86000000000001</v>
      </c>
      <c r="AJ948">
        <v>3.2214999999999998</v>
      </c>
      <c r="AK948" t="s">
        <v>54</v>
      </c>
      <c r="AL948">
        <v>11.12</v>
      </c>
      <c r="AM948" s="4">
        <f t="shared" si="118"/>
        <v>128.85999999999999</v>
      </c>
      <c r="AN948" s="4">
        <f t="shared" si="119"/>
        <v>176.10374999999999</v>
      </c>
      <c r="AO948" s="4">
        <f t="shared" si="120"/>
        <v>195.65126624999999</v>
      </c>
      <c r="AP948" s="4">
        <f t="shared" si="121"/>
        <v>285.27046462499999</v>
      </c>
      <c r="AQ948" s="10">
        <f t="shared" si="122"/>
        <v>224.100426</v>
      </c>
      <c r="AR948" s="10">
        <f t="shared" si="123"/>
        <v>248.99798332859999</v>
      </c>
      <c r="AS948" s="10">
        <f t="shared" si="124"/>
        <v>348.8795431968</v>
      </c>
    </row>
    <row r="949" spans="1:45" x14ac:dyDescent="0.3">
      <c r="A949">
        <v>2025</v>
      </c>
      <c r="B949">
        <v>8</v>
      </c>
      <c r="C949" t="s">
        <v>55</v>
      </c>
      <c r="D949">
        <v>10</v>
      </c>
      <c r="E949" t="s">
        <v>36</v>
      </c>
      <c r="F949" t="s">
        <v>37</v>
      </c>
      <c r="G949" t="s">
        <v>38</v>
      </c>
      <c r="H949" t="s">
        <v>78</v>
      </c>
      <c r="I949" t="s">
        <v>190</v>
      </c>
      <c r="J949" t="s">
        <v>58</v>
      </c>
      <c r="K949" t="s">
        <v>59</v>
      </c>
      <c r="L949" t="s">
        <v>1194</v>
      </c>
      <c r="M949" t="s">
        <v>1195</v>
      </c>
      <c r="N949" t="s">
        <v>1196</v>
      </c>
      <c r="O949" t="s">
        <v>1197</v>
      </c>
      <c r="Q949" t="s">
        <v>62</v>
      </c>
      <c r="R949" t="s">
        <v>1198</v>
      </c>
      <c r="S949" t="s">
        <v>1198</v>
      </c>
      <c r="T949" t="s">
        <v>47</v>
      </c>
      <c r="U949" t="s">
        <v>118</v>
      </c>
      <c r="V949" t="s">
        <v>49</v>
      </c>
      <c r="W949" t="s">
        <v>714</v>
      </c>
      <c r="X949" t="s">
        <v>388</v>
      </c>
      <c r="Y949" t="s">
        <v>116</v>
      </c>
      <c r="Z949" t="s">
        <v>64</v>
      </c>
      <c r="AA949" t="s">
        <v>313</v>
      </c>
      <c r="AB949" s="3">
        <f t="shared" si="117"/>
        <v>2</v>
      </c>
      <c r="AC949">
        <v>509.77</v>
      </c>
      <c r="AD949" s="2">
        <v>254.88499999999999</v>
      </c>
      <c r="AE949" s="2">
        <v>113.87</v>
      </c>
      <c r="AF949" s="2">
        <v>3.74</v>
      </c>
      <c r="AG949" s="2">
        <v>627.37</v>
      </c>
      <c r="AH949">
        <v>0</v>
      </c>
      <c r="AI949">
        <v>313.685</v>
      </c>
      <c r="AJ949">
        <v>3.1368499999999999</v>
      </c>
      <c r="AK949" t="s">
        <v>54</v>
      </c>
      <c r="AL949">
        <v>4.4000000000000004</v>
      </c>
      <c r="AM949" s="4">
        <f t="shared" si="118"/>
        <v>313.685</v>
      </c>
      <c r="AN949" s="4">
        <f t="shared" si="119"/>
        <v>477.90937499999995</v>
      </c>
      <c r="AO949" s="4">
        <f t="shared" si="120"/>
        <v>530.95731562499998</v>
      </c>
      <c r="AP949" s="4">
        <f t="shared" si="121"/>
        <v>774.16539656249984</v>
      </c>
      <c r="AQ949" s="10">
        <f t="shared" si="122"/>
        <v>545.52958350000006</v>
      </c>
      <c r="AR949" s="10">
        <f t="shared" si="123"/>
        <v>606.13792022685004</v>
      </c>
      <c r="AS949" s="10">
        <f t="shared" si="124"/>
        <v>849.28045559280008</v>
      </c>
    </row>
    <row r="950" spans="1:45" x14ac:dyDescent="0.3">
      <c r="A950">
        <v>2025</v>
      </c>
      <c r="B950">
        <v>4</v>
      </c>
      <c r="C950" t="s">
        <v>55</v>
      </c>
      <c r="D950">
        <v>10</v>
      </c>
      <c r="E950" t="s">
        <v>36</v>
      </c>
      <c r="F950" t="s">
        <v>37</v>
      </c>
      <c r="G950" t="s">
        <v>38</v>
      </c>
      <c r="H950" t="s">
        <v>83</v>
      </c>
      <c r="I950" t="s">
        <v>375</v>
      </c>
      <c r="J950" t="s">
        <v>376</v>
      </c>
      <c r="K950" t="s">
        <v>59</v>
      </c>
      <c r="M950">
        <v>2503061</v>
      </c>
      <c r="N950" t="s">
        <v>377</v>
      </c>
      <c r="O950" t="s">
        <v>36</v>
      </c>
      <c r="Q950" t="s">
        <v>62</v>
      </c>
      <c r="R950" t="s">
        <v>378</v>
      </c>
      <c r="S950" t="s">
        <v>378</v>
      </c>
      <c r="T950" t="s">
        <v>47</v>
      </c>
      <c r="U950" t="s">
        <v>356</v>
      </c>
      <c r="V950" t="s">
        <v>49</v>
      </c>
      <c r="W950" t="s">
        <v>357</v>
      </c>
      <c r="X950" t="s">
        <v>51</v>
      </c>
      <c r="Y950" t="s">
        <v>1097</v>
      </c>
      <c r="Z950" t="s">
        <v>1097</v>
      </c>
      <c r="AA950" t="s">
        <v>313</v>
      </c>
      <c r="AB950" s="3">
        <f t="shared" si="117"/>
        <v>6.0000000000000941</v>
      </c>
      <c r="AC950">
        <v>1272.77</v>
      </c>
      <c r="AD950" s="2">
        <v>212.12833333333</v>
      </c>
      <c r="AE950" s="2">
        <v>91.21</v>
      </c>
      <c r="AF950" s="2">
        <v>8.24</v>
      </c>
      <c r="AG950" s="2">
        <v>1372.22</v>
      </c>
      <c r="AH950">
        <v>0</v>
      </c>
      <c r="AI950">
        <v>228.70333333332999</v>
      </c>
      <c r="AJ950">
        <v>6.8611000000000004</v>
      </c>
      <c r="AK950" t="s">
        <v>54</v>
      </c>
      <c r="AL950">
        <v>10.72</v>
      </c>
      <c r="AM950" s="4">
        <f t="shared" si="118"/>
        <v>228.70333333332974</v>
      </c>
      <c r="AN950" s="4">
        <f t="shared" si="119"/>
        <v>397.74062499999377</v>
      </c>
      <c r="AO950" s="4">
        <f t="shared" si="120"/>
        <v>441.88983437499309</v>
      </c>
      <c r="AP950" s="4">
        <f t="shared" si="121"/>
        <v>644.30003843748989</v>
      </c>
      <c r="AQ950" s="10">
        <f t="shared" si="122"/>
        <v>397.73796699999377</v>
      </c>
      <c r="AR950" s="10">
        <f t="shared" si="123"/>
        <v>441.92665513369309</v>
      </c>
      <c r="AS950" s="10">
        <f t="shared" si="124"/>
        <v>619.19846702559028</v>
      </c>
    </row>
    <row r="951" spans="1:45" x14ac:dyDescent="0.3">
      <c r="A951">
        <v>2025</v>
      </c>
      <c r="B951">
        <v>4</v>
      </c>
      <c r="C951" t="s">
        <v>55</v>
      </c>
      <c r="D951">
        <v>10</v>
      </c>
      <c r="E951" t="s">
        <v>36</v>
      </c>
      <c r="F951" t="s">
        <v>37</v>
      </c>
      <c r="G951" t="s">
        <v>38</v>
      </c>
      <c r="H951" t="s">
        <v>83</v>
      </c>
      <c r="I951" t="s">
        <v>190</v>
      </c>
      <c r="J951" t="s">
        <v>58</v>
      </c>
      <c r="K951" t="s">
        <v>59</v>
      </c>
      <c r="M951" t="s">
        <v>383</v>
      </c>
      <c r="N951" t="s">
        <v>384</v>
      </c>
      <c r="O951" t="s">
        <v>36</v>
      </c>
      <c r="Q951" t="s">
        <v>62</v>
      </c>
      <c r="R951" t="s">
        <v>385</v>
      </c>
      <c r="S951" t="s">
        <v>385</v>
      </c>
      <c r="T951" t="s">
        <v>47</v>
      </c>
      <c r="U951" t="s">
        <v>356</v>
      </c>
      <c r="V951" t="s">
        <v>49</v>
      </c>
      <c r="W951" t="s">
        <v>357</v>
      </c>
      <c r="X951" t="s">
        <v>388</v>
      </c>
      <c r="Y951" t="s">
        <v>175</v>
      </c>
      <c r="Z951" t="s">
        <v>175</v>
      </c>
      <c r="AA951" t="s">
        <v>609</v>
      </c>
      <c r="AB951" s="3">
        <f t="shared" si="117"/>
        <v>1</v>
      </c>
      <c r="AC951">
        <v>772.14</v>
      </c>
      <c r="AD951" s="2">
        <v>772.14</v>
      </c>
      <c r="AE951" s="2">
        <v>23.68</v>
      </c>
      <c r="AF951" s="2">
        <v>5.53</v>
      </c>
      <c r="AG951" s="2">
        <v>801.34</v>
      </c>
      <c r="AH951">
        <v>0</v>
      </c>
      <c r="AI951">
        <v>801.34</v>
      </c>
      <c r="AJ951">
        <v>4.0067000000000004</v>
      </c>
      <c r="AK951" t="s">
        <v>54</v>
      </c>
      <c r="AL951">
        <v>1.1299999999999999</v>
      </c>
      <c r="AM951" s="4">
        <f t="shared" si="118"/>
        <v>801.34</v>
      </c>
      <c r="AN951" s="4">
        <f t="shared" si="119"/>
        <v>1447.7625</v>
      </c>
      <c r="AO951" s="4">
        <f t="shared" si="120"/>
        <v>1608.4641375000001</v>
      </c>
      <c r="AP951" s="4">
        <f t="shared" si="121"/>
        <v>2345.2304737499999</v>
      </c>
      <c r="AQ951" s="10">
        <f t="shared" si="122"/>
        <v>1393.610394</v>
      </c>
      <c r="AR951" s="10">
        <f t="shared" si="123"/>
        <v>1548.4405087734001</v>
      </c>
      <c r="AS951" s="10">
        <f t="shared" si="124"/>
        <v>2169.5726613791999</v>
      </c>
    </row>
    <row r="952" spans="1:45" x14ac:dyDescent="0.3">
      <c r="A952">
        <v>2025</v>
      </c>
      <c r="B952">
        <v>8</v>
      </c>
      <c r="C952" t="s">
        <v>55</v>
      </c>
      <c r="D952">
        <v>10</v>
      </c>
      <c r="E952" t="s">
        <v>36</v>
      </c>
      <c r="F952" t="s">
        <v>37</v>
      </c>
      <c r="G952" t="s">
        <v>38</v>
      </c>
      <c r="H952" t="s">
        <v>83</v>
      </c>
      <c r="I952" t="s">
        <v>190</v>
      </c>
      <c r="J952" t="s">
        <v>58</v>
      </c>
      <c r="K952" t="s">
        <v>59</v>
      </c>
      <c r="L952" t="s">
        <v>1194</v>
      </c>
      <c r="M952" t="s">
        <v>1195</v>
      </c>
      <c r="N952" t="s">
        <v>1196</v>
      </c>
      <c r="O952" t="s">
        <v>1197</v>
      </c>
      <c r="Q952" t="s">
        <v>62</v>
      </c>
      <c r="R952" t="s">
        <v>1198</v>
      </c>
      <c r="S952" t="s">
        <v>1198</v>
      </c>
      <c r="T952" t="s">
        <v>47</v>
      </c>
      <c r="U952" t="s">
        <v>356</v>
      </c>
      <c r="V952" t="s">
        <v>49</v>
      </c>
      <c r="W952" t="s">
        <v>357</v>
      </c>
      <c r="X952" t="s">
        <v>388</v>
      </c>
      <c r="Y952" t="s">
        <v>175</v>
      </c>
      <c r="Z952" t="s">
        <v>175</v>
      </c>
      <c r="AA952" t="s">
        <v>609</v>
      </c>
      <c r="AB952" s="3">
        <f t="shared" si="117"/>
        <v>1</v>
      </c>
      <c r="AC952">
        <v>774.64</v>
      </c>
      <c r="AD952" s="2">
        <v>774.64</v>
      </c>
      <c r="AE952" s="2">
        <v>15.32</v>
      </c>
      <c r="AF952" s="2">
        <v>5.31</v>
      </c>
      <c r="AG952" s="2">
        <v>795.27</v>
      </c>
      <c r="AH952">
        <v>0</v>
      </c>
      <c r="AI952">
        <v>795.27</v>
      </c>
      <c r="AJ952">
        <v>3.9763500000000001</v>
      </c>
      <c r="AK952" t="s">
        <v>54</v>
      </c>
      <c r="AL952">
        <v>0.78</v>
      </c>
      <c r="AM952" s="4">
        <f t="shared" si="118"/>
        <v>795.27</v>
      </c>
      <c r="AN952" s="4">
        <f t="shared" si="119"/>
        <v>1452.45</v>
      </c>
      <c r="AO952" s="4">
        <f t="shared" si="120"/>
        <v>1613.6719499999999</v>
      </c>
      <c r="AP952" s="4">
        <f t="shared" si="121"/>
        <v>2352.8237549999999</v>
      </c>
      <c r="AQ952" s="10">
        <f t="shared" si="122"/>
        <v>1383.0540570000001</v>
      </c>
      <c r="AR952" s="10">
        <f t="shared" si="123"/>
        <v>1536.7113627327001</v>
      </c>
      <c r="AS952" s="10">
        <f t="shared" si="124"/>
        <v>2153.1385559375999</v>
      </c>
    </row>
    <row r="953" spans="1:45" x14ac:dyDescent="0.3">
      <c r="A953">
        <v>2025</v>
      </c>
      <c r="B953">
        <v>9</v>
      </c>
      <c r="C953" t="s">
        <v>55</v>
      </c>
      <c r="D953">
        <v>10</v>
      </c>
      <c r="E953" t="s">
        <v>36</v>
      </c>
      <c r="F953" t="s">
        <v>37</v>
      </c>
      <c r="G953" t="s">
        <v>38</v>
      </c>
      <c r="H953" t="s">
        <v>83</v>
      </c>
      <c r="I953" t="s">
        <v>375</v>
      </c>
      <c r="J953" t="s">
        <v>376</v>
      </c>
      <c r="K953" t="s">
        <v>59</v>
      </c>
      <c r="L953" t="s">
        <v>1483</v>
      </c>
      <c r="M953" t="s">
        <v>1484</v>
      </c>
      <c r="N953" t="s">
        <v>1485</v>
      </c>
      <c r="O953" t="s">
        <v>1197</v>
      </c>
      <c r="Q953" t="s">
        <v>62</v>
      </c>
      <c r="R953" t="s">
        <v>1486</v>
      </c>
      <c r="S953" t="s">
        <v>1486</v>
      </c>
      <c r="T953" t="s">
        <v>47</v>
      </c>
      <c r="U953" t="s">
        <v>356</v>
      </c>
      <c r="V953" t="s">
        <v>49</v>
      </c>
      <c r="W953" t="s">
        <v>357</v>
      </c>
      <c r="X953" t="s">
        <v>51</v>
      </c>
      <c r="Y953" t="s">
        <v>1429</v>
      </c>
      <c r="Z953" t="s">
        <v>1429</v>
      </c>
      <c r="AA953" t="s">
        <v>609</v>
      </c>
      <c r="AB953" s="3">
        <f t="shared" si="117"/>
        <v>2</v>
      </c>
      <c r="AC953">
        <v>1289.5</v>
      </c>
      <c r="AD953" s="2">
        <v>644.75</v>
      </c>
      <c r="AE953" s="2">
        <v>92.41</v>
      </c>
      <c r="AF953" s="2">
        <v>8.34</v>
      </c>
      <c r="AG953" s="2">
        <v>1390.25</v>
      </c>
      <c r="AH953">
        <v>0</v>
      </c>
      <c r="AI953">
        <v>695.125</v>
      </c>
      <c r="AJ953">
        <v>6.9512499999999999</v>
      </c>
      <c r="AK953" t="s">
        <v>54</v>
      </c>
      <c r="AL953">
        <v>10.86</v>
      </c>
      <c r="AM953" s="4">
        <f t="shared" si="118"/>
        <v>695.125</v>
      </c>
      <c r="AN953" s="4">
        <f t="shared" si="119"/>
        <v>1208.90625</v>
      </c>
      <c r="AO953" s="4">
        <f t="shared" si="120"/>
        <v>1343.0948437499999</v>
      </c>
      <c r="AP953" s="4">
        <f t="shared" si="121"/>
        <v>1958.3072343749998</v>
      </c>
      <c r="AQ953" s="10">
        <f t="shared" si="122"/>
        <v>1208.8918875000002</v>
      </c>
      <c r="AR953" s="10">
        <f t="shared" si="123"/>
        <v>1343.1997762012502</v>
      </c>
      <c r="AS953" s="10">
        <f t="shared" si="124"/>
        <v>1882.0028904600001</v>
      </c>
    </row>
    <row r="954" spans="1:45" x14ac:dyDescent="0.3">
      <c r="A954">
        <v>2025</v>
      </c>
      <c r="B954">
        <v>12</v>
      </c>
      <c r="C954" t="s">
        <v>55</v>
      </c>
      <c r="D954">
        <v>10</v>
      </c>
      <c r="E954" t="s">
        <v>36</v>
      </c>
      <c r="F954" t="s">
        <v>37</v>
      </c>
      <c r="G954" t="s">
        <v>38</v>
      </c>
      <c r="H954" t="s">
        <v>83</v>
      </c>
      <c r="I954" t="s">
        <v>57</v>
      </c>
      <c r="J954" t="s">
        <v>58</v>
      </c>
      <c r="K954" t="s">
        <v>59</v>
      </c>
      <c r="L954" t="s">
        <v>1769</v>
      </c>
      <c r="M954" t="s">
        <v>1770</v>
      </c>
      <c r="N954" t="s">
        <v>1771</v>
      </c>
      <c r="O954" t="s">
        <v>1197</v>
      </c>
      <c r="Q954" t="s">
        <v>62</v>
      </c>
      <c r="R954" t="s">
        <v>1772</v>
      </c>
      <c r="S954" t="s">
        <v>1772</v>
      </c>
      <c r="T954" t="s">
        <v>47</v>
      </c>
      <c r="U954" t="s">
        <v>356</v>
      </c>
      <c r="V954" t="s">
        <v>49</v>
      </c>
      <c r="W954" t="s">
        <v>357</v>
      </c>
      <c r="X954" t="s">
        <v>51</v>
      </c>
      <c r="Y954" t="s">
        <v>1429</v>
      </c>
      <c r="Z954" t="s">
        <v>1429</v>
      </c>
      <c r="AA954" t="s">
        <v>609</v>
      </c>
      <c r="AB954" s="3">
        <f t="shared" si="117"/>
        <v>4</v>
      </c>
      <c r="AC954">
        <v>2538.46</v>
      </c>
      <c r="AD954" s="2">
        <v>634.61500000000001</v>
      </c>
      <c r="AE954" s="2">
        <v>393.47</v>
      </c>
      <c r="AF954" s="2">
        <v>17.989999999999998</v>
      </c>
      <c r="AG954" s="2">
        <v>2949.92</v>
      </c>
      <c r="AH954">
        <v>0</v>
      </c>
      <c r="AI954">
        <v>737.48</v>
      </c>
      <c r="AJ954">
        <v>14.749599999999999</v>
      </c>
      <c r="AK954" t="s">
        <v>54</v>
      </c>
      <c r="AL954">
        <v>16.28</v>
      </c>
      <c r="AM954" s="4">
        <f t="shared" si="118"/>
        <v>737.48</v>
      </c>
      <c r="AN954" s="4">
        <f t="shared" si="119"/>
        <v>1189.903125</v>
      </c>
      <c r="AO954" s="4">
        <f t="shared" si="120"/>
        <v>1321.9823718750001</v>
      </c>
      <c r="AP954" s="4">
        <f t="shared" si="121"/>
        <v>1927.5240721875</v>
      </c>
      <c r="AQ954" s="10">
        <f t="shared" si="122"/>
        <v>1282.5514680000001</v>
      </c>
      <c r="AR954" s="10">
        <f t="shared" si="123"/>
        <v>1425.0429360948001</v>
      </c>
      <c r="AS954" s="10">
        <f t="shared" si="124"/>
        <v>1996.6761253824002</v>
      </c>
    </row>
    <row r="955" spans="1:45" x14ac:dyDescent="0.3">
      <c r="A955">
        <v>2025</v>
      </c>
      <c r="B955">
        <v>12</v>
      </c>
      <c r="C955" t="s">
        <v>55</v>
      </c>
      <c r="D955">
        <v>10</v>
      </c>
      <c r="E955" t="s">
        <v>36</v>
      </c>
      <c r="F955" t="s">
        <v>37</v>
      </c>
      <c r="G955" t="s">
        <v>38</v>
      </c>
      <c r="H955" t="s">
        <v>83</v>
      </c>
      <c r="I955" t="s">
        <v>57</v>
      </c>
      <c r="J955" t="s">
        <v>58</v>
      </c>
      <c r="K955" t="s">
        <v>59</v>
      </c>
      <c r="L955" t="s">
        <v>1769</v>
      </c>
      <c r="M955" t="s">
        <v>1770</v>
      </c>
      <c r="N955" t="s">
        <v>1771</v>
      </c>
      <c r="O955" t="s">
        <v>1197</v>
      </c>
      <c r="Q955" t="s">
        <v>62</v>
      </c>
      <c r="R955" t="s">
        <v>1772</v>
      </c>
      <c r="S955" t="s">
        <v>1772</v>
      </c>
      <c r="T955" t="s">
        <v>47</v>
      </c>
      <c r="U955" t="s">
        <v>356</v>
      </c>
      <c r="V955" t="s">
        <v>49</v>
      </c>
      <c r="W955" t="s">
        <v>357</v>
      </c>
      <c r="X955" t="s">
        <v>51</v>
      </c>
      <c r="Y955" t="s">
        <v>1429</v>
      </c>
      <c r="Z955" t="s">
        <v>1429</v>
      </c>
      <c r="AA955" t="s">
        <v>609</v>
      </c>
      <c r="AB955" s="3">
        <f t="shared" si="117"/>
        <v>4</v>
      </c>
      <c r="AC955">
        <v>2599.41</v>
      </c>
      <c r="AD955" s="2">
        <v>649.85249999999996</v>
      </c>
      <c r="AE955" s="2">
        <v>771.67</v>
      </c>
      <c r="AF955" s="2">
        <v>19.510000000000002</v>
      </c>
      <c r="AG955" s="2">
        <v>3390.59</v>
      </c>
      <c r="AH955">
        <v>0</v>
      </c>
      <c r="AI955">
        <v>847.64750000000004</v>
      </c>
      <c r="AJ955">
        <v>16.952950000000001</v>
      </c>
      <c r="AK955" t="s">
        <v>54</v>
      </c>
      <c r="AL955">
        <v>19.32</v>
      </c>
      <c r="AM955" s="4">
        <f t="shared" si="118"/>
        <v>847.64750000000004</v>
      </c>
      <c r="AN955" s="4">
        <f t="shared" si="119"/>
        <v>1218.4734374999998</v>
      </c>
      <c r="AO955" s="4">
        <f t="shared" si="120"/>
        <v>1353.7239890624999</v>
      </c>
      <c r="AP955" s="4">
        <f t="shared" si="121"/>
        <v>1973.8051214062496</v>
      </c>
      <c r="AQ955" s="10">
        <f t="shared" si="122"/>
        <v>1474.1437672500001</v>
      </c>
      <c r="AR955" s="10">
        <f t="shared" si="123"/>
        <v>1637.9211397914751</v>
      </c>
      <c r="AS955" s="10">
        <f t="shared" si="124"/>
        <v>2294.9470168548</v>
      </c>
    </row>
    <row r="956" spans="1:45" x14ac:dyDescent="0.3">
      <c r="A956">
        <v>2025</v>
      </c>
      <c r="B956">
        <v>5</v>
      </c>
      <c r="C956" t="s">
        <v>35</v>
      </c>
      <c r="D956">
        <v>10</v>
      </c>
      <c r="E956" t="s">
        <v>36</v>
      </c>
      <c r="F956" t="s">
        <v>37</v>
      </c>
      <c r="G956" t="s">
        <v>38</v>
      </c>
      <c r="H956" t="s">
        <v>39</v>
      </c>
      <c r="I956" t="s">
        <v>190</v>
      </c>
      <c r="J956" t="s">
        <v>40</v>
      </c>
      <c r="K956" t="s">
        <v>59</v>
      </c>
      <c r="M956">
        <v>442936</v>
      </c>
      <c r="N956" t="s">
        <v>42</v>
      </c>
      <c r="O956" t="s">
        <v>36</v>
      </c>
      <c r="P956" t="s">
        <v>191</v>
      </c>
      <c r="Q956" t="s">
        <v>44</v>
      </c>
      <c r="R956" t="s">
        <v>672</v>
      </c>
      <c r="S956" t="s">
        <v>673</v>
      </c>
      <c r="T956" t="s">
        <v>47</v>
      </c>
      <c r="U956" t="s">
        <v>72</v>
      </c>
      <c r="V956" t="s">
        <v>49</v>
      </c>
      <c r="W956" t="s">
        <v>73</v>
      </c>
      <c r="X956" t="s">
        <v>51</v>
      </c>
      <c r="Y956" t="s">
        <v>1429</v>
      </c>
      <c r="Z956" t="s">
        <v>1429</v>
      </c>
      <c r="AA956" t="s">
        <v>609</v>
      </c>
      <c r="AB956" s="3">
        <f t="shared" si="117"/>
        <v>1</v>
      </c>
      <c r="AC956">
        <v>649.85</v>
      </c>
      <c r="AD956" s="2">
        <v>649.85</v>
      </c>
      <c r="AE956" s="2">
        <v>192.92</v>
      </c>
      <c r="AF956" s="2">
        <v>4.88</v>
      </c>
      <c r="AG956" s="2">
        <v>847.65</v>
      </c>
      <c r="AH956">
        <v>0</v>
      </c>
      <c r="AI956">
        <v>847.65</v>
      </c>
      <c r="AJ956">
        <v>4.2382499999999999</v>
      </c>
      <c r="AK956" t="s">
        <v>54</v>
      </c>
      <c r="AL956">
        <v>4.83</v>
      </c>
      <c r="AM956" s="4">
        <f t="shared" si="118"/>
        <v>847.65</v>
      </c>
      <c r="AN956" s="4">
        <f t="shared" si="119"/>
        <v>1218.46875</v>
      </c>
      <c r="AO956" s="4">
        <f t="shared" si="120"/>
        <v>1353.7187812499999</v>
      </c>
      <c r="AP956" s="4">
        <f t="shared" si="121"/>
        <v>1973.7975281249999</v>
      </c>
      <c r="AQ956" s="10">
        <f t="shared" si="122"/>
        <v>1474.148115</v>
      </c>
      <c r="AR956" s="10">
        <f t="shared" si="123"/>
        <v>1637.9259705764998</v>
      </c>
      <c r="AS956" s="10">
        <f t="shared" si="124"/>
        <v>2294.9537854319997</v>
      </c>
    </row>
    <row r="957" spans="1:45" x14ac:dyDescent="0.3">
      <c r="A957">
        <v>2025</v>
      </c>
      <c r="B957">
        <v>11</v>
      </c>
      <c r="C957" t="s">
        <v>35</v>
      </c>
      <c r="D957">
        <v>10</v>
      </c>
      <c r="E957" t="s">
        <v>36</v>
      </c>
      <c r="F957" t="s">
        <v>37</v>
      </c>
      <c r="G957" t="s">
        <v>38</v>
      </c>
      <c r="H957" t="s">
        <v>39</v>
      </c>
      <c r="I957" t="s">
        <v>1615</v>
      </c>
      <c r="K957" t="s">
        <v>1616</v>
      </c>
      <c r="L957" t="s">
        <v>1617</v>
      </c>
      <c r="M957" t="s">
        <v>1618</v>
      </c>
      <c r="N957" t="s">
        <v>42</v>
      </c>
      <c r="O957" t="s">
        <v>1197</v>
      </c>
      <c r="Q957" t="s">
        <v>44</v>
      </c>
      <c r="R957" t="s">
        <v>1619</v>
      </c>
      <c r="S957" t="s">
        <v>1620</v>
      </c>
      <c r="T957" t="s">
        <v>47</v>
      </c>
      <c r="U957" t="s">
        <v>72</v>
      </c>
      <c r="V957" t="s">
        <v>49</v>
      </c>
      <c r="W957" t="s">
        <v>73</v>
      </c>
      <c r="X957" t="s">
        <v>388</v>
      </c>
      <c r="Y957" t="s">
        <v>74</v>
      </c>
      <c r="Z957" t="s">
        <v>74</v>
      </c>
      <c r="AA957" t="s">
        <v>680</v>
      </c>
      <c r="AB957" s="3">
        <f t="shared" si="117"/>
        <v>372.19999999999789</v>
      </c>
      <c r="AC957">
        <v>3148.79</v>
      </c>
      <c r="AD957" s="2">
        <v>8.4599408919936003</v>
      </c>
      <c r="AE957" s="2">
        <v>431.9</v>
      </c>
      <c r="AF957" s="2">
        <v>20.54</v>
      </c>
      <c r="AG957" s="2">
        <v>3601.23</v>
      </c>
      <c r="AH957">
        <v>0</v>
      </c>
      <c r="AI957">
        <v>9.6755239118753007</v>
      </c>
      <c r="AJ957">
        <v>18.006150000000002</v>
      </c>
      <c r="AK957" t="s">
        <v>54</v>
      </c>
      <c r="AL957">
        <v>322.75</v>
      </c>
      <c r="AM957" s="4">
        <f t="shared" si="118"/>
        <v>9.6755239118753913</v>
      </c>
      <c r="AN957" s="4">
        <f t="shared" si="119"/>
        <v>15.862389172488001</v>
      </c>
      <c r="AO957" s="4">
        <f t="shared" si="120"/>
        <v>17.62311437063417</v>
      </c>
      <c r="AP957" s="4">
        <f t="shared" si="121"/>
        <v>25.695484220513311</v>
      </c>
      <c r="AQ957" s="10">
        <f t="shared" si="122"/>
        <v>16.826703635142493</v>
      </c>
      <c r="AR957" s="10">
        <f t="shared" si="123"/>
        <v>18.696150409006822</v>
      </c>
      <c r="AS957" s="10">
        <f t="shared" si="124"/>
        <v>26.195812219189833</v>
      </c>
    </row>
    <row r="958" spans="1:45" x14ac:dyDescent="0.3">
      <c r="A958">
        <v>2025</v>
      </c>
      <c r="B958">
        <v>5</v>
      </c>
      <c r="C958" t="s">
        <v>35</v>
      </c>
      <c r="D958">
        <v>10</v>
      </c>
      <c r="E958" t="s">
        <v>36</v>
      </c>
      <c r="F958" t="s">
        <v>37</v>
      </c>
      <c r="G958" t="s">
        <v>38</v>
      </c>
      <c r="H958" t="s">
        <v>39</v>
      </c>
      <c r="I958" t="s">
        <v>190</v>
      </c>
      <c r="J958" t="s">
        <v>40</v>
      </c>
      <c r="K958" t="s">
        <v>59</v>
      </c>
      <c r="M958">
        <v>442936</v>
      </c>
      <c r="N958" t="s">
        <v>42</v>
      </c>
      <c r="O958" t="s">
        <v>36</v>
      </c>
      <c r="P958" t="s">
        <v>191</v>
      </c>
      <c r="Q958" t="s">
        <v>44</v>
      </c>
      <c r="R958" t="s">
        <v>672</v>
      </c>
      <c r="S958" t="s">
        <v>673</v>
      </c>
      <c r="T958" t="s">
        <v>47</v>
      </c>
      <c r="U958" t="s">
        <v>72</v>
      </c>
      <c r="V958" t="s">
        <v>49</v>
      </c>
      <c r="W958" t="s">
        <v>73</v>
      </c>
      <c r="X958" t="s">
        <v>51</v>
      </c>
      <c r="Y958" t="s">
        <v>1628</v>
      </c>
      <c r="Z958" t="s">
        <v>1628</v>
      </c>
      <c r="AA958" t="s">
        <v>680</v>
      </c>
      <c r="AB958" s="3">
        <f t="shared" si="117"/>
        <v>60.000000000001876</v>
      </c>
      <c r="AC958">
        <v>6400.22</v>
      </c>
      <c r="AD958" s="2">
        <v>106.67033333333001</v>
      </c>
      <c r="AE958" s="2">
        <v>733.34</v>
      </c>
      <c r="AF958" s="2">
        <v>43.95</v>
      </c>
      <c r="AG958" s="2">
        <v>7177.51</v>
      </c>
      <c r="AH958">
        <v>0</v>
      </c>
      <c r="AI958">
        <v>119.62516666667</v>
      </c>
      <c r="AJ958">
        <v>35.887549999999997</v>
      </c>
      <c r="AK958" t="s">
        <v>54</v>
      </c>
      <c r="AL958">
        <v>370.22</v>
      </c>
      <c r="AM958" s="4">
        <f t="shared" si="118"/>
        <v>119.62516666666293</v>
      </c>
      <c r="AN958" s="4">
        <f t="shared" si="119"/>
        <v>200.00687499999376</v>
      </c>
      <c r="AO958" s="4">
        <f t="shared" si="120"/>
        <v>222.20763812499305</v>
      </c>
      <c r="AP958" s="4">
        <f t="shared" si="121"/>
        <v>323.99113681248986</v>
      </c>
      <c r="AQ958" s="10">
        <f t="shared" si="122"/>
        <v>208.04012734999353</v>
      </c>
      <c r="AR958" s="10">
        <f t="shared" si="123"/>
        <v>231.15338549857779</v>
      </c>
      <c r="AS958" s="10">
        <f t="shared" si="124"/>
        <v>323.87687025846992</v>
      </c>
    </row>
    <row r="959" spans="1:45" x14ac:dyDescent="0.3">
      <c r="A959">
        <v>2025</v>
      </c>
      <c r="B959">
        <v>5</v>
      </c>
      <c r="C959" t="s">
        <v>35</v>
      </c>
      <c r="D959">
        <v>10</v>
      </c>
      <c r="E959" t="s">
        <v>36</v>
      </c>
      <c r="F959" t="s">
        <v>37</v>
      </c>
      <c r="G959" t="s">
        <v>38</v>
      </c>
      <c r="H959" t="s">
        <v>39</v>
      </c>
      <c r="I959" t="s">
        <v>190</v>
      </c>
      <c r="J959" t="s">
        <v>40</v>
      </c>
      <c r="K959" t="s">
        <v>59</v>
      </c>
      <c r="M959">
        <v>442936</v>
      </c>
      <c r="N959" t="s">
        <v>42</v>
      </c>
      <c r="O959" t="s">
        <v>36</v>
      </c>
      <c r="P959" t="s">
        <v>191</v>
      </c>
      <c r="Q959" t="s">
        <v>44</v>
      </c>
      <c r="R959" t="s">
        <v>672</v>
      </c>
      <c r="S959" t="s">
        <v>673</v>
      </c>
      <c r="T959" t="s">
        <v>47</v>
      </c>
      <c r="U959" t="s">
        <v>72</v>
      </c>
      <c r="V959" t="s">
        <v>49</v>
      </c>
      <c r="W959" t="s">
        <v>73</v>
      </c>
      <c r="X959" t="s">
        <v>51</v>
      </c>
      <c r="Y959" t="s">
        <v>74</v>
      </c>
      <c r="Z959" t="s">
        <v>74</v>
      </c>
      <c r="AA959" t="s">
        <v>681</v>
      </c>
      <c r="AB959" s="3">
        <f t="shared" si="117"/>
        <v>14.890000000000164</v>
      </c>
      <c r="AC959">
        <v>437.9</v>
      </c>
      <c r="AD959" s="2">
        <v>29.408999328408001</v>
      </c>
      <c r="AE959" s="2">
        <v>17.28</v>
      </c>
      <c r="AF959" s="2">
        <v>2.93</v>
      </c>
      <c r="AG959" s="2">
        <v>457.3</v>
      </c>
      <c r="AH959">
        <v>0</v>
      </c>
      <c r="AI959">
        <v>30.711887172598999</v>
      </c>
      <c r="AJ959">
        <v>2.2865000000000002</v>
      </c>
      <c r="AK959" t="s">
        <v>54</v>
      </c>
      <c r="AL959">
        <v>12.91</v>
      </c>
      <c r="AM959" s="4">
        <f t="shared" si="118"/>
        <v>30.711887172598722</v>
      </c>
      <c r="AN959" s="4">
        <f t="shared" si="119"/>
        <v>55.141873740765</v>
      </c>
      <c r="AO959" s="4">
        <f t="shared" si="120"/>
        <v>61.262621725989916</v>
      </c>
      <c r="AP959" s="4">
        <f t="shared" si="121"/>
        <v>89.324321272665216</v>
      </c>
      <c r="AQ959" s="10">
        <f t="shared" si="122"/>
        <v>53.411042981866437</v>
      </c>
      <c r="AR959" s="10">
        <f t="shared" si="123"/>
        <v>59.345009857151794</v>
      </c>
      <c r="AS959" s="10">
        <f t="shared" si="124"/>
        <v>83.150311714169661</v>
      </c>
    </row>
    <row r="960" spans="1:45" x14ac:dyDescent="0.3">
      <c r="A960">
        <v>2025</v>
      </c>
      <c r="B960">
        <v>5</v>
      </c>
      <c r="C960" t="s">
        <v>35</v>
      </c>
      <c r="D960">
        <v>10</v>
      </c>
      <c r="E960" t="s">
        <v>36</v>
      </c>
      <c r="F960" t="s">
        <v>37</v>
      </c>
      <c r="G960" t="s">
        <v>38</v>
      </c>
      <c r="H960" t="s">
        <v>39</v>
      </c>
      <c r="I960" t="s">
        <v>190</v>
      </c>
      <c r="J960" t="s">
        <v>40</v>
      </c>
      <c r="K960" t="s">
        <v>59</v>
      </c>
      <c r="M960">
        <v>442936</v>
      </c>
      <c r="N960" t="s">
        <v>42</v>
      </c>
      <c r="O960" t="s">
        <v>36</v>
      </c>
      <c r="P960" t="s">
        <v>191</v>
      </c>
      <c r="Q960" t="s">
        <v>44</v>
      </c>
      <c r="R960" t="s">
        <v>672</v>
      </c>
      <c r="S960" t="s">
        <v>673</v>
      </c>
      <c r="T960" t="s">
        <v>47</v>
      </c>
      <c r="U960" t="s">
        <v>72</v>
      </c>
      <c r="V960" t="s">
        <v>49</v>
      </c>
      <c r="W960" t="s">
        <v>73</v>
      </c>
      <c r="X960" t="s">
        <v>51</v>
      </c>
      <c r="Y960" t="s">
        <v>74</v>
      </c>
      <c r="Z960" t="s">
        <v>74</v>
      </c>
      <c r="AA960" t="s">
        <v>681</v>
      </c>
      <c r="AB960" s="3">
        <f t="shared" si="117"/>
        <v>14.890000000000164</v>
      </c>
      <c r="AC960">
        <v>437.9</v>
      </c>
      <c r="AD960" s="2">
        <v>29.408999328408001</v>
      </c>
      <c r="AE960" s="2">
        <v>17.28</v>
      </c>
      <c r="AF960" s="2">
        <v>2.93</v>
      </c>
      <c r="AG960" s="2">
        <v>457.3</v>
      </c>
      <c r="AH960">
        <v>0</v>
      </c>
      <c r="AI960">
        <v>30.711887172598999</v>
      </c>
      <c r="AJ960">
        <v>2.2865000000000002</v>
      </c>
      <c r="AK960" t="s">
        <v>54</v>
      </c>
      <c r="AL960">
        <v>12.91</v>
      </c>
      <c r="AM960" s="4">
        <f t="shared" si="118"/>
        <v>30.711887172598722</v>
      </c>
      <c r="AN960" s="4">
        <f t="shared" si="119"/>
        <v>55.141873740765</v>
      </c>
      <c r="AO960" s="4">
        <f t="shared" si="120"/>
        <v>61.262621725989916</v>
      </c>
      <c r="AP960" s="4">
        <f t="shared" si="121"/>
        <v>89.324321272665216</v>
      </c>
      <c r="AQ960" s="10">
        <f t="shared" si="122"/>
        <v>53.411042981866437</v>
      </c>
      <c r="AR960" s="10">
        <f t="shared" si="123"/>
        <v>59.345009857151794</v>
      </c>
      <c r="AS960" s="10">
        <f t="shared" si="124"/>
        <v>83.150311714169661</v>
      </c>
    </row>
    <row r="961" spans="1:45" x14ac:dyDescent="0.3">
      <c r="A961">
        <v>2025</v>
      </c>
      <c r="B961">
        <v>5</v>
      </c>
      <c r="C961" t="s">
        <v>35</v>
      </c>
      <c r="D961">
        <v>10</v>
      </c>
      <c r="E961" t="s">
        <v>36</v>
      </c>
      <c r="F961" t="s">
        <v>37</v>
      </c>
      <c r="G961" t="s">
        <v>38</v>
      </c>
      <c r="H961" t="s">
        <v>39</v>
      </c>
      <c r="I961" t="s">
        <v>190</v>
      </c>
      <c r="J961" t="s">
        <v>40</v>
      </c>
      <c r="K961" t="s">
        <v>59</v>
      </c>
      <c r="M961">
        <v>442936</v>
      </c>
      <c r="N961" t="s">
        <v>42</v>
      </c>
      <c r="O961" t="s">
        <v>36</v>
      </c>
      <c r="P961" t="s">
        <v>191</v>
      </c>
      <c r="Q961" t="s">
        <v>44</v>
      </c>
      <c r="R961" t="s">
        <v>672</v>
      </c>
      <c r="S961" t="s">
        <v>673</v>
      </c>
      <c r="T961" t="s">
        <v>47</v>
      </c>
      <c r="U961" t="s">
        <v>72</v>
      </c>
      <c r="V961" t="s">
        <v>49</v>
      </c>
      <c r="W961" t="s">
        <v>73</v>
      </c>
      <c r="X961" t="s">
        <v>51</v>
      </c>
      <c r="Y961" t="s">
        <v>74</v>
      </c>
      <c r="Z961" t="s">
        <v>74</v>
      </c>
      <c r="AA961" t="s">
        <v>681</v>
      </c>
      <c r="AB961" s="3">
        <f t="shared" si="117"/>
        <v>357.31000000000256</v>
      </c>
      <c r="AC961">
        <v>10490.2</v>
      </c>
      <c r="AD961" s="2">
        <v>29.358820072206001</v>
      </c>
      <c r="AE961" s="2">
        <v>414.63</v>
      </c>
      <c r="AF961" s="2">
        <v>70.41</v>
      </c>
      <c r="AG961" s="2">
        <v>10975.23</v>
      </c>
      <c r="AH961">
        <v>0</v>
      </c>
      <c r="AI961">
        <v>30.716268786208001</v>
      </c>
      <c r="AJ961">
        <v>54.876150000000003</v>
      </c>
      <c r="AK961" t="s">
        <v>54</v>
      </c>
      <c r="AL961">
        <v>309.83999999999997</v>
      </c>
      <c r="AM961" s="4">
        <f t="shared" si="118"/>
        <v>30.716268786207834</v>
      </c>
      <c r="AN961" s="4">
        <f t="shared" si="119"/>
        <v>55.04778763538625</v>
      </c>
      <c r="AO961" s="4">
        <f t="shared" si="120"/>
        <v>61.158092062914122</v>
      </c>
      <c r="AP961" s="4">
        <f t="shared" si="121"/>
        <v>89.171911190562184</v>
      </c>
      <c r="AQ961" s="10">
        <f t="shared" si="122"/>
        <v>53.418663046094046</v>
      </c>
      <c r="AR961" s="10">
        <f t="shared" si="123"/>
        <v>59.353476510515094</v>
      </c>
      <c r="AS961" s="10">
        <f t="shared" si="124"/>
        <v>83.162174630159214</v>
      </c>
    </row>
    <row r="962" spans="1:45" x14ac:dyDescent="0.3">
      <c r="A962">
        <v>2025</v>
      </c>
      <c r="B962">
        <v>7</v>
      </c>
      <c r="C962" t="s">
        <v>35</v>
      </c>
      <c r="D962">
        <v>10</v>
      </c>
      <c r="E962" t="s">
        <v>36</v>
      </c>
      <c r="F962" t="s">
        <v>37</v>
      </c>
      <c r="G962" t="s">
        <v>38</v>
      </c>
      <c r="H962" t="s">
        <v>39</v>
      </c>
      <c r="I962" t="s">
        <v>190</v>
      </c>
      <c r="J962" t="s">
        <v>40</v>
      </c>
      <c r="K962" t="s">
        <v>59</v>
      </c>
      <c r="L962" t="s">
        <v>961</v>
      </c>
      <c r="M962">
        <v>448168</v>
      </c>
      <c r="N962" t="s">
        <v>42</v>
      </c>
      <c r="O962" t="s">
        <v>36</v>
      </c>
      <c r="P962" t="s">
        <v>191</v>
      </c>
      <c r="Q962" t="s">
        <v>44</v>
      </c>
      <c r="R962" t="s">
        <v>962</v>
      </c>
      <c r="S962" t="s">
        <v>963</v>
      </c>
      <c r="T962" t="s">
        <v>47</v>
      </c>
      <c r="U962" t="s">
        <v>72</v>
      </c>
      <c r="V962" t="s">
        <v>49</v>
      </c>
      <c r="W962" t="s">
        <v>73</v>
      </c>
      <c r="X962" t="s">
        <v>51</v>
      </c>
      <c r="Y962" t="s">
        <v>74</v>
      </c>
      <c r="Z962" t="s">
        <v>74</v>
      </c>
      <c r="AA962" t="s">
        <v>681</v>
      </c>
      <c r="AB962" s="3">
        <f t="shared" si="117"/>
        <v>357.29999999999569</v>
      </c>
      <c r="AC962">
        <v>10490.2</v>
      </c>
      <c r="AD962" s="2">
        <v>29.359641757626999</v>
      </c>
      <c r="AE962" s="2">
        <v>414.62</v>
      </c>
      <c r="AF962" s="2">
        <v>70.41</v>
      </c>
      <c r="AG962" s="2">
        <v>10975.23</v>
      </c>
      <c r="AH962">
        <v>0</v>
      </c>
      <c r="AI962">
        <v>30.717128463476001</v>
      </c>
      <c r="AJ962">
        <v>54.876150000000003</v>
      </c>
      <c r="AK962" t="s">
        <v>54</v>
      </c>
      <c r="AL962">
        <v>309.83</v>
      </c>
      <c r="AM962" s="4">
        <f t="shared" si="118"/>
        <v>30.717128463476438</v>
      </c>
      <c r="AN962" s="4">
        <f t="shared" si="119"/>
        <v>55.049328295550623</v>
      </c>
      <c r="AO962" s="4">
        <f t="shared" si="120"/>
        <v>61.159803736356743</v>
      </c>
      <c r="AP962" s="4">
        <f t="shared" si="121"/>
        <v>89.174406905962442</v>
      </c>
      <c r="AQ962" s="10">
        <f t="shared" si="122"/>
        <v>53.420158110831878</v>
      </c>
      <c r="AR962" s="10">
        <f t="shared" si="123"/>
        <v>59.355137676945297</v>
      </c>
      <c r="AS962" s="10">
        <f t="shared" si="124"/>
        <v>83.164502146943065</v>
      </c>
    </row>
    <row r="963" spans="1:45" x14ac:dyDescent="0.3">
      <c r="A963">
        <v>2025</v>
      </c>
      <c r="B963">
        <v>7</v>
      </c>
      <c r="C963" t="s">
        <v>35</v>
      </c>
      <c r="D963">
        <v>10</v>
      </c>
      <c r="E963" t="s">
        <v>36</v>
      </c>
      <c r="F963" t="s">
        <v>37</v>
      </c>
      <c r="G963" t="s">
        <v>38</v>
      </c>
      <c r="H963" t="s">
        <v>39</v>
      </c>
      <c r="I963" t="s">
        <v>190</v>
      </c>
      <c r="J963" t="s">
        <v>40</v>
      </c>
      <c r="K963" t="s">
        <v>59</v>
      </c>
      <c r="L963" t="s">
        <v>961</v>
      </c>
      <c r="M963">
        <v>448168</v>
      </c>
      <c r="N963" t="s">
        <v>42</v>
      </c>
      <c r="O963" t="s">
        <v>36</v>
      </c>
      <c r="P963" t="s">
        <v>191</v>
      </c>
      <c r="Q963" t="s">
        <v>44</v>
      </c>
      <c r="R963" t="s">
        <v>962</v>
      </c>
      <c r="S963" t="s">
        <v>963</v>
      </c>
      <c r="T963" t="s">
        <v>47</v>
      </c>
      <c r="U963" t="s">
        <v>72</v>
      </c>
      <c r="V963" t="s">
        <v>49</v>
      </c>
      <c r="W963" t="s">
        <v>73</v>
      </c>
      <c r="X963" t="s">
        <v>51</v>
      </c>
      <c r="Y963" t="s">
        <v>967</v>
      </c>
      <c r="Z963" t="s">
        <v>967</v>
      </c>
      <c r="AA963" t="s">
        <v>681</v>
      </c>
      <c r="AB963" s="3">
        <f t="shared" ref="AB963:AB1026" si="125">SUM(AC963/AD963)</f>
        <v>567.92000000000337</v>
      </c>
      <c r="AC963">
        <v>8892.9</v>
      </c>
      <c r="AD963" s="2">
        <v>15.658719537963</v>
      </c>
      <c r="AE963" s="2">
        <v>500.23</v>
      </c>
      <c r="AF963" s="2">
        <v>58.95</v>
      </c>
      <c r="AG963" s="2">
        <v>9452.7000000000007</v>
      </c>
      <c r="AH963">
        <v>0</v>
      </c>
      <c r="AI963">
        <v>16.644421749542001</v>
      </c>
      <c r="AJ963">
        <v>47.263500000000001</v>
      </c>
      <c r="AK963" t="s">
        <v>54</v>
      </c>
      <c r="AL963">
        <v>526.20000000000005</v>
      </c>
      <c r="AM963" s="4">
        <f t="shared" ref="AM963:AM1026" si="126">SUM(AG963/AB963)</f>
        <v>16.64442174954209</v>
      </c>
      <c r="AN963" s="4">
        <f t="shared" ref="AN963:AN1026" si="127">SUM(AD963*1.875)</f>
        <v>29.360099133680624</v>
      </c>
      <c r="AO963" s="4">
        <f t="shared" si="120"/>
        <v>32.619070137519174</v>
      </c>
      <c r="AP963" s="4">
        <f t="shared" si="121"/>
        <v>47.560424586649241</v>
      </c>
      <c r="AQ963" s="10">
        <f t="shared" si="122"/>
        <v>28.94631386462865</v>
      </c>
      <c r="AR963" s="10">
        <f t="shared" si="123"/>
        <v>32.162249334988893</v>
      </c>
      <c r="AS963" s="10">
        <f t="shared" si="124"/>
        <v>45.063621424453878</v>
      </c>
    </row>
    <row r="964" spans="1:45" x14ac:dyDescent="0.3">
      <c r="A964">
        <v>2025</v>
      </c>
      <c r="B964">
        <v>10</v>
      </c>
      <c r="C964" t="s">
        <v>55</v>
      </c>
      <c r="D964">
        <v>10</v>
      </c>
      <c r="E964" t="s">
        <v>36</v>
      </c>
      <c r="F964" t="s">
        <v>37</v>
      </c>
      <c r="G964" t="s">
        <v>38</v>
      </c>
      <c r="H964" t="s">
        <v>39</v>
      </c>
      <c r="I964" t="s">
        <v>375</v>
      </c>
      <c r="J964" t="s">
        <v>376</v>
      </c>
      <c r="K964" t="s">
        <v>59</v>
      </c>
      <c r="L964" t="s">
        <v>1549</v>
      </c>
      <c r="M964" t="s">
        <v>1550</v>
      </c>
      <c r="N964" t="s">
        <v>1551</v>
      </c>
      <c r="O964" t="s">
        <v>1197</v>
      </c>
      <c r="Q964" t="s">
        <v>62</v>
      </c>
      <c r="R964" t="s">
        <v>1552</v>
      </c>
      <c r="S964" t="s">
        <v>1552</v>
      </c>
      <c r="T964" t="s">
        <v>47</v>
      </c>
      <c r="U964" t="s">
        <v>72</v>
      </c>
      <c r="V964" t="s">
        <v>49</v>
      </c>
      <c r="W964" t="s">
        <v>73</v>
      </c>
      <c r="X964" t="s">
        <v>51</v>
      </c>
      <c r="Y964" t="s">
        <v>967</v>
      </c>
      <c r="Z964" t="s">
        <v>967</v>
      </c>
      <c r="AA964" t="s">
        <v>681</v>
      </c>
      <c r="AB964" s="3">
        <f t="shared" si="125"/>
        <v>567.92000000000337</v>
      </c>
      <c r="AC964">
        <v>8892.9</v>
      </c>
      <c r="AD964" s="2">
        <v>15.658719537963</v>
      </c>
      <c r="AE964" s="2">
        <v>500.23</v>
      </c>
      <c r="AF964" s="2">
        <v>58.95</v>
      </c>
      <c r="AG964" s="2">
        <v>9452.7000000000007</v>
      </c>
      <c r="AH964">
        <v>0</v>
      </c>
      <c r="AI964">
        <v>16.644421749542001</v>
      </c>
      <c r="AJ964">
        <v>47.263500000000001</v>
      </c>
      <c r="AK964" t="s">
        <v>54</v>
      </c>
      <c r="AL964">
        <v>526.20000000000005</v>
      </c>
      <c r="AM964" s="4">
        <f t="shared" si="126"/>
        <v>16.64442174954209</v>
      </c>
      <c r="AN964" s="4">
        <f t="shared" si="127"/>
        <v>29.360099133680624</v>
      </c>
      <c r="AO964" s="4">
        <f t="shared" ref="AO964:AO1027" si="128">SUM(AN964)*1.111</f>
        <v>32.619070137519174</v>
      </c>
      <c r="AP964" s="4">
        <f t="shared" ref="AP964:AP1027" si="129">SUM(AN964)*1.6199</f>
        <v>47.560424586649241</v>
      </c>
      <c r="AQ964" s="10">
        <f t="shared" si="122"/>
        <v>28.94631386462865</v>
      </c>
      <c r="AR964" s="10">
        <f t="shared" si="123"/>
        <v>32.162249334988893</v>
      </c>
      <c r="AS964" s="10">
        <f t="shared" si="124"/>
        <v>45.063621424453878</v>
      </c>
    </row>
    <row r="965" spans="1:45" x14ac:dyDescent="0.3">
      <c r="A965">
        <v>2025</v>
      </c>
      <c r="B965">
        <v>11</v>
      </c>
      <c r="C965" t="s">
        <v>35</v>
      </c>
      <c r="D965">
        <v>10</v>
      </c>
      <c r="E965" t="s">
        <v>36</v>
      </c>
      <c r="F965" t="s">
        <v>37</v>
      </c>
      <c r="G965" t="s">
        <v>38</v>
      </c>
      <c r="H965" t="s">
        <v>39</v>
      </c>
      <c r="I965" t="s">
        <v>1615</v>
      </c>
      <c r="K965" t="s">
        <v>1616</v>
      </c>
      <c r="L965" t="s">
        <v>1617</v>
      </c>
      <c r="M965" t="s">
        <v>1618</v>
      </c>
      <c r="N965" t="s">
        <v>42</v>
      </c>
      <c r="O965" t="s">
        <v>1197</v>
      </c>
      <c r="Q965" t="s">
        <v>44</v>
      </c>
      <c r="R965" t="s">
        <v>1619</v>
      </c>
      <c r="S965" t="s">
        <v>1620</v>
      </c>
      <c r="T965" t="s">
        <v>47</v>
      </c>
      <c r="U965" t="s">
        <v>72</v>
      </c>
      <c r="V965" t="s">
        <v>49</v>
      </c>
      <c r="W965" t="s">
        <v>73</v>
      </c>
      <c r="X965" t="s">
        <v>388</v>
      </c>
      <c r="Y965" t="s">
        <v>1553</v>
      </c>
      <c r="Z965" t="s">
        <v>1553</v>
      </c>
      <c r="AA965" t="s">
        <v>681</v>
      </c>
      <c r="AB965" s="3">
        <f t="shared" si="125"/>
        <v>6.0000000000000515</v>
      </c>
      <c r="AC965">
        <v>2315.2399999999998</v>
      </c>
      <c r="AD965" s="2">
        <v>385.87333333332998</v>
      </c>
      <c r="AE965" s="2">
        <v>1058.26</v>
      </c>
      <c r="AF965" s="2">
        <v>20.65</v>
      </c>
      <c r="AG965" s="2">
        <v>3394.14</v>
      </c>
      <c r="AH965">
        <v>0</v>
      </c>
      <c r="AI965">
        <v>565.69000000000005</v>
      </c>
      <c r="AJ965">
        <v>16.970700000000001</v>
      </c>
      <c r="AK965" t="s">
        <v>54</v>
      </c>
      <c r="AL965">
        <v>47.92</v>
      </c>
      <c r="AM965" s="4">
        <f t="shared" si="126"/>
        <v>565.68999999999517</v>
      </c>
      <c r="AN965" s="4">
        <f t="shared" si="127"/>
        <v>723.51249999999368</v>
      </c>
      <c r="AO965" s="4">
        <f t="shared" si="128"/>
        <v>803.82238749999294</v>
      </c>
      <c r="AP965" s="4">
        <f t="shared" si="129"/>
        <v>1172.0178987499896</v>
      </c>
      <c r="AQ965" s="10">
        <f t="shared" si="122"/>
        <v>983.79147899999168</v>
      </c>
      <c r="AR965" s="10">
        <f t="shared" si="123"/>
        <v>1093.0907123168906</v>
      </c>
      <c r="AS965" s="10">
        <f t="shared" si="124"/>
        <v>1531.5665745071869</v>
      </c>
    </row>
    <row r="966" spans="1:45" x14ac:dyDescent="0.3">
      <c r="A966">
        <v>2025</v>
      </c>
      <c r="B966">
        <v>11</v>
      </c>
      <c r="C966" t="s">
        <v>35</v>
      </c>
      <c r="D966">
        <v>10</v>
      </c>
      <c r="E966" t="s">
        <v>36</v>
      </c>
      <c r="F966" t="s">
        <v>37</v>
      </c>
      <c r="G966" t="s">
        <v>38</v>
      </c>
      <c r="H966" t="s">
        <v>39</v>
      </c>
      <c r="I966" t="s">
        <v>1615</v>
      </c>
      <c r="K966" t="s">
        <v>1616</v>
      </c>
      <c r="L966" t="s">
        <v>1617</v>
      </c>
      <c r="M966" t="s">
        <v>1618</v>
      </c>
      <c r="N966" t="s">
        <v>42</v>
      </c>
      <c r="O966" t="s">
        <v>1197</v>
      </c>
      <c r="Q966" t="s">
        <v>44</v>
      </c>
      <c r="R966" t="s">
        <v>1619</v>
      </c>
      <c r="S966" t="s">
        <v>1620</v>
      </c>
      <c r="T966" t="s">
        <v>47</v>
      </c>
      <c r="U966" t="s">
        <v>72</v>
      </c>
      <c r="V966" t="s">
        <v>49</v>
      </c>
      <c r="W966" t="s">
        <v>73</v>
      </c>
      <c r="X966" t="s">
        <v>388</v>
      </c>
      <c r="Y966" t="s">
        <v>1553</v>
      </c>
      <c r="Z966" t="s">
        <v>1553</v>
      </c>
      <c r="AA966" t="s">
        <v>681</v>
      </c>
      <c r="AB966" s="3">
        <f t="shared" si="125"/>
        <v>1</v>
      </c>
      <c r="AC966">
        <v>380.85</v>
      </c>
      <c r="AD966" s="2">
        <v>380.85</v>
      </c>
      <c r="AE966" s="2">
        <v>43.64</v>
      </c>
      <c r="AF966" s="2">
        <v>2.62</v>
      </c>
      <c r="AG966" s="2">
        <v>427.1</v>
      </c>
      <c r="AH966">
        <v>0</v>
      </c>
      <c r="AI966">
        <v>427.1</v>
      </c>
      <c r="AJ966">
        <v>2.1355</v>
      </c>
      <c r="AK966" t="s">
        <v>54</v>
      </c>
      <c r="AL966">
        <v>22.3</v>
      </c>
      <c r="AM966" s="4">
        <f t="shared" si="126"/>
        <v>427.1</v>
      </c>
      <c r="AN966" s="4">
        <f t="shared" si="127"/>
        <v>714.09375</v>
      </c>
      <c r="AO966" s="4">
        <f t="shared" si="128"/>
        <v>793.35815624999998</v>
      </c>
      <c r="AP966" s="4">
        <f t="shared" si="129"/>
        <v>1156.7604656249998</v>
      </c>
      <c r="AQ966" s="10">
        <f t="shared" si="122"/>
        <v>742.76961000000006</v>
      </c>
      <c r="AR966" s="10">
        <f t="shared" si="123"/>
        <v>825.29131367100001</v>
      </c>
      <c r="AS966" s="10">
        <f t="shared" si="124"/>
        <v>1156.343728848</v>
      </c>
    </row>
    <row r="967" spans="1:45" x14ac:dyDescent="0.3">
      <c r="A967">
        <v>2025</v>
      </c>
      <c r="B967">
        <v>11</v>
      </c>
      <c r="C967" t="s">
        <v>35</v>
      </c>
      <c r="D967">
        <v>10</v>
      </c>
      <c r="E967" t="s">
        <v>36</v>
      </c>
      <c r="F967" t="s">
        <v>37</v>
      </c>
      <c r="G967" t="s">
        <v>38</v>
      </c>
      <c r="H967" t="s">
        <v>39</v>
      </c>
      <c r="I967" t="s">
        <v>1615</v>
      </c>
      <c r="K967" t="s">
        <v>1616</v>
      </c>
      <c r="L967" t="s">
        <v>1617</v>
      </c>
      <c r="M967" t="s">
        <v>1618</v>
      </c>
      <c r="N967" t="s">
        <v>42</v>
      </c>
      <c r="O967" t="s">
        <v>1197</v>
      </c>
      <c r="Q967" t="s">
        <v>44</v>
      </c>
      <c r="R967" t="s">
        <v>1619</v>
      </c>
      <c r="S967" t="s">
        <v>1620</v>
      </c>
      <c r="T967" t="s">
        <v>47</v>
      </c>
      <c r="U967" t="s">
        <v>72</v>
      </c>
      <c r="V967" t="s">
        <v>49</v>
      </c>
      <c r="W967" t="s">
        <v>73</v>
      </c>
      <c r="X967" t="s">
        <v>388</v>
      </c>
      <c r="Y967" t="s">
        <v>1553</v>
      </c>
      <c r="Z967" t="s">
        <v>1553</v>
      </c>
      <c r="AA967" t="s">
        <v>681</v>
      </c>
      <c r="AB967" s="3">
        <f t="shared" si="125"/>
        <v>24</v>
      </c>
      <c r="AC967">
        <v>9140.31</v>
      </c>
      <c r="AD967" s="2">
        <v>380.84625</v>
      </c>
      <c r="AE967" s="2">
        <v>1047.3</v>
      </c>
      <c r="AF967" s="2">
        <v>62.77</v>
      </c>
      <c r="AG967" s="2">
        <v>10250.379999999999</v>
      </c>
      <c r="AH967">
        <v>0</v>
      </c>
      <c r="AI967">
        <v>427.09916666666999</v>
      </c>
      <c r="AJ967">
        <v>51.251899999999999</v>
      </c>
      <c r="AK967" t="s">
        <v>54</v>
      </c>
      <c r="AL967">
        <v>528.72</v>
      </c>
      <c r="AM967" s="4">
        <f t="shared" si="126"/>
        <v>427.09916666666663</v>
      </c>
      <c r="AN967" s="4">
        <f t="shared" si="127"/>
        <v>714.08671875000005</v>
      </c>
      <c r="AO967" s="4">
        <f t="shared" si="128"/>
        <v>793.35034453125002</v>
      </c>
      <c r="AP967" s="4">
        <f t="shared" si="129"/>
        <v>1156.7490757031251</v>
      </c>
      <c r="AQ967" s="10">
        <f t="shared" si="122"/>
        <v>742.76816074999999</v>
      </c>
      <c r="AR967" s="10">
        <f t="shared" si="123"/>
        <v>825.28970340932494</v>
      </c>
      <c r="AS967" s="10">
        <f t="shared" si="124"/>
        <v>1156.3414726556</v>
      </c>
    </row>
    <row r="968" spans="1:45" x14ac:dyDescent="0.3">
      <c r="A968">
        <v>2025</v>
      </c>
      <c r="B968">
        <v>11</v>
      </c>
      <c r="C968" t="s">
        <v>35</v>
      </c>
      <c r="D968">
        <v>10</v>
      </c>
      <c r="E968" t="s">
        <v>36</v>
      </c>
      <c r="F968" t="s">
        <v>37</v>
      </c>
      <c r="G968" t="s">
        <v>38</v>
      </c>
      <c r="H968" t="s">
        <v>39</v>
      </c>
      <c r="I968" t="s">
        <v>1615</v>
      </c>
      <c r="K968" t="s">
        <v>1616</v>
      </c>
      <c r="L968" t="s">
        <v>1617</v>
      </c>
      <c r="M968" t="s">
        <v>1618</v>
      </c>
      <c r="N968" t="s">
        <v>42</v>
      </c>
      <c r="O968" t="s">
        <v>1197</v>
      </c>
      <c r="Q968" t="s">
        <v>44</v>
      </c>
      <c r="R968" t="s">
        <v>1619</v>
      </c>
      <c r="S968" t="s">
        <v>1620</v>
      </c>
      <c r="T968" t="s">
        <v>47</v>
      </c>
      <c r="U968" t="s">
        <v>72</v>
      </c>
      <c r="V968" t="s">
        <v>49</v>
      </c>
      <c r="W968" t="s">
        <v>73</v>
      </c>
      <c r="X968" t="s">
        <v>388</v>
      </c>
      <c r="Y968" t="s">
        <v>1553</v>
      </c>
      <c r="Z968" t="s">
        <v>1553</v>
      </c>
      <c r="AA968" t="s">
        <v>681</v>
      </c>
      <c r="AB968" s="3">
        <f t="shared" si="125"/>
        <v>24</v>
      </c>
      <c r="AC968">
        <v>9140.31</v>
      </c>
      <c r="AD968" s="2">
        <v>380.84625</v>
      </c>
      <c r="AE968" s="2">
        <v>1047.3</v>
      </c>
      <c r="AF968" s="2">
        <v>62.77</v>
      </c>
      <c r="AG968" s="2">
        <v>10250.379999999999</v>
      </c>
      <c r="AH968">
        <v>0</v>
      </c>
      <c r="AI968">
        <v>427.09916666666999</v>
      </c>
      <c r="AJ968">
        <v>51.251899999999999</v>
      </c>
      <c r="AK968" t="s">
        <v>54</v>
      </c>
      <c r="AL968">
        <v>528.72</v>
      </c>
      <c r="AM968" s="4">
        <f t="shared" si="126"/>
        <v>427.09916666666663</v>
      </c>
      <c r="AN968" s="4">
        <f t="shared" si="127"/>
        <v>714.08671875000005</v>
      </c>
      <c r="AO968" s="4">
        <f t="shared" si="128"/>
        <v>793.35034453125002</v>
      </c>
      <c r="AP968" s="4">
        <f t="shared" si="129"/>
        <v>1156.7490757031251</v>
      </c>
      <c r="AQ968" s="10">
        <f t="shared" si="122"/>
        <v>742.76816074999999</v>
      </c>
      <c r="AR968" s="10">
        <f t="shared" si="123"/>
        <v>825.28970340932494</v>
      </c>
      <c r="AS968" s="10">
        <f t="shared" si="124"/>
        <v>1156.3414726556</v>
      </c>
    </row>
    <row r="969" spans="1:45" x14ac:dyDescent="0.3">
      <c r="A969">
        <v>2025</v>
      </c>
      <c r="B969">
        <v>1</v>
      </c>
      <c r="C969" t="s">
        <v>35</v>
      </c>
      <c r="D969">
        <v>10</v>
      </c>
      <c r="E969" t="s">
        <v>36</v>
      </c>
      <c r="F969" t="s">
        <v>37</v>
      </c>
      <c r="G969" t="s">
        <v>38</v>
      </c>
      <c r="H969" t="s">
        <v>39</v>
      </c>
      <c r="J969" t="s">
        <v>40</v>
      </c>
      <c r="K969" t="s">
        <v>41</v>
      </c>
      <c r="M969">
        <v>431845</v>
      </c>
      <c r="N969" t="s">
        <v>42</v>
      </c>
      <c r="O969" t="s">
        <v>43</v>
      </c>
      <c r="Q969" t="s">
        <v>44</v>
      </c>
      <c r="R969" t="s">
        <v>45</v>
      </c>
      <c r="S969" t="s">
        <v>46</v>
      </c>
      <c r="T969" t="s">
        <v>47</v>
      </c>
      <c r="U969" t="s">
        <v>72</v>
      </c>
      <c r="V969" t="s">
        <v>49</v>
      </c>
      <c r="W969" t="s">
        <v>73</v>
      </c>
      <c r="X969" t="s">
        <v>51</v>
      </c>
      <c r="Y969" t="s">
        <v>1553</v>
      </c>
      <c r="Z969" t="s">
        <v>1553</v>
      </c>
      <c r="AA969" t="s">
        <v>681</v>
      </c>
      <c r="AB969" s="3">
        <f t="shared" si="125"/>
        <v>1</v>
      </c>
      <c r="AC969">
        <v>380.85</v>
      </c>
      <c r="AD969" s="2">
        <v>380.85</v>
      </c>
      <c r="AE969" s="2">
        <v>43.64</v>
      </c>
      <c r="AF969" s="2">
        <v>2.62</v>
      </c>
      <c r="AG969" s="2">
        <v>427.1</v>
      </c>
      <c r="AH969">
        <v>0</v>
      </c>
      <c r="AI969">
        <v>427.1</v>
      </c>
      <c r="AJ969">
        <v>2.1355</v>
      </c>
      <c r="AK969" t="s">
        <v>54</v>
      </c>
      <c r="AL969">
        <v>22.3</v>
      </c>
      <c r="AM969" s="4">
        <f t="shared" si="126"/>
        <v>427.1</v>
      </c>
      <c r="AN969" s="4">
        <f t="shared" si="127"/>
        <v>714.09375</v>
      </c>
      <c r="AO969" s="4">
        <f t="shared" si="128"/>
        <v>793.35815624999998</v>
      </c>
      <c r="AP969" s="4">
        <f t="shared" si="129"/>
        <v>1156.7604656249998</v>
      </c>
      <c r="AQ969" s="10">
        <f t="shared" si="122"/>
        <v>742.76961000000006</v>
      </c>
      <c r="AR969" s="10">
        <f t="shared" si="123"/>
        <v>825.29131367100001</v>
      </c>
      <c r="AS969" s="10">
        <f t="shared" si="124"/>
        <v>1156.343728848</v>
      </c>
    </row>
    <row r="970" spans="1:45" x14ac:dyDescent="0.3">
      <c r="A970">
        <v>2025</v>
      </c>
      <c r="B970">
        <v>1</v>
      </c>
      <c r="C970" t="s">
        <v>35</v>
      </c>
      <c r="D970">
        <v>10</v>
      </c>
      <c r="E970" t="s">
        <v>36</v>
      </c>
      <c r="F970" t="s">
        <v>37</v>
      </c>
      <c r="G970" t="s">
        <v>38</v>
      </c>
      <c r="H970" t="s">
        <v>39</v>
      </c>
      <c r="J970" t="s">
        <v>40</v>
      </c>
      <c r="K970" t="s">
        <v>41</v>
      </c>
      <c r="M970">
        <v>431845</v>
      </c>
      <c r="N970" t="s">
        <v>42</v>
      </c>
      <c r="O970" t="s">
        <v>43</v>
      </c>
      <c r="Q970" t="s">
        <v>44</v>
      </c>
      <c r="R970" t="s">
        <v>45</v>
      </c>
      <c r="S970" t="s">
        <v>46</v>
      </c>
      <c r="T970" t="s">
        <v>47</v>
      </c>
      <c r="U970" t="s">
        <v>72</v>
      </c>
      <c r="V970" t="s">
        <v>49</v>
      </c>
      <c r="W970" t="s">
        <v>73</v>
      </c>
      <c r="X970" t="s">
        <v>51</v>
      </c>
      <c r="Y970" t="s">
        <v>74</v>
      </c>
      <c r="Z970" t="s">
        <v>74</v>
      </c>
      <c r="AA970" t="s">
        <v>76</v>
      </c>
      <c r="AB970" s="3">
        <f t="shared" si="125"/>
        <v>1</v>
      </c>
      <c r="AC970">
        <v>3795.52</v>
      </c>
      <c r="AD970" s="2">
        <v>3795.52</v>
      </c>
      <c r="AE970" s="2">
        <v>180.53</v>
      </c>
      <c r="AF970" s="2">
        <v>24.82</v>
      </c>
      <c r="AG970" s="2">
        <v>4000.88</v>
      </c>
      <c r="AH970">
        <v>0</v>
      </c>
      <c r="AI970">
        <v>4000.88</v>
      </c>
      <c r="AJ970">
        <v>20.0044</v>
      </c>
      <c r="AK970" t="s">
        <v>54</v>
      </c>
      <c r="AL970">
        <v>359.72</v>
      </c>
      <c r="AM970" s="4">
        <f t="shared" si="126"/>
        <v>4000.88</v>
      </c>
      <c r="AN970" s="4">
        <f t="shared" si="127"/>
        <v>7116.6</v>
      </c>
      <c r="AO970" s="4">
        <f t="shared" si="128"/>
        <v>7906.5426000000007</v>
      </c>
      <c r="AP970" s="4">
        <f t="shared" si="129"/>
        <v>11528.180339999999</v>
      </c>
      <c r="AQ970" s="10">
        <f t="shared" si="122"/>
        <v>6957.9304080000002</v>
      </c>
      <c r="AR970" s="10">
        <f t="shared" si="123"/>
        <v>7730.9564763287999</v>
      </c>
      <c r="AS970" s="10">
        <f t="shared" si="124"/>
        <v>10832.106059174401</v>
      </c>
    </row>
    <row r="971" spans="1:45" x14ac:dyDescent="0.3">
      <c r="A971">
        <v>2025</v>
      </c>
      <c r="B971">
        <v>1</v>
      </c>
      <c r="C971" t="s">
        <v>35</v>
      </c>
      <c r="D971">
        <v>10</v>
      </c>
      <c r="E971" t="s">
        <v>36</v>
      </c>
      <c r="F971" t="s">
        <v>37</v>
      </c>
      <c r="G971" t="s">
        <v>38</v>
      </c>
      <c r="H971" t="s">
        <v>39</v>
      </c>
      <c r="J971" t="s">
        <v>40</v>
      </c>
      <c r="K971" t="s">
        <v>41</v>
      </c>
      <c r="M971">
        <v>431845</v>
      </c>
      <c r="N971" t="s">
        <v>42</v>
      </c>
      <c r="O971" t="s">
        <v>43</v>
      </c>
      <c r="Q971" t="s">
        <v>44</v>
      </c>
      <c r="R971" t="s">
        <v>45</v>
      </c>
      <c r="S971" t="s">
        <v>46</v>
      </c>
      <c r="T971" t="s">
        <v>47</v>
      </c>
      <c r="U971" t="s">
        <v>72</v>
      </c>
      <c r="V971" t="s">
        <v>49</v>
      </c>
      <c r="W971" t="s">
        <v>73</v>
      </c>
      <c r="X971" t="s">
        <v>51</v>
      </c>
      <c r="Y971" t="s">
        <v>74</v>
      </c>
      <c r="Z971" t="s">
        <v>74</v>
      </c>
      <c r="AA971" t="s">
        <v>76</v>
      </c>
      <c r="AB971" s="3">
        <f t="shared" si="125"/>
        <v>1</v>
      </c>
      <c r="AC971">
        <v>3795.52</v>
      </c>
      <c r="AD971" s="2">
        <v>3795.52</v>
      </c>
      <c r="AE971" s="2">
        <v>180.53</v>
      </c>
      <c r="AF971" s="2">
        <v>24.82</v>
      </c>
      <c r="AG971" s="2">
        <v>4000.88</v>
      </c>
      <c r="AH971">
        <v>0</v>
      </c>
      <c r="AI971">
        <v>4000.88</v>
      </c>
      <c r="AJ971">
        <v>20.0044</v>
      </c>
      <c r="AK971" t="s">
        <v>54</v>
      </c>
      <c r="AL971">
        <v>359.72</v>
      </c>
      <c r="AM971" s="4">
        <f t="shared" si="126"/>
        <v>4000.88</v>
      </c>
      <c r="AN971" s="4">
        <f t="shared" si="127"/>
        <v>7116.6</v>
      </c>
      <c r="AO971" s="4">
        <f t="shared" si="128"/>
        <v>7906.5426000000007</v>
      </c>
      <c r="AP971" s="4">
        <f t="shared" si="129"/>
        <v>11528.180339999999</v>
      </c>
      <c r="AQ971" s="10">
        <f t="shared" si="122"/>
        <v>6957.9304080000002</v>
      </c>
      <c r="AR971" s="10">
        <f t="shared" si="123"/>
        <v>7730.9564763287999</v>
      </c>
      <c r="AS971" s="10">
        <f t="shared" si="124"/>
        <v>10832.106059174401</v>
      </c>
    </row>
    <row r="972" spans="1:45" x14ac:dyDescent="0.3">
      <c r="A972">
        <v>2025</v>
      </c>
      <c r="B972">
        <v>1</v>
      </c>
      <c r="C972" t="s">
        <v>35</v>
      </c>
      <c r="D972">
        <v>10</v>
      </c>
      <c r="E972" t="s">
        <v>36</v>
      </c>
      <c r="F972" t="s">
        <v>37</v>
      </c>
      <c r="G972" t="s">
        <v>38</v>
      </c>
      <c r="H972" t="s">
        <v>39</v>
      </c>
      <c r="J972" t="s">
        <v>40</v>
      </c>
      <c r="K972" t="s">
        <v>41</v>
      </c>
      <c r="M972">
        <v>431845</v>
      </c>
      <c r="N972" t="s">
        <v>42</v>
      </c>
      <c r="O972" t="s">
        <v>43</v>
      </c>
      <c r="Q972" t="s">
        <v>44</v>
      </c>
      <c r="R972" t="s">
        <v>45</v>
      </c>
      <c r="S972" t="s">
        <v>46</v>
      </c>
      <c r="T972" t="s">
        <v>47</v>
      </c>
      <c r="U972" t="s">
        <v>72</v>
      </c>
      <c r="V972" t="s">
        <v>49</v>
      </c>
      <c r="W972" t="s">
        <v>73</v>
      </c>
      <c r="X972" t="s">
        <v>51</v>
      </c>
      <c r="Y972" t="s">
        <v>74</v>
      </c>
      <c r="Z972" t="s">
        <v>74</v>
      </c>
      <c r="AA972" t="s">
        <v>76</v>
      </c>
      <c r="AB972" s="3">
        <f t="shared" si="125"/>
        <v>1</v>
      </c>
      <c r="AC972">
        <v>3795.52</v>
      </c>
      <c r="AD972" s="2">
        <v>3795.52</v>
      </c>
      <c r="AE972" s="2">
        <v>180.53</v>
      </c>
      <c r="AF972" s="2">
        <v>24.82</v>
      </c>
      <c r="AG972" s="2">
        <v>4000.88</v>
      </c>
      <c r="AH972">
        <v>0</v>
      </c>
      <c r="AI972">
        <v>4000.88</v>
      </c>
      <c r="AJ972">
        <v>20.0044</v>
      </c>
      <c r="AK972" t="s">
        <v>54</v>
      </c>
      <c r="AL972">
        <v>359.72</v>
      </c>
      <c r="AM972" s="4">
        <f t="shared" si="126"/>
        <v>4000.88</v>
      </c>
      <c r="AN972" s="4">
        <f t="shared" si="127"/>
        <v>7116.6</v>
      </c>
      <c r="AO972" s="4">
        <f t="shared" si="128"/>
        <v>7906.5426000000007</v>
      </c>
      <c r="AP972" s="4">
        <f t="shared" si="129"/>
        <v>11528.180339999999</v>
      </c>
      <c r="AQ972" s="10">
        <f t="shared" si="122"/>
        <v>6957.9304080000002</v>
      </c>
      <c r="AR972" s="10">
        <f t="shared" si="123"/>
        <v>7730.9564763287999</v>
      </c>
      <c r="AS972" s="10">
        <f t="shared" si="124"/>
        <v>10832.106059174401</v>
      </c>
    </row>
    <row r="973" spans="1:45" x14ac:dyDescent="0.3">
      <c r="A973">
        <v>2025</v>
      </c>
      <c r="B973">
        <v>1</v>
      </c>
      <c r="C973" t="s">
        <v>35</v>
      </c>
      <c r="D973">
        <v>10</v>
      </c>
      <c r="E973" t="s">
        <v>36</v>
      </c>
      <c r="F973" t="s">
        <v>37</v>
      </c>
      <c r="G973" t="s">
        <v>38</v>
      </c>
      <c r="H973" t="s">
        <v>39</v>
      </c>
      <c r="J973" t="s">
        <v>40</v>
      </c>
      <c r="K973" t="s">
        <v>41</v>
      </c>
      <c r="M973">
        <v>431845</v>
      </c>
      <c r="N973" t="s">
        <v>42</v>
      </c>
      <c r="O973" t="s">
        <v>43</v>
      </c>
      <c r="Q973" t="s">
        <v>44</v>
      </c>
      <c r="R973" t="s">
        <v>45</v>
      </c>
      <c r="S973" t="s">
        <v>46</v>
      </c>
      <c r="T973" t="s">
        <v>47</v>
      </c>
      <c r="U973" t="s">
        <v>72</v>
      </c>
      <c r="V973" t="s">
        <v>49</v>
      </c>
      <c r="W973" t="s">
        <v>73</v>
      </c>
      <c r="X973" t="s">
        <v>51</v>
      </c>
      <c r="Y973" t="s">
        <v>74</v>
      </c>
      <c r="Z973" t="s">
        <v>74</v>
      </c>
      <c r="AA973" t="s">
        <v>76</v>
      </c>
      <c r="AB973" s="3">
        <f t="shared" si="125"/>
        <v>1</v>
      </c>
      <c r="AC973">
        <v>3795.52</v>
      </c>
      <c r="AD973" s="2">
        <v>3795.52</v>
      </c>
      <c r="AE973" s="2">
        <v>180.53</v>
      </c>
      <c r="AF973" s="2">
        <v>24.82</v>
      </c>
      <c r="AG973" s="2">
        <v>4000.88</v>
      </c>
      <c r="AH973">
        <v>0</v>
      </c>
      <c r="AI973">
        <v>4000.88</v>
      </c>
      <c r="AJ973">
        <v>20.0044</v>
      </c>
      <c r="AK973" t="s">
        <v>54</v>
      </c>
      <c r="AL973">
        <v>359.72</v>
      </c>
      <c r="AM973" s="4">
        <f t="shared" si="126"/>
        <v>4000.88</v>
      </c>
      <c r="AN973" s="4">
        <f t="shared" si="127"/>
        <v>7116.6</v>
      </c>
      <c r="AO973" s="4">
        <f t="shared" si="128"/>
        <v>7906.5426000000007</v>
      </c>
      <c r="AP973" s="4">
        <f t="shared" si="129"/>
        <v>11528.180339999999</v>
      </c>
      <c r="AQ973" s="10">
        <f t="shared" si="122"/>
        <v>6957.9304080000002</v>
      </c>
      <c r="AR973" s="10">
        <f t="shared" si="123"/>
        <v>7730.9564763287999</v>
      </c>
      <c r="AS973" s="10">
        <f t="shared" si="124"/>
        <v>10832.106059174401</v>
      </c>
    </row>
    <row r="974" spans="1:45" x14ac:dyDescent="0.3">
      <c r="A974">
        <v>2025</v>
      </c>
      <c r="B974">
        <v>4</v>
      </c>
      <c r="C974" t="s">
        <v>55</v>
      </c>
      <c r="D974">
        <v>10</v>
      </c>
      <c r="E974" t="s">
        <v>36</v>
      </c>
      <c r="F974" t="s">
        <v>37</v>
      </c>
      <c r="G974" t="s">
        <v>38</v>
      </c>
      <c r="H974" t="s">
        <v>83</v>
      </c>
      <c r="I974" t="s">
        <v>375</v>
      </c>
      <c r="J974" t="s">
        <v>376</v>
      </c>
      <c r="K974" t="s">
        <v>59</v>
      </c>
      <c r="M974">
        <v>2503061</v>
      </c>
      <c r="N974" t="s">
        <v>377</v>
      </c>
      <c r="O974" t="s">
        <v>36</v>
      </c>
      <c r="Q974" t="s">
        <v>62</v>
      </c>
      <c r="R974" t="s">
        <v>378</v>
      </c>
      <c r="S974" t="s">
        <v>378</v>
      </c>
      <c r="T974" t="s">
        <v>47</v>
      </c>
      <c r="U974" t="s">
        <v>118</v>
      </c>
      <c r="V974" t="s">
        <v>49</v>
      </c>
      <c r="W974" t="s">
        <v>119</v>
      </c>
      <c r="X974" t="s">
        <v>51</v>
      </c>
      <c r="Y974" t="s">
        <v>74</v>
      </c>
      <c r="Z974" t="s">
        <v>74</v>
      </c>
      <c r="AA974" t="s">
        <v>76</v>
      </c>
      <c r="AB974" s="3">
        <f t="shared" si="125"/>
        <v>1</v>
      </c>
      <c r="AC974">
        <v>3795.52</v>
      </c>
      <c r="AD974" s="2">
        <v>3795.52</v>
      </c>
      <c r="AE974" s="2">
        <v>180.53</v>
      </c>
      <c r="AF974" s="2">
        <v>24.82</v>
      </c>
      <c r="AG974" s="2">
        <v>4000.88</v>
      </c>
      <c r="AH974">
        <v>0</v>
      </c>
      <c r="AI974">
        <v>4000.88</v>
      </c>
      <c r="AJ974">
        <v>20.0044</v>
      </c>
      <c r="AK974" t="s">
        <v>54</v>
      </c>
      <c r="AL974">
        <v>359.72</v>
      </c>
      <c r="AM974" s="4">
        <f t="shared" si="126"/>
        <v>4000.88</v>
      </c>
      <c r="AN974" s="4">
        <f t="shared" si="127"/>
        <v>7116.6</v>
      </c>
      <c r="AO974" s="4">
        <f t="shared" si="128"/>
        <v>7906.5426000000007</v>
      </c>
      <c r="AP974" s="4">
        <f t="shared" si="129"/>
        <v>11528.180339999999</v>
      </c>
      <c r="AQ974" s="10">
        <f t="shared" si="122"/>
        <v>6957.9304080000002</v>
      </c>
      <c r="AR974" s="10">
        <f t="shared" si="123"/>
        <v>7730.9564763287999</v>
      </c>
      <c r="AS974" s="10">
        <f t="shared" si="124"/>
        <v>10832.106059174401</v>
      </c>
    </row>
    <row r="975" spans="1:45" x14ac:dyDescent="0.3">
      <c r="A975">
        <v>2025</v>
      </c>
      <c r="B975">
        <v>11</v>
      </c>
      <c r="C975" t="s">
        <v>55</v>
      </c>
      <c r="D975">
        <v>10</v>
      </c>
      <c r="E975" t="s">
        <v>36</v>
      </c>
      <c r="F975" t="s">
        <v>37</v>
      </c>
      <c r="G975" t="s">
        <v>38</v>
      </c>
      <c r="H975" t="s">
        <v>83</v>
      </c>
      <c r="I975" t="s">
        <v>190</v>
      </c>
      <c r="J975" t="s">
        <v>58</v>
      </c>
      <c r="K975" t="s">
        <v>59</v>
      </c>
      <c r="L975" t="s">
        <v>1629</v>
      </c>
      <c r="M975" t="s">
        <v>1630</v>
      </c>
      <c r="N975" t="s">
        <v>1485</v>
      </c>
      <c r="O975" t="s">
        <v>1197</v>
      </c>
      <c r="Q975" t="s">
        <v>62</v>
      </c>
      <c r="R975" t="s">
        <v>1631</v>
      </c>
      <c r="S975" t="s">
        <v>1631</v>
      </c>
      <c r="T975" t="s">
        <v>47</v>
      </c>
      <c r="U975" t="s">
        <v>167</v>
      </c>
      <c r="V975" t="s">
        <v>49</v>
      </c>
      <c r="W975" t="s">
        <v>168</v>
      </c>
      <c r="X975" t="s">
        <v>1578</v>
      </c>
      <c r="Y975" t="s">
        <v>485</v>
      </c>
      <c r="Z975" t="s">
        <v>485</v>
      </c>
      <c r="AA975" t="s">
        <v>486</v>
      </c>
      <c r="AB975" s="3">
        <f t="shared" si="125"/>
        <v>4</v>
      </c>
      <c r="AC975">
        <v>816.94</v>
      </c>
      <c r="AD975" s="2">
        <v>204.23500000000001</v>
      </c>
      <c r="AE975" s="2">
        <v>60.35</v>
      </c>
      <c r="AF975" s="2">
        <v>5.8</v>
      </c>
      <c r="AG975" s="2">
        <v>883.09</v>
      </c>
      <c r="AH975">
        <v>0</v>
      </c>
      <c r="AI975">
        <v>220.77250000000001</v>
      </c>
      <c r="AJ975">
        <v>4.4154499999999999</v>
      </c>
      <c r="AK975" t="s">
        <v>54</v>
      </c>
      <c r="AL975">
        <v>2.88</v>
      </c>
      <c r="AM975" s="4">
        <f t="shared" si="126"/>
        <v>220.77250000000001</v>
      </c>
      <c r="AN975" s="4">
        <f t="shared" si="127"/>
        <v>382.94062500000001</v>
      </c>
      <c r="AO975" s="4">
        <f t="shared" si="128"/>
        <v>425.44703437499999</v>
      </c>
      <c r="AP975" s="4">
        <f t="shared" si="129"/>
        <v>620.32551843750002</v>
      </c>
      <c r="AQ975" s="10">
        <f t="shared" si="122"/>
        <v>383.94545475000001</v>
      </c>
      <c r="AR975" s="10">
        <f t="shared" si="123"/>
        <v>426.60179477272499</v>
      </c>
      <c r="AS975" s="10">
        <f t="shared" si="124"/>
        <v>597.72628395480001</v>
      </c>
    </row>
    <row r="976" spans="1:45" x14ac:dyDescent="0.3">
      <c r="A976">
        <v>2025</v>
      </c>
      <c r="B976">
        <v>12</v>
      </c>
      <c r="C976" t="s">
        <v>55</v>
      </c>
      <c r="D976">
        <v>10</v>
      </c>
      <c r="E976" t="s">
        <v>36</v>
      </c>
      <c r="F976" t="s">
        <v>37</v>
      </c>
      <c r="G976" t="s">
        <v>38</v>
      </c>
      <c r="H976" t="s">
        <v>83</v>
      </c>
      <c r="I976" t="s">
        <v>57</v>
      </c>
      <c r="J976" t="s">
        <v>58</v>
      </c>
      <c r="K976" t="s">
        <v>59</v>
      </c>
      <c r="L976" t="s">
        <v>1769</v>
      </c>
      <c r="M976" t="s">
        <v>1770</v>
      </c>
      <c r="N976" t="s">
        <v>1771</v>
      </c>
      <c r="O976" t="s">
        <v>1197</v>
      </c>
      <c r="Q976" t="s">
        <v>62</v>
      </c>
      <c r="R976" t="s">
        <v>1772</v>
      </c>
      <c r="S976" t="s">
        <v>1772</v>
      </c>
      <c r="T976" t="s">
        <v>47</v>
      </c>
      <c r="U976" t="s">
        <v>167</v>
      </c>
      <c r="V976" t="s">
        <v>49</v>
      </c>
      <c r="W976" t="s">
        <v>168</v>
      </c>
      <c r="X976" t="s">
        <v>51</v>
      </c>
      <c r="Y976" t="s">
        <v>1734</v>
      </c>
      <c r="Z976" t="s">
        <v>1734</v>
      </c>
      <c r="AA976" t="s">
        <v>486</v>
      </c>
      <c r="AB976" s="3">
        <f t="shared" si="125"/>
        <v>2</v>
      </c>
      <c r="AC976">
        <v>341.9</v>
      </c>
      <c r="AD976" s="2">
        <v>170.95</v>
      </c>
      <c r="AE976" s="2">
        <v>88.81</v>
      </c>
      <c r="AF976" s="2">
        <v>2.63</v>
      </c>
      <c r="AG976" s="2">
        <v>432.52</v>
      </c>
      <c r="AH976">
        <v>0</v>
      </c>
      <c r="AI976">
        <v>216.26</v>
      </c>
      <c r="AJ976">
        <v>2.1625999999999999</v>
      </c>
      <c r="AK976" t="s">
        <v>54</v>
      </c>
      <c r="AL976">
        <v>4.29</v>
      </c>
      <c r="AM976" s="4">
        <f t="shared" si="126"/>
        <v>216.26</v>
      </c>
      <c r="AN976" s="4">
        <f t="shared" si="127"/>
        <v>320.53125</v>
      </c>
      <c r="AO976" s="4">
        <f t="shared" si="128"/>
        <v>356.11021875</v>
      </c>
      <c r="AP976" s="4">
        <f t="shared" si="129"/>
        <v>519.22857187499994</v>
      </c>
      <c r="AQ976" s="10">
        <f t="shared" si="122"/>
        <v>376.09776599999998</v>
      </c>
      <c r="AR976" s="10">
        <f t="shared" si="123"/>
        <v>417.88222780259997</v>
      </c>
      <c r="AS976" s="10">
        <f t="shared" si="124"/>
        <v>585.5090021087999</v>
      </c>
    </row>
    <row r="977" spans="1:45" x14ac:dyDescent="0.3">
      <c r="A977">
        <v>2025</v>
      </c>
      <c r="B977">
        <v>10</v>
      </c>
      <c r="C977" t="s">
        <v>55</v>
      </c>
      <c r="D977">
        <v>10</v>
      </c>
      <c r="E977" t="s">
        <v>36</v>
      </c>
      <c r="F977" t="s">
        <v>37</v>
      </c>
      <c r="G977" t="s">
        <v>38</v>
      </c>
      <c r="H977" t="s">
        <v>83</v>
      </c>
      <c r="I977" t="s">
        <v>375</v>
      </c>
      <c r="J977" t="s">
        <v>376</v>
      </c>
      <c r="K977" t="s">
        <v>59</v>
      </c>
      <c r="L977" t="s">
        <v>1549</v>
      </c>
      <c r="M977" t="s">
        <v>1550</v>
      </c>
      <c r="N977" t="s">
        <v>1551</v>
      </c>
      <c r="O977" t="s">
        <v>1197</v>
      </c>
      <c r="Q977" t="s">
        <v>62</v>
      </c>
      <c r="R977" t="s">
        <v>1552</v>
      </c>
      <c r="S977" t="s">
        <v>1552</v>
      </c>
      <c r="T977" t="s">
        <v>47</v>
      </c>
      <c r="U977" t="s">
        <v>178</v>
      </c>
      <c r="V977" t="s">
        <v>49</v>
      </c>
      <c r="W977" t="s">
        <v>179</v>
      </c>
      <c r="X977" t="s">
        <v>51</v>
      </c>
      <c r="Y977" t="s">
        <v>1734</v>
      </c>
      <c r="Z977" t="s">
        <v>1734</v>
      </c>
      <c r="AA977" t="s">
        <v>486</v>
      </c>
      <c r="AB977" s="3">
        <f t="shared" si="125"/>
        <v>8</v>
      </c>
      <c r="AC977">
        <v>1370.46</v>
      </c>
      <c r="AD977" s="2">
        <v>171.3075</v>
      </c>
      <c r="AE977" s="2">
        <v>406.84</v>
      </c>
      <c r="AF977" s="2">
        <v>10.29</v>
      </c>
      <c r="AG977" s="2">
        <v>1787.58</v>
      </c>
      <c r="AH977">
        <v>0</v>
      </c>
      <c r="AI977">
        <v>223.44749999999999</v>
      </c>
      <c r="AJ977">
        <v>8.9379000000000008</v>
      </c>
      <c r="AK977" t="s">
        <v>54</v>
      </c>
      <c r="AL977">
        <v>10.18</v>
      </c>
      <c r="AM977" s="4">
        <f t="shared" si="126"/>
        <v>223.44749999999999</v>
      </c>
      <c r="AN977" s="4">
        <f t="shared" si="127"/>
        <v>321.20156250000002</v>
      </c>
      <c r="AO977" s="4">
        <f t="shared" si="128"/>
        <v>356.85493593750004</v>
      </c>
      <c r="AP977" s="4">
        <f t="shared" si="129"/>
        <v>520.31441109374998</v>
      </c>
      <c r="AQ977" s="10">
        <f t="shared" si="122"/>
        <v>388.59754724999999</v>
      </c>
      <c r="AR977" s="10">
        <f t="shared" si="123"/>
        <v>431.77073474947497</v>
      </c>
      <c r="AS977" s="10">
        <f t="shared" si="124"/>
        <v>604.96866155880002</v>
      </c>
    </row>
    <row r="978" spans="1:45" x14ac:dyDescent="0.3">
      <c r="A978">
        <v>2025</v>
      </c>
      <c r="B978">
        <v>11</v>
      </c>
      <c r="C978" t="s">
        <v>55</v>
      </c>
      <c r="D978">
        <v>10</v>
      </c>
      <c r="E978" t="s">
        <v>36</v>
      </c>
      <c r="F978" t="s">
        <v>37</v>
      </c>
      <c r="G978" t="s">
        <v>38</v>
      </c>
      <c r="H978" t="s">
        <v>83</v>
      </c>
      <c r="I978" t="s">
        <v>375</v>
      </c>
      <c r="J978" t="s">
        <v>376</v>
      </c>
      <c r="K978" t="s">
        <v>59</v>
      </c>
      <c r="L978" t="s">
        <v>1647</v>
      </c>
      <c r="M978" t="s">
        <v>1633</v>
      </c>
      <c r="N978" t="s">
        <v>1485</v>
      </c>
      <c r="O978" t="s">
        <v>1197</v>
      </c>
      <c r="Q978" t="s">
        <v>62</v>
      </c>
      <c r="R978" t="s">
        <v>1648</v>
      </c>
      <c r="S978" t="s">
        <v>1648</v>
      </c>
      <c r="T978" t="s">
        <v>47</v>
      </c>
      <c r="U978" t="s">
        <v>356</v>
      </c>
      <c r="V978" t="s">
        <v>49</v>
      </c>
      <c r="W978" t="s">
        <v>357</v>
      </c>
      <c r="X978" t="s">
        <v>51</v>
      </c>
      <c r="Y978" t="s">
        <v>1608</v>
      </c>
      <c r="Z978" t="s">
        <v>1608</v>
      </c>
      <c r="AA978" t="s">
        <v>1609</v>
      </c>
      <c r="AB978" s="3">
        <f t="shared" si="125"/>
        <v>1</v>
      </c>
      <c r="AC978">
        <v>730.39</v>
      </c>
      <c r="AD978" s="2">
        <v>730.39</v>
      </c>
      <c r="AE978" s="2">
        <v>333.84</v>
      </c>
      <c r="AF978" s="2">
        <v>6.51</v>
      </c>
      <c r="AG978" s="2">
        <v>1070.74</v>
      </c>
      <c r="AH978">
        <v>0</v>
      </c>
      <c r="AI978">
        <v>1070.74</v>
      </c>
      <c r="AJ978">
        <v>5.3536999999999999</v>
      </c>
      <c r="AK978" t="s">
        <v>54</v>
      </c>
      <c r="AL978">
        <v>15.12</v>
      </c>
      <c r="AM978" s="4">
        <f t="shared" si="126"/>
        <v>1070.74</v>
      </c>
      <c r="AN978" s="4">
        <f t="shared" si="127"/>
        <v>1369.48125</v>
      </c>
      <c r="AO978" s="4">
        <f t="shared" si="128"/>
        <v>1521.4936687500001</v>
      </c>
      <c r="AP978" s="4">
        <f t="shared" si="129"/>
        <v>2218.422676875</v>
      </c>
      <c r="AQ978" s="10">
        <f t="shared" si="122"/>
        <v>1862.1239340000002</v>
      </c>
      <c r="AR978" s="10">
        <f t="shared" si="123"/>
        <v>2069.0059030674001</v>
      </c>
      <c r="AS978" s="10">
        <f t="shared" si="124"/>
        <v>2898.9545404512</v>
      </c>
    </row>
    <row r="979" spans="1:45" x14ac:dyDescent="0.3">
      <c r="A979">
        <v>2025</v>
      </c>
      <c r="B979">
        <v>11</v>
      </c>
      <c r="C979" t="s">
        <v>55</v>
      </c>
      <c r="D979">
        <v>10</v>
      </c>
      <c r="E979" t="s">
        <v>36</v>
      </c>
      <c r="F979" t="s">
        <v>37</v>
      </c>
      <c r="G979" t="s">
        <v>38</v>
      </c>
      <c r="H979" t="s">
        <v>83</v>
      </c>
      <c r="I979" t="s">
        <v>375</v>
      </c>
      <c r="J979" t="s">
        <v>376</v>
      </c>
      <c r="K979" t="s">
        <v>59</v>
      </c>
      <c r="L979" t="s">
        <v>1647</v>
      </c>
      <c r="M979" t="s">
        <v>1633</v>
      </c>
      <c r="N979" t="s">
        <v>1485</v>
      </c>
      <c r="O979" t="s">
        <v>1197</v>
      </c>
      <c r="Q979" t="s">
        <v>62</v>
      </c>
      <c r="R979" t="s">
        <v>1648</v>
      </c>
      <c r="S979" t="s">
        <v>1648</v>
      </c>
      <c r="T979" t="s">
        <v>47</v>
      </c>
      <c r="U979" t="s">
        <v>356</v>
      </c>
      <c r="V979" t="s">
        <v>49</v>
      </c>
      <c r="W979" t="s">
        <v>357</v>
      </c>
      <c r="X979" t="s">
        <v>51</v>
      </c>
      <c r="Y979" t="s">
        <v>610</v>
      </c>
      <c r="Z979" t="s">
        <v>610</v>
      </c>
      <c r="AA979" t="s">
        <v>1741</v>
      </c>
      <c r="AB979" s="3">
        <f t="shared" si="125"/>
        <v>1</v>
      </c>
      <c r="AC979">
        <v>562.95000000000005</v>
      </c>
      <c r="AD979" s="2">
        <v>562.95000000000005</v>
      </c>
      <c r="AE979" s="2">
        <v>189.33</v>
      </c>
      <c r="AF979" s="2">
        <v>4.46</v>
      </c>
      <c r="AG979" s="2">
        <v>756.74</v>
      </c>
      <c r="AH979">
        <v>0</v>
      </c>
      <c r="AI979">
        <v>756.74</v>
      </c>
      <c r="AJ979">
        <v>3.7837000000000001</v>
      </c>
      <c r="AK979" t="s">
        <v>54</v>
      </c>
      <c r="AL979">
        <v>4.87</v>
      </c>
      <c r="AM979" s="4">
        <f t="shared" si="126"/>
        <v>756.74</v>
      </c>
      <c r="AN979" s="4">
        <f t="shared" si="127"/>
        <v>1055.53125</v>
      </c>
      <c r="AO979" s="4">
        <f t="shared" si="128"/>
        <v>1172.6952187500001</v>
      </c>
      <c r="AP979" s="4">
        <f t="shared" si="129"/>
        <v>1709.8550718749998</v>
      </c>
      <c r="AQ979" s="10">
        <f t="shared" si="122"/>
        <v>1316.0465340000001</v>
      </c>
      <c r="AR979" s="10">
        <f t="shared" si="123"/>
        <v>1462.2593039274</v>
      </c>
      <c r="AS979" s="10">
        <f t="shared" si="124"/>
        <v>2048.8212441312003</v>
      </c>
    </row>
    <row r="980" spans="1:45" x14ac:dyDescent="0.3">
      <c r="A980">
        <v>2025</v>
      </c>
      <c r="B980">
        <v>8</v>
      </c>
      <c r="C980" t="s">
        <v>55</v>
      </c>
      <c r="D980">
        <v>10</v>
      </c>
      <c r="E980" t="s">
        <v>36</v>
      </c>
      <c r="F980" t="s">
        <v>37</v>
      </c>
      <c r="G980" t="s">
        <v>38</v>
      </c>
      <c r="H980" t="s">
        <v>83</v>
      </c>
      <c r="I980" t="s">
        <v>190</v>
      </c>
      <c r="J980" t="s">
        <v>58</v>
      </c>
      <c r="K980" t="s">
        <v>59</v>
      </c>
      <c r="L980" t="s">
        <v>1194</v>
      </c>
      <c r="M980" t="s">
        <v>1195</v>
      </c>
      <c r="N980" t="s">
        <v>1196</v>
      </c>
      <c r="O980" t="s">
        <v>1197</v>
      </c>
      <c r="Q980" t="s">
        <v>62</v>
      </c>
      <c r="R980" t="s">
        <v>1198</v>
      </c>
      <c r="S980" t="s">
        <v>1198</v>
      </c>
      <c r="T980" t="s">
        <v>47</v>
      </c>
      <c r="U980" t="s">
        <v>178</v>
      </c>
      <c r="V980" t="s">
        <v>49</v>
      </c>
      <c r="W980" t="s">
        <v>179</v>
      </c>
      <c r="X980" t="s">
        <v>388</v>
      </c>
      <c r="Y980" t="s">
        <v>610</v>
      </c>
      <c r="Z980" t="s">
        <v>610</v>
      </c>
      <c r="AA980" t="s">
        <v>1740</v>
      </c>
      <c r="AB980" s="3">
        <f t="shared" si="125"/>
        <v>1</v>
      </c>
      <c r="AC980">
        <v>809.32</v>
      </c>
      <c r="AD980" s="2">
        <v>809.32</v>
      </c>
      <c r="AE980" s="2">
        <v>271.75</v>
      </c>
      <c r="AF980" s="2">
        <v>6.41</v>
      </c>
      <c r="AG980" s="2">
        <v>1087.48</v>
      </c>
      <c r="AH980">
        <v>0</v>
      </c>
      <c r="AI980">
        <v>1087.48</v>
      </c>
      <c r="AJ980">
        <v>5.4374000000000002</v>
      </c>
      <c r="AK980" t="s">
        <v>54</v>
      </c>
      <c r="AL980">
        <v>6.99</v>
      </c>
      <c r="AM980" s="4">
        <f t="shared" si="126"/>
        <v>1087.48</v>
      </c>
      <c r="AN980" s="4">
        <f t="shared" si="127"/>
        <v>1517.4750000000001</v>
      </c>
      <c r="AO980" s="4">
        <f t="shared" si="128"/>
        <v>1685.9147250000001</v>
      </c>
      <c r="AP980" s="4">
        <f t="shared" si="129"/>
        <v>2458.1577525000002</v>
      </c>
      <c r="AQ980" s="10">
        <f t="shared" si="122"/>
        <v>1891.2364680000001</v>
      </c>
      <c r="AR980" s="10">
        <f t="shared" si="123"/>
        <v>2101.3528395948001</v>
      </c>
      <c r="AS980" s="10">
        <f t="shared" si="124"/>
        <v>2944.2769333823999</v>
      </c>
    </row>
    <row r="981" spans="1:45" x14ac:dyDescent="0.3">
      <c r="A981">
        <v>2025</v>
      </c>
      <c r="B981">
        <v>8</v>
      </c>
      <c r="C981" t="s">
        <v>55</v>
      </c>
      <c r="D981">
        <v>10</v>
      </c>
      <c r="E981" t="s">
        <v>36</v>
      </c>
      <c r="F981" t="s">
        <v>37</v>
      </c>
      <c r="G981" t="s">
        <v>38</v>
      </c>
      <c r="H981" t="s">
        <v>83</v>
      </c>
      <c r="I981" t="s">
        <v>190</v>
      </c>
      <c r="J981" t="s">
        <v>58</v>
      </c>
      <c r="K981" t="s">
        <v>59</v>
      </c>
      <c r="L981" t="s">
        <v>1194</v>
      </c>
      <c r="M981" t="s">
        <v>1195</v>
      </c>
      <c r="N981" t="s">
        <v>1196</v>
      </c>
      <c r="O981" t="s">
        <v>1197</v>
      </c>
      <c r="Q981" t="s">
        <v>62</v>
      </c>
      <c r="R981" t="s">
        <v>1198</v>
      </c>
      <c r="S981" t="s">
        <v>1198</v>
      </c>
      <c r="T981" t="s">
        <v>47</v>
      </c>
      <c r="U981" t="s">
        <v>178</v>
      </c>
      <c r="V981" t="s">
        <v>49</v>
      </c>
      <c r="W981" t="s">
        <v>179</v>
      </c>
      <c r="X981" t="s">
        <v>388</v>
      </c>
      <c r="Y981" t="s">
        <v>1457</v>
      </c>
      <c r="Z981" t="s">
        <v>1457</v>
      </c>
      <c r="AA981" t="s">
        <v>1458</v>
      </c>
      <c r="AB981" s="3">
        <f t="shared" si="125"/>
        <v>1</v>
      </c>
      <c r="AC981">
        <v>241.45</v>
      </c>
      <c r="AD981" s="2">
        <v>241.45</v>
      </c>
      <c r="AE981" s="2">
        <v>17.3</v>
      </c>
      <c r="AF981" s="2">
        <v>1.56</v>
      </c>
      <c r="AG981" s="2">
        <v>260.32</v>
      </c>
      <c r="AH981">
        <v>0</v>
      </c>
      <c r="AI981">
        <v>260.32</v>
      </c>
      <c r="AJ981">
        <v>1.3016000000000001</v>
      </c>
      <c r="AK981" t="s">
        <v>54</v>
      </c>
      <c r="AL981">
        <v>2.2999999999999998</v>
      </c>
      <c r="AM981" s="4">
        <f t="shared" si="126"/>
        <v>260.32</v>
      </c>
      <c r="AN981" s="4">
        <f t="shared" si="127"/>
        <v>452.71875</v>
      </c>
      <c r="AO981" s="4">
        <f t="shared" si="128"/>
        <v>502.97053125000002</v>
      </c>
      <c r="AP981" s="4">
        <f t="shared" si="129"/>
        <v>733.35910312499993</v>
      </c>
      <c r="AQ981" s="10">
        <f t="shared" si="122"/>
        <v>452.72251199999999</v>
      </c>
      <c r="AR981" s="10">
        <f t="shared" si="123"/>
        <v>503.01998308319997</v>
      </c>
      <c r="AS981" s="10">
        <f t="shared" si="124"/>
        <v>704.7984066816</v>
      </c>
    </row>
    <row r="982" spans="1:45" x14ac:dyDescent="0.3">
      <c r="A982">
        <v>2025</v>
      </c>
      <c r="B982">
        <v>3</v>
      </c>
      <c r="C982" t="s">
        <v>55</v>
      </c>
      <c r="D982">
        <v>10</v>
      </c>
      <c r="E982" t="s">
        <v>36</v>
      </c>
      <c r="F982" t="s">
        <v>37</v>
      </c>
      <c r="G982" t="s">
        <v>38</v>
      </c>
      <c r="H982" t="s">
        <v>78</v>
      </c>
      <c r="I982" t="s">
        <v>190</v>
      </c>
      <c r="J982" t="s">
        <v>58</v>
      </c>
      <c r="K982" t="s">
        <v>59</v>
      </c>
      <c r="M982" t="s">
        <v>209</v>
      </c>
      <c r="N982" t="s">
        <v>61</v>
      </c>
      <c r="O982" t="s">
        <v>43</v>
      </c>
      <c r="Q982" t="s">
        <v>62</v>
      </c>
      <c r="R982" t="s">
        <v>210</v>
      </c>
      <c r="S982" t="s">
        <v>211</v>
      </c>
      <c r="T982" t="s">
        <v>47</v>
      </c>
      <c r="U982" t="s">
        <v>118</v>
      </c>
      <c r="V982" t="s">
        <v>49</v>
      </c>
      <c r="W982" t="s">
        <v>119</v>
      </c>
      <c r="X982" t="s">
        <v>51</v>
      </c>
      <c r="Y982" t="s">
        <v>1457</v>
      </c>
      <c r="Z982" t="s">
        <v>1457</v>
      </c>
      <c r="AA982" t="s">
        <v>1458</v>
      </c>
      <c r="AB982" s="3">
        <f t="shared" si="125"/>
        <v>1</v>
      </c>
      <c r="AC982">
        <v>241.45</v>
      </c>
      <c r="AD982" s="2">
        <v>241.45</v>
      </c>
      <c r="AE982" s="2">
        <v>17.3</v>
      </c>
      <c r="AF982" s="2">
        <v>1.56</v>
      </c>
      <c r="AG982" s="2">
        <v>260.32</v>
      </c>
      <c r="AH982">
        <v>0</v>
      </c>
      <c r="AI982">
        <v>260.32</v>
      </c>
      <c r="AJ982">
        <v>1.3016000000000001</v>
      </c>
      <c r="AK982" t="s">
        <v>54</v>
      </c>
      <c r="AL982">
        <v>2.2999999999999998</v>
      </c>
      <c r="AM982" s="4">
        <f t="shared" si="126"/>
        <v>260.32</v>
      </c>
      <c r="AN982" s="4">
        <f t="shared" si="127"/>
        <v>452.71875</v>
      </c>
      <c r="AO982" s="4">
        <f t="shared" si="128"/>
        <v>502.97053125000002</v>
      </c>
      <c r="AP982" s="4">
        <f t="shared" si="129"/>
        <v>733.35910312499993</v>
      </c>
      <c r="AQ982" s="10">
        <f t="shared" si="122"/>
        <v>452.72251199999999</v>
      </c>
      <c r="AR982" s="10">
        <f t="shared" si="123"/>
        <v>503.01998308319997</v>
      </c>
      <c r="AS982" s="10">
        <f t="shared" si="124"/>
        <v>704.7984066816</v>
      </c>
    </row>
    <row r="983" spans="1:45" x14ac:dyDescent="0.3">
      <c r="A983">
        <v>2025</v>
      </c>
      <c r="B983">
        <v>3</v>
      </c>
      <c r="C983" t="s">
        <v>55</v>
      </c>
      <c r="D983">
        <v>10</v>
      </c>
      <c r="E983" t="s">
        <v>36</v>
      </c>
      <c r="F983" t="s">
        <v>37</v>
      </c>
      <c r="G983" t="s">
        <v>38</v>
      </c>
      <c r="H983" t="s">
        <v>78</v>
      </c>
      <c r="I983" t="s">
        <v>190</v>
      </c>
      <c r="J983" t="s">
        <v>58</v>
      </c>
      <c r="K983" t="s">
        <v>59</v>
      </c>
      <c r="M983" t="s">
        <v>213</v>
      </c>
      <c r="N983" t="s">
        <v>61</v>
      </c>
      <c r="O983" t="s">
        <v>43</v>
      </c>
      <c r="Q983" t="s">
        <v>62</v>
      </c>
      <c r="R983" t="s">
        <v>214</v>
      </c>
      <c r="S983" t="s">
        <v>215</v>
      </c>
      <c r="T983" t="s">
        <v>47</v>
      </c>
      <c r="U983" t="s">
        <v>118</v>
      </c>
      <c r="V983" t="s">
        <v>49</v>
      </c>
      <c r="W983" t="s">
        <v>119</v>
      </c>
      <c r="X983" t="s">
        <v>51</v>
      </c>
      <c r="Y983" t="s">
        <v>109</v>
      </c>
      <c r="Z983" t="s">
        <v>64</v>
      </c>
      <c r="AA983" t="s">
        <v>312</v>
      </c>
      <c r="AB983" s="3">
        <f t="shared" si="125"/>
        <v>6.0000000000000888</v>
      </c>
      <c r="AC983">
        <v>1351.7</v>
      </c>
      <c r="AD983" s="2">
        <v>225.28333333333001</v>
      </c>
      <c r="AE983" s="2">
        <v>301.92</v>
      </c>
      <c r="AF983" s="2">
        <v>9.9</v>
      </c>
      <c r="AG983" s="2">
        <v>1663.52</v>
      </c>
      <c r="AH983">
        <v>0</v>
      </c>
      <c r="AI983">
        <v>277.25333333332998</v>
      </c>
      <c r="AJ983">
        <v>8.3176000000000005</v>
      </c>
      <c r="AK983" t="s">
        <v>54</v>
      </c>
      <c r="AL983">
        <v>13.21</v>
      </c>
      <c r="AM983" s="4">
        <f t="shared" si="126"/>
        <v>277.25333333332924</v>
      </c>
      <c r="AN983" s="4">
        <f t="shared" si="127"/>
        <v>422.40624999999375</v>
      </c>
      <c r="AO983" s="4">
        <f t="shared" si="128"/>
        <v>469.29334374999303</v>
      </c>
      <c r="AP983" s="4">
        <f t="shared" si="129"/>
        <v>684.25588437498982</v>
      </c>
      <c r="AQ983" s="10">
        <f t="shared" si="122"/>
        <v>482.17127199999288</v>
      </c>
      <c r="AR983" s="10">
        <f t="shared" si="123"/>
        <v>535.74050031919205</v>
      </c>
      <c r="AS983" s="10">
        <f t="shared" si="124"/>
        <v>750.64423624958886</v>
      </c>
    </row>
    <row r="984" spans="1:45" x14ac:dyDescent="0.3">
      <c r="A984">
        <v>2025</v>
      </c>
      <c r="B984">
        <v>4</v>
      </c>
      <c r="C984" t="s">
        <v>55</v>
      </c>
      <c r="D984">
        <v>10</v>
      </c>
      <c r="E984" t="s">
        <v>36</v>
      </c>
      <c r="F984" t="s">
        <v>37</v>
      </c>
      <c r="G984" t="s">
        <v>38</v>
      </c>
      <c r="H984" t="s">
        <v>78</v>
      </c>
      <c r="I984" t="s">
        <v>375</v>
      </c>
      <c r="J984" t="s">
        <v>376</v>
      </c>
      <c r="K984" t="s">
        <v>59</v>
      </c>
      <c r="M984">
        <v>2503061</v>
      </c>
      <c r="N984" t="s">
        <v>377</v>
      </c>
      <c r="O984" t="s">
        <v>36</v>
      </c>
      <c r="Q984" t="s">
        <v>62</v>
      </c>
      <c r="R984" t="s">
        <v>378</v>
      </c>
      <c r="S984" t="s">
        <v>378</v>
      </c>
      <c r="T984" t="s">
        <v>47</v>
      </c>
      <c r="U984" t="s">
        <v>118</v>
      </c>
      <c r="V984" t="s">
        <v>49</v>
      </c>
      <c r="W984" t="s">
        <v>119</v>
      </c>
      <c r="X984" t="s">
        <v>51</v>
      </c>
      <c r="Y984" t="s">
        <v>109</v>
      </c>
      <c r="Z984" t="s">
        <v>64</v>
      </c>
      <c r="AA984" t="s">
        <v>312</v>
      </c>
      <c r="AB984" s="3">
        <f t="shared" si="125"/>
        <v>8</v>
      </c>
      <c r="AC984">
        <v>1830.42</v>
      </c>
      <c r="AD984" s="2">
        <v>228.80250000000001</v>
      </c>
      <c r="AE984" s="2">
        <v>384.12</v>
      </c>
      <c r="AF984" s="2">
        <v>13.55</v>
      </c>
      <c r="AG984" s="2">
        <v>2228.09</v>
      </c>
      <c r="AH984">
        <v>0</v>
      </c>
      <c r="AI984">
        <v>278.51125000000002</v>
      </c>
      <c r="AJ984">
        <v>11.14045</v>
      </c>
      <c r="AK984" t="s">
        <v>54</v>
      </c>
      <c r="AL984">
        <v>15.55</v>
      </c>
      <c r="AM984" s="4">
        <f t="shared" si="126"/>
        <v>278.51125000000002</v>
      </c>
      <c r="AN984" s="4">
        <f t="shared" si="127"/>
        <v>429.00468750000005</v>
      </c>
      <c r="AO984" s="4">
        <f t="shared" si="128"/>
        <v>476.62420781250006</v>
      </c>
      <c r="AP984" s="4">
        <f t="shared" si="129"/>
        <v>694.94469328125001</v>
      </c>
      <c r="AQ984" s="10">
        <f t="shared" si="122"/>
        <v>484.35891487500004</v>
      </c>
      <c r="AR984" s="10">
        <f t="shared" si="123"/>
        <v>538.17119031761251</v>
      </c>
      <c r="AS984" s="10">
        <f t="shared" si="124"/>
        <v>754.04995867740001</v>
      </c>
    </row>
    <row r="985" spans="1:45" x14ac:dyDescent="0.3">
      <c r="A985">
        <v>2025</v>
      </c>
      <c r="B985">
        <v>7</v>
      </c>
      <c r="C985" t="s">
        <v>55</v>
      </c>
      <c r="D985">
        <v>10</v>
      </c>
      <c r="E985" t="s">
        <v>36</v>
      </c>
      <c r="F985" t="s">
        <v>37</v>
      </c>
      <c r="G985" t="s">
        <v>38</v>
      </c>
      <c r="H985" t="s">
        <v>78</v>
      </c>
      <c r="I985" t="s">
        <v>190</v>
      </c>
      <c r="J985" t="s">
        <v>58</v>
      </c>
      <c r="K985" t="s">
        <v>41</v>
      </c>
      <c r="L985" t="s">
        <v>953</v>
      </c>
      <c r="M985" t="s">
        <v>954</v>
      </c>
      <c r="N985" t="s">
        <v>731</v>
      </c>
      <c r="O985" t="s">
        <v>36</v>
      </c>
      <c r="Q985" t="s">
        <v>62</v>
      </c>
      <c r="R985" t="s">
        <v>955</v>
      </c>
      <c r="S985" t="s">
        <v>956</v>
      </c>
      <c r="T985" t="s">
        <v>47</v>
      </c>
      <c r="U985" t="s">
        <v>118</v>
      </c>
      <c r="V985" t="s">
        <v>49</v>
      </c>
      <c r="W985" t="s">
        <v>714</v>
      </c>
      <c r="X985" t="s">
        <v>51</v>
      </c>
      <c r="Y985" t="s">
        <v>109</v>
      </c>
      <c r="Z985" t="s">
        <v>109</v>
      </c>
      <c r="AA985" t="s">
        <v>312</v>
      </c>
      <c r="AB985" s="3">
        <f t="shared" si="125"/>
        <v>6</v>
      </c>
      <c r="AC985">
        <v>1328.73</v>
      </c>
      <c r="AD985" s="2">
        <v>221.45500000000001</v>
      </c>
      <c r="AE985" s="2">
        <v>90.52</v>
      </c>
      <c r="AF985" s="2">
        <v>9.44</v>
      </c>
      <c r="AG985" s="2">
        <v>1428.69</v>
      </c>
      <c r="AH985">
        <v>0</v>
      </c>
      <c r="AI985">
        <v>238.11500000000001</v>
      </c>
      <c r="AJ985">
        <v>7.1434499999999996</v>
      </c>
      <c r="AK985" t="s">
        <v>54</v>
      </c>
      <c r="AL985">
        <v>4.32</v>
      </c>
      <c r="AM985" s="4">
        <f t="shared" si="126"/>
        <v>238.11500000000001</v>
      </c>
      <c r="AN985" s="4">
        <f t="shared" si="127"/>
        <v>415.22812500000003</v>
      </c>
      <c r="AO985" s="4">
        <f t="shared" si="128"/>
        <v>461.31844687500001</v>
      </c>
      <c r="AP985" s="4">
        <f t="shared" si="129"/>
        <v>672.62803968750006</v>
      </c>
      <c r="AQ985" s="10">
        <f t="shared" si="122"/>
        <v>414.10579650000005</v>
      </c>
      <c r="AR985" s="10">
        <f t="shared" si="123"/>
        <v>460.11295049115006</v>
      </c>
      <c r="AS985" s="10">
        <f t="shared" si="124"/>
        <v>644.67990399120004</v>
      </c>
    </row>
    <row r="986" spans="1:45" x14ac:dyDescent="0.3">
      <c r="A986">
        <v>2025</v>
      </c>
      <c r="B986">
        <v>9</v>
      </c>
      <c r="C986" t="s">
        <v>55</v>
      </c>
      <c r="D986">
        <v>10</v>
      </c>
      <c r="E986" t="s">
        <v>36</v>
      </c>
      <c r="F986" t="s">
        <v>37</v>
      </c>
      <c r="G986" t="s">
        <v>38</v>
      </c>
      <c r="H986" t="s">
        <v>78</v>
      </c>
      <c r="I986" t="s">
        <v>375</v>
      </c>
      <c r="J986" t="s">
        <v>376</v>
      </c>
      <c r="K986" t="s">
        <v>41</v>
      </c>
      <c r="L986" t="s">
        <v>1503</v>
      </c>
      <c r="M986" t="s">
        <v>1504</v>
      </c>
      <c r="N986" t="s">
        <v>377</v>
      </c>
      <c r="O986" t="s">
        <v>1197</v>
      </c>
      <c r="Q986" t="s">
        <v>62</v>
      </c>
      <c r="R986" t="s">
        <v>1505</v>
      </c>
      <c r="S986" t="s">
        <v>1505</v>
      </c>
      <c r="T986" t="s">
        <v>47</v>
      </c>
      <c r="U986" t="s">
        <v>118</v>
      </c>
      <c r="V986" t="s">
        <v>49</v>
      </c>
      <c r="W986" t="s">
        <v>714</v>
      </c>
      <c r="X986" t="s">
        <v>388</v>
      </c>
      <c r="Y986" t="s">
        <v>1083</v>
      </c>
      <c r="Z986" t="s">
        <v>1083</v>
      </c>
      <c r="AA986" t="s">
        <v>1084</v>
      </c>
      <c r="AB986" s="3">
        <f t="shared" si="125"/>
        <v>5</v>
      </c>
      <c r="AC986">
        <v>590.49</v>
      </c>
      <c r="AD986" s="2">
        <v>118.098</v>
      </c>
      <c r="AE986" s="2">
        <v>145.21</v>
      </c>
      <c r="AF986" s="2">
        <v>4.0999999999999996</v>
      </c>
      <c r="AG986" s="2">
        <v>739.71</v>
      </c>
      <c r="AH986">
        <v>0</v>
      </c>
      <c r="AI986">
        <v>147.94200000000001</v>
      </c>
      <c r="AJ986">
        <v>3.69855</v>
      </c>
      <c r="AK986" t="s">
        <v>54</v>
      </c>
      <c r="AL986">
        <v>10.87</v>
      </c>
      <c r="AM986" s="4">
        <f t="shared" si="126"/>
        <v>147.94200000000001</v>
      </c>
      <c r="AN986" s="4">
        <f t="shared" si="127"/>
        <v>221.43375</v>
      </c>
      <c r="AO986" s="4">
        <f t="shared" si="128"/>
        <v>246.01289625000001</v>
      </c>
      <c r="AP986" s="4">
        <f t="shared" si="129"/>
        <v>358.700531625</v>
      </c>
      <c r="AQ986" s="10">
        <f t="shared" si="122"/>
        <v>257.28593220000005</v>
      </c>
      <c r="AR986" s="10">
        <f t="shared" si="123"/>
        <v>285.87039926742005</v>
      </c>
      <c r="AS986" s="10">
        <f t="shared" si="124"/>
        <v>400.54273924896006</v>
      </c>
    </row>
    <row r="987" spans="1:45" x14ac:dyDescent="0.3">
      <c r="A987">
        <v>2025</v>
      </c>
      <c r="B987">
        <v>9</v>
      </c>
      <c r="C987" t="s">
        <v>55</v>
      </c>
      <c r="D987">
        <v>10</v>
      </c>
      <c r="E987" t="s">
        <v>36</v>
      </c>
      <c r="F987" t="s">
        <v>37</v>
      </c>
      <c r="G987" t="s">
        <v>38</v>
      </c>
      <c r="H987" t="s">
        <v>78</v>
      </c>
      <c r="I987" t="s">
        <v>375</v>
      </c>
      <c r="J987" t="s">
        <v>376</v>
      </c>
      <c r="K987" t="s">
        <v>41</v>
      </c>
      <c r="L987" t="s">
        <v>1503</v>
      </c>
      <c r="M987" t="s">
        <v>1504</v>
      </c>
      <c r="N987" t="s">
        <v>377</v>
      </c>
      <c r="O987" t="s">
        <v>1197</v>
      </c>
      <c r="Q987" t="s">
        <v>62</v>
      </c>
      <c r="R987" t="s">
        <v>1505</v>
      </c>
      <c r="S987" t="s">
        <v>1505</v>
      </c>
      <c r="T987" t="s">
        <v>47</v>
      </c>
      <c r="U987" t="s">
        <v>118</v>
      </c>
      <c r="V987" t="s">
        <v>49</v>
      </c>
      <c r="W987" t="s">
        <v>714</v>
      </c>
      <c r="X987" t="s">
        <v>388</v>
      </c>
      <c r="Y987" t="s">
        <v>1311</v>
      </c>
      <c r="Z987" t="s">
        <v>1083</v>
      </c>
      <c r="AA987" t="s">
        <v>1084</v>
      </c>
      <c r="AB987" s="3">
        <f t="shared" si="125"/>
        <v>1</v>
      </c>
      <c r="AC987">
        <v>122.8</v>
      </c>
      <c r="AD987" s="2">
        <v>122.8</v>
      </c>
      <c r="AE987" s="2">
        <v>44.4</v>
      </c>
      <c r="AF987" s="2">
        <v>1.2</v>
      </c>
      <c r="AG987" s="2">
        <v>167.51</v>
      </c>
      <c r="AH987">
        <v>0</v>
      </c>
      <c r="AI987">
        <v>167.51</v>
      </c>
      <c r="AJ987">
        <v>0.83755000000000002</v>
      </c>
      <c r="AK987" t="s">
        <v>54</v>
      </c>
      <c r="AL987">
        <v>2.23</v>
      </c>
      <c r="AM987" s="4">
        <f t="shared" si="126"/>
        <v>167.51</v>
      </c>
      <c r="AN987" s="4">
        <f t="shared" si="127"/>
        <v>230.25</v>
      </c>
      <c r="AO987" s="4">
        <f t="shared" si="128"/>
        <v>255.80775</v>
      </c>
      <c r="AP987" s="4">
        <f t="shared" si="129"/>
        <v>372.98197499999998</v>
      </c>
      <c r="AQ987" s="10">
        <f t="shared" si="122"/>
        <v>291.316641</v>
      </c>
      <c r="AR987" s="10">
        <f t="shared" si="123"/>
        <v>323.6819198151</v>
      </c>
      <c r="AS987" s="10">
        <f t="shared" si="124"/>
        <v>453.52174670879998</v>
      </c>
    </row>
    <row r="988" spans="1:45" x14ac:dyDescent="0.3">
      <c r="A988">
        <v>2025</v>
      </c>
      <c r="B988">
        <v>3</v>
      </c>
      <c r="C988" t="s">
        <v>55</v>
      </c>
      <c r="D988">
        <v>10</v>
      </c>
      <c r="E988" t="s">
        <v>36</v>
      </c>
      <c r="F988" t="s">
        <v>37</v>
      </c>
      <c r="G988" t="s">
        <v>38</v>
      </c>
      <c r="H988" t="s">
        <v>78</v>
      </c>
      <c r="I988" t="s">
        <v>190</v>
      </c>
      <c r="J988" t="s">
        <v>58</v>
      </c>
      <c r="K988" t="s">
        <v>59</v>
      </c>
      <c r="M988" t="s">
        <v>209</v>
      </c>
      <c r="N988" t="s">
        <v>61</v>
      </c>
      <c r="O988" t="s">
        <v>43</v>
      </c>
      <c r="Q988" t="s">
        <v>62</v>
      </c>
      <c r="R988" t="s">
        <v>210</v>
      </c>
      <c r="S988" t="s">
        <v>211</v>
      </c>
      <c r="T988" t="s">
        <v>47</v>
      </c>
      <c r="U988" t="s">
        <v>118</v>
      </c>
      <c r="V988" t="s">
        <v>49</v>
      </c>
      <c r="W988" t="s">
        <v>119</v>
      </c>
      <c r="X988" t="s">
        <v>51</v>
      </c>
      <c r="Y988" t="s">
        <v>1311</v>
      </c>
      <c r="Z988" t="s">
        <v>1083</v>
      </c>
      <c r="AA988" t="s">
        <v>1084</v>
      </c>
      <c r="AB988" s="3">
        <f t="shared" si="125"/>
        <v>4.9999999999999991</v>
      </c>
      <c r="AC988">
        <v>610.41999999999996</v>
      </c>
      <c r="AD988" s="2">
        <v>122.084</v>
      </c>
      <c r="AE988" s="2">
        <v>221.94</v>
      </c>
      <c r="AF988" s="2">
        <v>5.1100000000000003</v>
      </c>
      <c r="AG988" s="2">
        <v>837.47</v>
      </c>
      <c r="AH988">
        <v>0</v>
      </c>
      <c r="AI988">
        <v>167.494</v>
      </c>
      <c r="AJ988">
        <v>4.1873500000000003</v>
      </c>
      <c r="AK988" t="s">
        <v>54</v>
      </c>
      <c r="AL988">
        <v>11.12</v>
      </c>
      <c r="AM988" s="4">
        <f t="shared" si="126"/>
        <v>167.49400000000003</v>
      </c>
      <c r="AN988" s="4">
        <f t="shared" si="127"/>
        <v>228.9075</v>
      </c>
      <c r="AO988" s="4">
        <f t="shared" si="128"/>
        <v>254.31623249999998</v>
      </c>
      <c r="AP988" s="4">
        <f t="shared" si="129"/>
        <v>370.80725924999996</v>
      </c>
      <c r="AQ988" s="10">
        <f t="shared" si="122"/>
        <v>291.28881540000009</v>
      </c>
      <c r="AR988" s="10">
        <f t="shared" si="123"/>
        <v>323.65100279094008</v>
      </c>
      <c r="AS988" s="10">
        <f t="shared" si="124"/>
        <v>453.47842781472013</v>
      </c>
    </row>
    <row r="989" spans="1:45" x14ac:dyDescent="0.3">
      <c r="A989">
        <v>2025</v>
      </c>
      <c r="B989">
        <v>9</v>
      </c>
      <c r="C989" t="s">
        <v>55</v>
      </c>
      <c r="D989">
        <v>10</v>
      </c>
      <c r="E989" t="s">
        <v>36</v>
      </c>
      <c r="F989" t="s">
        <v>37</v>
      </c>
      <c r="G989" t="s">
        <v>38</v>
      </c>
      <c r="H989" t="s">
        <v>78</v>
      </c>
      <c r="I989" t="s">
        <v>375</v>
      </c>
      <c r="J989" t="s">
        <v>376</v>
      </c>
      <c r="K989" t="s">
        <v>41</v>
      </c>
      <c r="L989" t="s">
        <v>1503</v>
      </c>
      <c r="M989" t="s">
        <v>1504</v>
      </c>
      <c r="N989" t="s">
        <v>377</v>
      </c>
      <c r="O989" t="s">
        <v>1197</v>
      </c>
      <c r="Q989" t="s">
        <v>62</v>
      </c>
      <c r="R989" t="s">
        <v>1505</v>
      </c>
      <c r="S989" t="s">
        <v>1505</v>
      </c>
      <c r="T989" t="s">
        <v>47</v>
      </c>
      <c r="U989" t="s">
        <v>118</v>
      </c>
      <c r="V989" t="s">
        <v>49</v>
      </c>
      <c r="W989" t="s">
        <v>714</v>
      </c>
      <c r="X989" t="s">
        <v>388</v>
      </c>
      <c r="Y989" t="s">
        <v>109</v>
      </c>
      <c r="Z989" t="s">
        <v>64</v>
      </c>
      <c r="AA989" t="s">
        <v>311</v>
      </c>
      <c r="AB989" s="3">
        <f t="shared" si="125"/>
        <v>8</v>
      </c>
      <c r="AC989">
        <v>1408.52</v>
      </c>
      <c r="AD989" s="2">
        <v>176.065</v>
      </c>
      <c r="AE989" s="2">
        <v>314.62</v>
      </c>
      <c r="AF989" s="2">
        <v>10.32</v>
      </c>
      <c r="AG989" s="2">
        <v>1733.45</v>
      </c>
      <c r="AH989">
        <v>0</v>
      </c>
      <c r="AI989">
        <v>216.68125000000001</v>
      </c>
      <c r="AJ989">
        <v>8.6672499999999992</v>
      </c>
      <c r="AK989" t="s">
        <v>54</v>
      </c>
      <c r="AL989">
        <v>17.62</v>
      </c>
      <c r="AM989" s="4">
        <f t="shared" si="126"/>
        <v>216.68125000000001</v>
      </c>
      <c r="AN989" s="4">
        <f t="shared" si="127"/>
        <v>330.12187499999999</v>
      </c>
      <c r="AO989" s="4">
        <f t="shared" si="128"/>
        <v>366.76540312499998</v>
      </c>
      <c r="AP989" s="4">
        <f t="shared" si="129"/>
        <v>534.76442531249995</v>
      </c>
      <c r="AQ989" s="10">
        <f t="shared" si="122"/>
        <v>376.83036187500005</v>
      </c>
      <c r="AR989" s="10">
        <f t="shared" si="123"/>
        <v>418.69621507931254</v>
      </c>
      <c r="AS989" s="10">
        <f t="shared" si="124"/>
        <v>586.64950736700007</v>
      </c>
    </row>
    <row r="990" spans="1:45" x14ac:dyDescent="0.3">
      <c r="A990">
        <v>2025</v>
      </c>
      <c r="B990">
        <v>4</v>
      </c>
      <c r="C990" t="s">
        <v>55</v>
      </c>
      <c r="D990">
        <v>10</v>
      </c>
      <c r="E990" t="s">
        <v>36</v>
      </c>
      <c r="F990" t="s">
        <v>37</v>
      </c>
      <c r="G990" t="s">
        <v>38</v>
      </c>
      <c r="H990" t="s">
        <v>83</v>
      </c>
      <c r="I990" t="s">
        <v>375</v>
      </c>
      <c r="J990" t="s">
        <v>376</v>
      </c>
      <c r="K990" t="s">
        <v>59</v>
      </c>
      <c r="M990">
        <v>2503061</v>
      </c>
      <c r="N990" t="s">
        <v>377</v>
      </c>
      <c r="O990" t="s">
        <v>36</v>
      </c>
      <c r="Q990" t="s">
        <v>62</v>
      </c>
      <c r="R990" t="s">
        <v>378</v>
      </c>
      <c r="S990" t="s">
        <v>378</v>
      </c>
      <c r="T990" t="s">
        <v>47</v>
      </c>
      <c r="U990" t="s">
        <v>356</v>
      </c>
      <c r="V990" t="s">
        <v>49</v>
      </c>
      <c r="W990" t="s">
        <v>357</v>
      </c>
      <c r="X990" t="s">
        <v>51</v>
      </c>
      <c r="Y990" t="s">
        <v>1311</v>
      </c>
      <c r="Z990" t="s">
        <v>1083</v>
      </c>
      <c r="AA990" t="s">
        <v>311</v>
      </c>
      <c r="AB990" s="3">
        <f t="shared" si="125"/>
        <v>5.9999999999998419</v>
      </c>
      <c r="AC990">
        <v>761.26</v>
      </c>
      <c r="AD990" s="2">
        <v>126.87666666667</v>
      </c>
      <c r="AE990" s="2">
        <v>276.81</v>
      </c>
      <c r="AF990" s="2">
        <v>6.37</v>
      </c>
      <c r="AG990" s="2">
        <v>1044.44</v>
      </c>
      <c r="AH990">
        <v>0</v>
      </c>
      <c r="AI990">
        <v>174.07333333333</v>
      </c>
      <c r="AJ990">
        <v>5.2222</v>
      </c>
      <c r="AK990" t="s">
        <v>54</v>
      </c>
      <c r="AL990">
        <v>13.35</v>
      </c>
      <c r="AM990" s="4">
        <f t="shared" si="126"/>
        <v>174.07333333333793</v>
      </c>
      <c r="AN990" s="4">
        <f t="shared" si="127"/>
        <v>237.89375000000626</v>
      </c>
      <c r="AO990" s="4">
        <f t="shared" si="128"/>
        <v>264.29995625000697</v>
      </c>
      <c r="AP990" s="4">
        <f t="shared" si="129"/>
        <v>385.36408562501015</v>
      </c>
      <c r="AQ990" s="10">
        <f t="shared" si="122"/>
        <v>302.73093400000801</v>
      </c>
      <c r="AR990" s="10">
        <f t="shared" si="123"/>
        <v>336.36434076740886</v>
      </c>
      <c r="AS990" s="10">
        <f t="shared" si="124"/>
        <v>471.29151805121245</v>
      </c>
    </row>
    <row r="991" spans="1:45" x14ac:dyDescent="0.3">
      <c r="A991">
        <v>2025</v>
      </c>
      <c r="B991">
        <v>3</v>
      </c>
      <c r="C991" t="s">
        <v>55</v>
      </c>
      <c r="D991">
        <v>10</v>
      </c>
      <c r="E991" t="s">
        <v>36</v>
      </c>
      <c r="F991" t="s">
        <v>37</v>
      </c>
      <c r="G991" t="s">
        <v>38</v>
      </c>
      <c r="H991" t="s">
        <v>83</v>
      </c>
      <c r="I991" t="s">
        <v>190</v>
      </c>
      <c r="J991" t="s">
        <v>58</v>
      </c>
      <c r="K991" t="s">
        <v>59</v>
      </c>
      <c r="M991" t="s">
        <v>213</v>
      </c>
      <c r="N991" t="s">
        <v>61</v>
      </c>
      <c r="O991" t="s">
        <v>43</v>
      </c>
      <c r="Q991" t="s">
        <v>62</v>
      </c>
      <c r="R991" t="s">
        <v>214</v>
      </c>
      <c r="S991" t="s">
        <v>215</v>
      </c>
      <c r="T991" t="s">
        <v>47</v>
      </c>
      <c r="U991" t="s">
        <v>359</v>
      </c>
      <c r="V991" t="s">
        <v>49</v>
      </c>
      <c r="W991" t="s">
        <v>360</v>
      </c>
      <c r="X991" t="s">
        <v>51</v>
      </c>
      <c r="Y991" t="s">
        <v>610</v>
      </c>
      <c r="Z991" t="s">
        <v>610</v>
      </c>
      <c r="AA991" t="s">
        <v>611</v>
      </c>
      <c r="AB991" s="3">
        <f t="shared" si="125"/>
        <v>1</v>
      </c>
      <c r="AC991">
        <v>684.75</v>
      </c>
      <c r="AD991" s="2">
        <v>684.75</v>
      </c>
      <c r="AE991" s="2">
        <v>23.68</v>
      </c>
      <c r="AF991" s="2">
        <v>4.9000000000000004</v>
      </c>
      <c r="AG991" s="2">
        <v>713.32</v>
      </c>
      <c r="AH991">
        <v>0</v>
      </c>
      <c r="AI991">
        <v>713.32</v>
      </c>
      <c r="AJ991">
        <v>3.5666000000000002</v>
      </c>
      <c r="AK991" t="s">
        <v>54</v>
      </c>
      <c r="AL991">
        <v>1.1299999999999999</v>
      </c>
      <c r="AM991" s="4">
        <f t="shared" si="126"/>
        <v>713.32</v>
      </c>
      <c r="AN991" s="4">
        <f t="shared" si="127"/>
        <v>1283.90625</v>
      </c>
      <c r="AO991" s="4">
        <f t="shared" si="128"/>
        <v>1426.4198437499999</v>
      </c>
      <c r="AP991" s="4">
        <f t="shared" si="129"/>
        <v>2079.7997343749998</v>
      </c>
      <c r="AQ991" s="10">
        <f t="shared" si="122"/>
        <v>1240.5348120000001</v>
      </c>
      <c r="AR991" s="10">
        <f t="shared" si="123"/>
        <v>1378.3582296132001</v>
      </c>
      <c r="AS991" s="10">
        <f t="shared" si="124"/>
        <v>1931.2645953216002</v>
      </c>
    </row>
    <row r="992" spans="1:45" x14ac:dyDescent="0.3">
      <c r="A992">
        <v>2025</v>
      </c>
      <c r="B992">
        <v>11</v>
      </c>
      <c r="C992" t="s">
        <v>55</v>
      </c>
      <c r="D992">
        <v>10</v>
      </c>
      <c r="E992" t="s">
        <v>36</v>
      </c>
      <c r="F992" t="s">
        <v>37</v>
      </c>
      <c r="G992" t="s">
        <v>38</v>
      </c>
      <c r="H992" t="s">
        <v>83</v>
      </c>
      <c r="I992" t="s">
        <v>375</v>
      </c>
      <c r="J992" t="s">
        <v>376</v>
      </c>
      <c r="K992" t="s">
        <v>51</v>
      </c>
      <c r="L992" t="s">
        <v>1622</v>
      </c>
      <c r="M992" t="s">
        <v>1623</v>
      </c>
      <c r="N992" t="s">
        <v>1485</v>
      </c>
      <c r="O992" t="s">
        <v>1197</v>
      </c>
      <c r="Q992" t="s">
        <v>62</v>
      </c>
      <c r="R992" t="s">
        <v>1624</v>
      </c>
      <c r="S992" t="s">
        <v>1624</v>
      </c>
      <c r="T992" t="s">
        <v>47</v>
      </c>
      <c r="U992" t="s">
        <v>359</v>
      </c>
      <c r="V992" t="s">
        <v>49</v>
      </c>
      <c r="W992" t="s">
        <v>896</v>
      </c>
      <c r="X992" t="s">
        <v>51</v>
      </c>
      <c r="Y992" t="s">
        <v>361</v>
      </c>
      <c r="Z992" t="s">
        <v>64</v>
      </c>
      <c r="AA992" t="s">
        <v>362</v>
      </c>
      <c r="AB992" s="3">
        <f t="shared" si="125"/>
        <v>2</v>
      </c>
      <c r="AC992">
        <v>171.86</v>
      </c>
      <c r="AD992" s="2">
        <v>85.93</v>
      </c>
      <c r="AE992" s="2">
        <v>36.07</v>
      </c>
      <c r="AF992" s="2">
        <v>1.27</v>
      </c>
      <c r="AG992" s="2">
        <v>209.2</v>
      </c>
      <c r="AH992">
        <v>0</v>
      </c>
      <c r="AI992">
        <v>104.6</v>
      </c>
      <c r="AJ992">
        <v>1.046</v>
      </c>
      <c r="AK992" t="s">
        <v>54</v>
      </c>
      <c r="AL992">
        <v>3.89</v>
      </c>
      <c r="AM992" s="4">
        <f t="shared" si="126"/>
        <v>104.6</v>
      </c>
      <c r="AN992" s="4">
        <f t="shared" si="127"/>
        <v>161.11875000000001</v>
      </c>
      <c r="AO992" s="4">
        <f t="shared" si="128"/>
        <v>179.00293125000002</v>
      </c>
      <c r="AP992" s="4">
        <f t="shared" si="129"/>
        <v>260.99626312499998</v>
      </c>
      <c r="AQ992" s="10">
        <f t="shared" si="122"/>
        <v>181.90986000000001</v>
      </c>
      <c r="AR992" s="10">
        <f t="shared" si="123"/>
        <v>202.12004544600001</v>
      </c>
      <c r="AS992" s="10">
        <f t="shared" si="124"/>
        <v>283.19727004800001</v>
      </c>
    </row>
    <row r="993" spans="1:45" x14ac:dyDescent="0.3">
      <c r="A993">
        <v>2025</v>
      </c>
      <c r="B993">
        <v>11</v>
      </c>
      <c r="C993" t="s">
        <v>55</v>
      </c>
      <c r="D993">
        <v>10</v>
      </c>
      <c r="E993" t="s">
        <v>36</v>
      </c>
      <c r="F993" t="s">
        <v>37</v>
      </c>
      <c r="G993" t="s">
        <v>38</v>
      </c>
      <c r="H993" t="s">
        <v>83</v>
      </c>
      <c r="I993" t="s">
        <v>375</v>
      </c>
      <c r="J993" t="s">
        <v>376</v>
      </c>
      <c r="K993" t="s">
        <v>51</v>
      </c>
      <c r="L993" t="s">
        <v>1622</v>
      </c>
      <c r="M993" t="s">
        <v>1623</v>
      </c>
      <c r="N993" t="s">
        <v>1485</v>
      </c>
      <c r="O993" t="s">
        <v>1197</v>
      </c>
      <c r="Q993" t="s">
        <v>62</v>
      </c>
      <c r="R993" t="s">
        <v>1624</v>
      </c>
      <c r="S993" t="s">
        <v>1624</v>
      </c>
      <c r="T993" t="s">
        <v>47</v>
      </c>
      <c r="U993" t="s">
        <v>363</v>
      </c>
      <c r="V993" t="s">
        <v>49</v>
      </c>
      <c r="W993" t="s">
        <v>911</v>
      </c>
      <c r="X993" t="s">
        <v>51</v>
      </c>
      <c r="Y993" t="s">
        <v>1532</v>
      </c>
      <c r="Z993" t="s">
        <v>1532</v>
      </c>
      <c r="AA993" t="s">
        <v>362</v>
      </c>
      <c r="AB993" s="3">
        <f t="shared" si="125"/>
        <v>4</v>
      </c>
      <c r="AC993">
        <v>274.38</v>
      </c>
      <c r="AD993" s="2">
        <v>68.594999999999999</v>
      </c>
      <c r="AE993" s="2">
        <v>38.42</v>
      </c>
      <c r="AF993" s="2">
        <v>1.9</v>
      </c>
      <c r="AG993" s="2">
        <v>314.7</v>
      </c>
      <c r="AH993">
        <v>0</v>
      </c>
      <c r="AI993">
        <v>78.674999999999997</v>
      </c>
      <c r="AJ993">
        <v>1.5734999999999999</v>
      </c>
      <c r="AK993" t="s">
        <v>54</v>
      </c>
      <c r="AL993">
        <v>2.9</v>
      </c>
      <c r="AM993" s="4">
        <f t="shared" si="126"/>
        <v>78.674999999999997</v>
      </c>
      <c r="AN993" s="4">
        <f t="shared" si="127"/>
        <v>128.61562499999999</v>
      </c>
      <c r="AO993" s="4">
        <f t="shared" si="128"/>
        <v>142.891959375</v>
      </c>
      <c r="AP993" s="4">
        <f t="shared" si="129"/>
        <v>208.34445093749997</v>
      </c>
      <c r="AQ993" s="10">
        <f t="shared" si="122"/>
        <v>136.82369249999999</v>
      </c>
      <c r="AR993" s="10">
        <f t="shared" si="123"/>
        <v>152.02480473674999</v>
      </c>
      <c r="AS993" s="10">
        <f t="shared" si="124"/>
        <v>213.00712448399997</v>
      </c>
    </row>
    <row r="994" spans="1:45" x14ac:dyDescent="0.3">
      <c r="A994">
        <v>2025</v>
      </c>
      <c r="B994">
        <v>11</v>
      </c>
      <c r="C994" t="s">
        <v>55</v>
      </c>
      <c r="D994">
        <v>10</v>
      </c>
      <c r="E994" t="s">
        <v>36</v>
      </c>
      <c r="F994" t="s">
        <v>37</v>
      </c>
      <c r="G994" t="s">
        <v>38</v>
      </c>
      <c r="H994" t="s">
        <v>83</v>
      </c>
      <c r="I994" t="s">
        <v>375</v>
      </c>
      <c r="J994" t="s">
        <v>376</v>
      </c>
      <c r="K994" t="s">
        <v>51</v>
      </c>
      <c r="L994" t="s">
        <v>1622</v>
      </c>
      <c r="M994" t="s">
        <v>1623</v>
      </c>
      <c r="N994" t="s">
        <v>1485</v>
      </c>
      <c r="O994" t="s">
        <v>1197</v>
      </c>
      <c r="Q994" t="s">
        <v>62</v>
      </c>
      <c r="R994" t="s">
        <v>1624</v>
      </c>
      <c r="S994" t="s">
        <v>1624</v>
      </c>
      <c r="T994" t="s">
        <v>47</v>
      </c>
      <c r="U994" t="s">
        <v>363</v>
      </c>
      <c r="V994" t="s">
        <v>49</v>
      </c>
      <c r="W994" t="s">
        <v>911</v>
      </c>
      <c r="X994" t="s">
        <v>51</v>
      </c>
      <c r="Y994" t="s">
        <v>1532</v>
      </c>
      <c r="Z994" t="s">
        <v>1532</v>
      </c>
      <c r="AA994" t="s">
        <v>1748</v>
      </c>
      <c r="AB994" s="3">
        <f t="shared" si="125"/>
        <v>5</v>
      </c>
      <c r="AC994">
        <v>200.5</v>
      </c>
      <c r="AD994" s="2">
        <v>40.1</v>
      </c>
      <c r="AE994" s="2">
        <v>28.8</v>
      </c>
      <c r="AF994" s="2">
        <v>1.39</v>
      </c>
      <c r="AG994" s="2">
        <v>229.96</v>
      </c>
      <c r="AH994">
        <v>0</v>
      </c>
      <c r="AI994">
        <v>45.991999999999997</v>
      </c>
      <c r="AJ994">
        <v>1.1497999999999999</v>
      </c>
      <c r="AK994" t="s">
        <v>54</v>
      </c>
      <c r="AL994">
        <v>1.53</v>
      </c>
      <c r="AM994" s="4">
        <f t="shared" si="126"/>
        <v>45.992000000000004</v>
      </c>
      <c r="AN994" s="4">
        <f t="shared" si="127"/>
        <v>75.1875</v>
      </c>
      <c r="AO994" s="4">
        <f t="shared" si="128"/>
        <v>83.533312499999994</v>
      </c>
      <c r="AP994" s="4">
        <f t="shared" si="129"/>
        <v>121.79623124999999</v>
      </c>
      <c r="AQ994" s="10">
        <f t="shared" ref="AQ994:AQ1057" si="130">SUM(AM994)*1.7391</f>
        <v>79.98468720000001</v>
      </c>
      <c r="AR994" s="10">
        <f t="shared" ref="AR994:AR1057" si="131">SUM(AQ994)*1.1111</f>
        <v>88.870985947920005</v>
      </c>
      <c r="AS994" s="10">
        <f t="shared" ref="AS994:AS1057" si="132">SUM(AQ994)*1.5568</f>
        <v>124.52016103296002</v>
      </c>
    </row>
    <row r="995" spans="1:45" x14ac:dyDescent="0.3">
      <c r="A995">
        <v>2025</v>
      </c>
      <c r="B995">
        <v>4</v>
      </c>
      <c r="C995" t="s">
        <v>55</v>
      </c>
      <c r="D995">
        <v>10</v>
      </c>
      <c r="E995" t="s">
        <v>36</v>
      </c>
      <c r="F995" t="s">
        <v>37</v>
      </c>
      <c r="G995" t="s">
        <v>38</v>
      </c>
      <c r="H995" t="s">
        <v>83</v>
      </c>
      <c r="I995" t="s">
        <v>375</v>
      </c>
      <c r="J995" t="s">
        <v>376</v>
      </c>
      <c r="K995" t="s">
        <v>59</v>
      </c>
      <c r="M995">
        <v>2503061</v>
      </c>
      <c r="N995" t="s">
        <v>377</v>
      </c>
      <c r="O995" t="s">
        <v>36</v>
      </c>
      <c r="Q995" t="s">
        <v>62</v>
      </c>
      <c r="R995" t="s">
        <v>378</v>
      </c>
      <c r="S995" t="s">
        <v>378</v>
      </c>
      <c r="T995" t="s">
        <v>47</v>
      </c>
      <c r="U995" t="s">
        <v>356</v>
      </c>
      <c r="V995" t="s">
        <v>49</v>
      </c>
      <c r="W995" t="s">
        <v>357</v>
      </c>
      <c r="X995" t="s">
        <v>51</v>
      </c>
      <c r="Y995" t="s">
        <v>1532</v>
      </c>
      <c r="Z995" t="s">
        <v>1532</v>
      </c>
      <c r="AA995" t="s">
        <v>1748</v>
      </c>
      <c r="AB995" s="3">
        <f t="shared" si="125"/>
        <v>6</v>
      </c>
      <c r="AC995">
        <v>240.6</v>
      </c>
      <c r="AD995" s="2">
        <v>40.1</v>
      </c>
      <c r="AE995" s="2">
        <v>33.69</v>
      </c>
      <c r="AF995" s="2">
        <v>1.67</v>
      </c>
      <c r="AG995" s="2">
        <v>275.95</v>
      </c>
      <c r="AH995">
        <v>0</v>
      </c>
      <c r="AI995">
        <v>45.991666666667001</v>
      </c>
      <c r="AJ995">
        <v>1.37975</v>
      </c>
      <c r="AK995" t="s">
        <v>54</v>
      </c>
      <c r="AL995">
        <v>1.83</v>
      </c>
      <c r="AM995" s="4">
        <f t="shared" si="126"/>
        <v>45.991666666666667</v>
      </c>
      <c r="AN995" s="4">
        <f t="shared" si="127"/>
        <v>75.1875</v>
      </c>
      <c r="AO995" s="4">
        <f t="shared" si="128"/>
        <v>83.533312499999994</v>
      </c>
      <c r="AP995" s="4">
        <f t="shared" si="129"/>
        <v>121.79623124999999</v>
      </c>
      <c r="AQ995" s="10">
        <f t="shared" si="130"/>
        <v>79.984107500000007</v>
      </c>
      <c r="AR995" s="10">
        <f t="shared" si="131"/>
        <v>88.870341843250003</v>
      </c>
      <c r="AS995" s="10">
        <f t="shared" si="132"/>
        <v>124.51925855600001</v>
      </c>
    </row>
    <row r="996" spans="1:45" x14ac:dyDescent="0.3">
      <c r="A996">
        <v>2025</v>
      </c>
      <c r="B996">
        <v>4</v>
      </c>
      <c r="C996" t="s">
        <v>55</v>
      </c>
      <c r="D996">
        <v>10</v>
      </c>
      <c r="E996" t="s">
        <v>36</v>
      </c>
      <c r="F996" t="s">
        <v>37</v>
      </c>
      <c r="G996" t="s">
        <v>38</v>
      </c>
      <c r="H996" t="s">
        <v>83</v>
      </c>
      <c r="I996" t="s">
        <v>375</v>
      </c>
      <c r="J996" t="s">
        <v>376</v>
      </c>
      <c r="K996" t="s">
        <v>59</v>
      </c>
      <c r="M996">
        <v>2503061</v>
      </c>
      <c r="N996" t="s">
        <v>377</v>
      </c>
      <c r="O996" t="s">
        <v>36</v>
      </c>
      <c r="Q996" t="s">
        <v>62</v>
      </c>
      <c r="R996" t="s">
        <v>378</v>
      </c>
      <c r="S996" t="s">
        <v>378</v>
      </c>
      <c r="T996" t="s">
        <v>47</v>
      </c>
      <c r="U996" t="s">
        <v>356</v>
      </c>
      <c r="V996" t="s">
        <v>49</v>
      </c>
      <c r="W996" t="s">
        <v>357</v>
      </c>
      <c r="X996" t="s">
        <v>51</v>
      </c>
      <c r="Y996" t="s">
        <v>175</v>
      </c>
      <c r="Z996" t="s">
        <v>175</v>
      </c>
      <c r="AA996" t="s">
        <v>608</v>
      </c>
      <c r="AB996" s="3">
        <f t="shared" si="125"/>
        <v>1</v>
      </c>
      <c r="AC996">
        <v>449.98</v>
      </c>
      <c r="AD996" s="2">
        <v>449.98</v>
      </c>
      <c r="AE996" s="2">
        <v>15.09</v>
      </c>
      <c r="AF996" s="2">
        <v>3.21</v>
      </c>
      <c r="AG996" s="2">
        <v>468.27</v>
      </c>
      <c r="AH996">
        <v>0</v>
      </c>
      <c r="AI996">
        <v>468.27</v>
      </c>
      <c r="AJ996">
        <v>2.3413499999999998</v>
      </c>
      <c r="AK996" t="s">
        <v>54</v>
      </c>
      <c r="AL996">
        <v>0.72</v>
      </c>
      <c r="AM996" s="4">
        <f t="shared" si="126"/>
        <v>468.27</v>
      </c>
      <c r="AN996" s="4">
        <f t="shared" si="127"/>
        <v>843.71250000000009</v>
      </c>
      <c r="AO996" s="4">
        <f t="shared" si="128"/>
        <v>937.36458750000008</v>
      </c>
      <c r="AP996" s="4">
        <f t="shared" si="129"/>
        <v>1366.7298787500001</v>
      </c>
      <c r="AQ996" s="10">
        <f t="shared" si="130"/>
        <v>814.36835700000006</v>
      </c>
      <c r="AR996" s="10">
        <f t="shared" si="131"/>
        <v>904.84468146270001</v>
      </c>
      <c r="AS996" s="10">
        <f t="shared" si="132"/>
        <v>1267.8086581776001</v>
      </c>
    </row>
    <row r="997" spans="1:45" x14ac:dyDescent="0.3">
      <c r="A997">
        <v>2025</v>
      </c>
      <c r="B997">
        <v>11</v>
      </c>
      <c r="C997" t="s">
        <v>55</v>
      </c>
      <c r="D997">
        <v>10</v>
      </c>
      <c r="E997" t="s">
        <v>36</v>
      </c>
      <c r="F997" t="s">
        <v>37</v>
      </c>
      <c r="G997" t="s">
        <v>38</v>
      </c>
      <c r="H997" t="s">
        <v>83</v>
      </c>
      <c r="I997" t="s">
        <v>375</v>
      </c>
      <c r="J997" t="s">
        <v>376</v>
      </c>
      <c r="K997" t="s">
        <v>51</v>
      </c>
      <c r="L997" t="s">
        <v>1622</v>
      </c>
      <c r="M997" t="s">
        <v>1623</v>
      </c>
      <c r="N997" t="s">
        <v>1485</v>
      </c>
      <c r="O997" t="s">
        <v>1197</v>
      </c>
      <c r="Q997" t="s">
        <v>62</v>
      </c>
      <c r="R997" t="s">
        <v>1624</v>
      </c>
      <c r="S997" t="s">
        <v>1624</v>
      </c>
      <c r="T997" t="s">
        <v>47</v>
      </c>
      <c r="U997" t="s">
        <v>356</v>
      </c>
      <c r="V997" t="s">
        <v>49</v>
      </c>
      <c r="W997" t="s">
        <v>357</v>
      </c>
      <c r="X997" t="s">
        <v>51</v>
      </c>
      <c r="Y997" t="s">
        <v>175</v>
      </c>
      <c r="Z997" t="s">
        <v>175</v>
      </c>
      <c r="AA997" t="s">
        <v>608</v>
      </c>
      <c r="AB997" s="3">
        <f t="shared" si="125"/>
        <v>2</v>
      </c>
      <c r="AC997">
        <v>868.17</v>
      </c>
      <c r="AD997" s="2">
        <v>434.08499999999998</v>
      </c>
      <c r="AE997" s="2">
        <v>47.15</v>
      </c>
      <c r="AF997" s="2">
        <v>6.19</v>
      </c>
      <c r="AG997" s="2">
        <v>921.51</v>
      </c>
      <c r="AH997">
        <v>0</v>
      </c>
      <c r="AI997">
        <v>460.755</v>
      </c>
      <c r="AJ997">
        <v>4.6075499999999998</v>
      </c>
      <c r="AK997" t="s">
        <v>54</v>
      </c>
      <c r="AL997">
        <v>2.25</v>
      </c>
      <c r="AM997" s="4">
        <f t="shared" si="126"/>
        <v>460.755</v>
      </c>
      <c r="AN997" s="4">
        <f t="shared" si="127"/>
        <v>813.90937499999995</v>
      </c>
      <c r="AO997" s="4">
        <f t="shared" si="128"/>
        <v>904.25331562499991</v>
      </c>
      <c r="AP997" s="4">
        <f t="shared" si="129"/>
        <v>1318.4517965624998</v>
      </c>
      <c r="AQ997" s="10">
        <f t="shared" si="130"/>
        <v>801.29902049999998</v>
      </c>
      <c r="AR997" s="10">
        <f t="shared" si="131"/>
        <v>890.32334167754993</v>
      </c>
      <c r="AS997" s="10">
        <f t="shared" si="132"/>
        <v>1247.4623151143999</v>
      </c>
    </row>
    <row r="998" spans="1:45" x14ac:dyDescent="0.3">
      <c r="A998">
        <v>2025</v>
      </c>
      <c r="B998">
        <v>11</v>
      </c>
      <c r="C998" t="s">
        <v>55</v>
      </c>
      <c r="D998">
        <v>10</v>
      </c>
      <c r="E998" t="s">
        <v>36</v>
      </c>
      <c r="F998" t="s">
        <v>37</v>
      </c>
      <c r="G998" t="s">
        <v>38</v>
      </c>
      <c r="H998" t="s">
        <v>83</v>
      </c>
      <c r="I998" t="s">
        <v>375</v>
      </c>
      <c r="J998" t="s">
        <v>376</v>
      </c>
      <c r="K998" t="s">
        <v>51</v>
      </c>
      <c r="L998" t="s">
        <v>1622</v>
      </c>
      <c r="M998" t="s">
        <v>1623</v>
      </c>
      <c r="N998" t="s">
        <v>1485</v>
      </c>
      <c r="O998" t="s">
        <v>1197</v>
      </c>
      <c r="Q998" t="s">
        <v>62</v>
      </c>
      <c r="R998" t="s">
        <v>1624</v>
      </c>
      <c r="S998" t="s">
        <v>1624</v>
      </c>
      <c r="T998" t="s">
        <v>47</v>
      </c>
      <c r="U998" t="s">
        <v>356</v>
      </c>
      <c r="V998" t="s">
        <v>49</v>
      </c>
      <c r="W998" t="s">
        <v>357</v>
      </c>
      <c r="X998" t="s">
        <v>51</v>
      </c>
      <c r="Y998" t="s">
        <v>1532</v>
      </c>
      <c r="Z998" t="s">
        <v>1532</v>
      </c>
      <c r="AA998" t="s">
        <v>608</v>
      </c>
      <c r="AB998" s="3">
        <f t="shared" si="125"/>
        <v>2</v>
      </c>
      <c r="AC998">
        <v>922.29</v>
      </c>
      <c r="AD998" s="2">
        <v>461.14499999999998</v>
      </c>
      <c r="AE998" s="2">
        <v>129.13999999999999</v>
      </c>
      <c r="AF998" s="2">
        <v>6.38</v>
      </c>
      <c r="AG998" s="2">
        <v>1057.81</v>
      </c>
      <c r="AH998">
        <v>0</v>
      </c>
      <c r="AI998">
        <v>528.90499999999997</v>
      </c>
      <c r="AJ998">
        <v>5.2890499999999996</v>
      </c>
      <c r="AK998" t="s">
        <v>54</v>
      </c>
      <c r="AL998">
        <v>7.3</v>
      </c>
      <c r="AM998" s="4">
        <f t="shared" si="126"/>
        <v>528.90499999999997</v>
      </c>
      <c r="AN998" s="4">
        <f t="shared" si="127"/>
        <v>864.64687499999991</v>
      </c>
      <c r="AO998" s="4">
        <f t="shared" si="128"/>
        <v>960.62267812499988</v>
      </c>
      <c r="AP998" s="4">
        <f t="shared" si="129"/>
        <v>1400.6414728124998</v>
      </c>
      <c r="AQ998" s="10">
        <f t="shared" si="130"/>
        <v>919.81868550000002</v>
      </c>
      <c r="AR998" s="10">
        <f t="shared" si="131"/>
        <v>1022.01054145905</v>
      </c>
      <c r="AS998" s="10">
        <f t="shared" si="132"/>
        <v>1431.9737295863999</v>
      </c>
    </row>
    <row r="999" spans="1:45" x14ac:dyDescent="0.3">
      <c r="A999">
        <v>2025</v>
      </c>
      <c r="B999">
        <v>11</v>
      </c>
      <c r="C999" t="s">
        <v>55</v>
      </c>
      <c r="D999">
        <v>10</v>
      </c>
      <c r="E999" t="s">
        <v>36</v>
      </c>
      <c r="F999" t="s">
        <v>37</v>
      </c>
      <c r="G999" t="s">
        <v>38</v>
      </c>
      <c r="H999" t="s">
        <v>78</v>
      </c>
      <c r="I999" t="s">
        <v>375</v>
      </c>
      <c r="J999" t="s">
        <v>376</v>
      </c>
      <c r="K999" t="s">
        <v>51</v>
      </c>
      <c r="L999" t="s">
        <v>1622</v>
      </c>
      <c r="M999" t="s">
        <v>1623</v>
      </c>
      <c r="N999" t="s">
        <v>1485</v>
      </c>
      <c r="O999" t="s">
        <v>1197</v>
      </c>
      <c r="Q999" t="s">
        <v>62</v>
      </c>
      <c r="R999" t="s">
        <v>1624</v>
      </c>
      <c r="S999" t="s">
        <v>1624</v>
      </c>
      <c r="T999" t="s">
        <v>47</v>
      </c>
      <c r="U999" t="s">
        <v>118</v>
      </c>
      <c r="V999" t="s">
        <v>49</v>
      </c>
      <c r="W999" t="s">
        <v>714</v>
      </c>
      <c r="X999" t="s">
        <v>51</v>
      </c>
      <c r="Y999" t="s">
        <v>1532</v>
      </c>
      <c r="Z999" t="s">
        <v>1532</v>
      </c>
      <c r="AA999" t="s">
        <v>608</v>
      </c>
      <c r="AB999" s="3">
        <f t="shared" si="125"/>
        <v>4</v>
      </c>
      <c r="AC999">
        <v>1844.56</v>
      </c>
      <c r="AD999" s="2">
        <v>461.14</v>
      </c>
      <c r="AE999" s="2">
        <v>258.27999999999997</v>
      </c>
      <c r="AF999" s="2">
        <v>12.77</v>
      </c>
      <c r="AG999" s="2">
        <v>2115.61</v>
      </c>
      <c r="AH999">
        <v>0</v>
      </c>
      <c r="AI999">
        <v>528.90250000000003</v>
      </c>
      <c r="AJ999">
        <v>10.578049999999999</v>
      </c>
      <c r="AK999" t="s">
        <v>54</v>
      </c>
      <c r="AL999">
        <v>14.6</v>
      </c>
      <c r="AM999" s="4">
        <f t="shared" si="126"/>
        <v>528.90250000000003</v>
      </c>
      <c r="AN999" s="4">
        <f t="shared" si="127"/>
        <v>864.63749999999993</v>
      </c>
      <c r="AO999" s="4">
        <f t="shared" si="128"/>
        <v>960.61226249999993</v>
      </c>
      <c r="AP999" s="4">
        <f t="shared" si="129"/>
        <v>1400.6262862499998</v>
      </c>
      <c r="AQ999" s="10">
        <f t="shared" si="130"/>
        <v>919.81433775000005</v>
      </c>
      <c r="AR999" s="10">
        <f t="shared" si="131"/>
        <v>1022.0057106740251</v>
      </c>
      <c r="AS999" s="10">
        <f t="shared" si="132"/>
        <v>1431.9669610092001</v>
      </c>
    </row>
    <row r="1000" spans="1:45" x14ac:dyDescent="0.3">
      <c r="A1000">
        <v>2025</v>
      </c>
      <c r="B1000">
        <v>3</v>
      </c>
      <c r="C1000" t="s">
        <v>55</v>
      </c>
      <c r="D1000">
        <v>10</v>
      </c>
      <c r="E1000" t="s">
        <v>36</v>
      </c>
      <c r="F1000" t="s">
        <v>37</v>
      </c>
      <c r="G1000" t="s">
        <v>38</v>
      </c>
      <c r="H1000" t="s">
        <v>78</v>
      </c>
      <c r="I1000" t="s">
        <v>190</v>
      </c>
      <c r="J1000" t="s">
        <v>58</v>
      </c>
      <c r="K1000" t="s">
        <v>59</v>
      </c>
      <c r="M1000" t="s">
        <v>209</v>
      </c>
      <c r="N1000" t="s">
        <v>61</v>
      </c>
      <c r="O1000" t="s">
        <v>43</v>
      </c>
      <c r="Q1000" t="s">
        <v>62</v>
      </c>
      <c r="R1000" t="s">
        <v>210</v>
      </c>
      <c r="S1000" t="s">
        <v>211</v>
      </c>
      <c r="T1000" t="s">
        <v>47</v>
      </c>
      <c r="U1000" t="s">
        <v>118</v>
      </c>
      <c r="V1000" t="s">
        <v>49</v>
      </c>
      <c r="W1000" t="s">
        <v>119</v>
      </c>
      <c r="X1000" t="s">
        <v>51</v>
      </c>
      <c r="Y1000" t="s">
        <v>1349</v>
      </c>
      <c r="Z1000" t="s">
        <v>1349</v>
      </c>
      <c r="AA1000" t="s">
        <v>1700</v>
      </c>
      <c r="AB1000" s="3">
        <f t="shared" si="125"/>
        <v>5.9999999999999654</v>
      </c>
      <c r="AC1000">
        <v>347.83</v>
      </c>
      <c r="AD1000" s="2">
        <v>57.971666666666998</v>
      </c>
      <c r="AE1000" s="2">
        <v>48.71</v>
      </c>
      <c r="AF1000" s="2">
        <v>2.41</v>
      </c>
      <c r="AG1000" s="2">
        <v>398.95</v>
      </c>
      <c r="AH1000">
        <v>0</v>
      </c>
      <c r="AI1000">
        <v>66.491666666667001</v>
      </c>
      <c r="AJ1000">
        <v>1.99475</v>
      </c>
      <c r="AK1000" t="s">
        <v>54</v>
      </c>
      <c r="AL1000">
        <v>2.65</v>
      </c>
      <c r="AM1000" s="4">
        <f t="shared" si="126"/>
        <v>66.491666666667044</v>
      </c>
      <c r="AN1000" s="4">
        <f t="shared" si="127"/>
        <v>108.69687500000062</v>
      </c>
      <c r="AO1000" s="4">
        <f t="shared" si="128"/>
        <v>120.76222812500069</v>
      </c>
      <c r="AP1000" s="4">
        <f t="shared" si="129"/>
        <v>176.07806781250099</v>
      </c>
      <c r="AQ1000" s="10">
        <f t="shared" si="130"/>
        <v>115.63565750000066</v>
      </c>
      <c r="AR1000" s="10">
        <f t="shared" si="131"/>
        <v>128.48277904825073</v>
      </c>
      <c r="AS1000" s="10">
        <f t="shared" si="132"/>
        <v>180.02159159600103</v>
      </c>
    </row>
    <row r="1001" spans="1:45" x14ac:dyDescent="0.3">
      <c r="A1001">
        <v>2025</v>
      </c>
      <c r="B1001">
        <v>4</v>
      </c>
      <c r="C1001" t="s">
        <v>55</v>
      </c>
      <c r="D1001">
        <v>10</v>
      </c>
      <c r="E1001" t="s">
        <v>36</v>
      </c>
      <c r="F1001" t="s">
        <v>37</v>
      </c>
      <c r="G1001" t="s">
        <v>38</v>
      </c>
      <c r="H1001" t="s">
        <v>78</v>
      </c>
      <c r="I1001" t="s">
        <v>375</v>
      </c>
      <c r="J1001" t="s">
        <v>376</v>
      </c>
      <c r="K1001" t="s">
        <v>59</v>
      </c>
      <c r="M1001">
        <v>2503061</v>
      </c>
      <c r="N1001" t="s">
        <v>377</v>
      </c>
      <c r="O1001" t="s">
        <v>36</v>
      </c>
      <c r="Q1001" t="s">
        <v>62</v>
      </c>
      <c r="R1001" t="s">
        <v>378</v>
      </c>
      <c r="S1001" t="s">
        <v>378</v>
      </c>
      <c r="T1001" t="s">
        <v>47</v>
      </c>
      <c r="U1001" t="s">
        <v>118</v>
      </c>
      <c r="V1001" t="s">
        <v>49</v>
      </c>
      <c r="W1001" t="s">
        <v>119</v>
      </c>
      <c r="X1001" t="s">
        <v>51</v>
      </c>
      <c r="Y1001" t="s">
        <v>116</v>
      </c>
      <c r="Z1001" t="s">
        <v>64</v>
      </c>
      <c r="AA1001" t="s">
        <v>310</v>
      </c>
      <c r="AB1001" s="3">
        <f t="shared" si="125"/>
        <v>5.9999999999999023</v>
      </c>
      <c r="AC1001">
        <v>1226.8</v>
      </c>
      <c r="AD1001" s="2">
        <v>204.46666666666999</v>
      </c>
      <c r="AE1001" s="2">
        <v>274.02999999999997</v>
      </c>
      <c r="AF1001" s="2">
        <v>8.99</v>
      </c>
      <c r="AG1001" s="2">
        <v>1509.81</v>
      </c>
      <c r="AH1001">
        <v>0</v>
      </c>
      <c r="AI1001">
        <v>251.63499999999999</v>
      </c>
      <c r="AJ1001">
        <v>7.5490500000000003</v>
      </c>
      <c r="AK1001" t="s">
        <v>54</v>
      </c>
      <c r="AL1001">
        <v>13.21</v>
      </c>
      <c r="AM1001" s="4">
        <f t="shared" si="126"/>
        <v>251.63500000000408</v>
      </c>
      <c r="AN1001" s="4">
        <f t="shared" si="127"/>
        <v>383.37500000000625</v>
      </c>
      <c r="AO1001" s="4">
        <f t="shared" si="128"/>
        <v>425.92962500000692</v>
      </c>
      <c r="AP1001" s="4">
        <f t="shared" si="129"/>
        <v>621.0291625000101</v>
      </c>
      <c r="AQ1001" s="10">
        <f t="shared" si="130"/>
        <v>437.6184285000071</v>
      </c>
      <c r="AR1001" s="10">
        <f t="shared" si="131"/>
        <v>486.23783590635787</v>
      </c>
      <c r="AS1001" s="10">
        <f t="shared" si="132"/>
        <v>681.28436948881108</v>
      </c>
    </row>
    <row r="1002" spans="1:45" x14ac:dyDescent="0.3">
      <c r="A1002">
        <v>2025</v>
      </c>
      <c r="B1002">
        <v>5</v>
      </c>
      <c r="C1002" t="s">
        <v>55</v>
      </c>
      <c r="D1002">
        <v>10</v>
      </c>
      <c r="E1002" t="s">
        <v>36</v>
      </c>
      <c r="F1002" t="s">
        <v>37</v>
      </c>
      <c r="G1002" t="s">
        <v>38</v>
      </c>
      <c r="H1002" t="s">
        <v>78</v>
      </c>
      <c r="I1002" t="s">
        <v>190</v>
      </c>
      <c r="J1002" t="s">
        <v>58</v>
      </c>
      <c r="K1002" t="s">
        <v>59</v>
      </c>
      <c r="M1002" t="s">
        <v>682</v>
      </c>
      <c r="N1002" t="s">
        <v>384</v>
      </c>
      <c r="O1002" t="s">
        <v>36</v>
      </c>
      <c r="Q1002" t="s">
        <v>62</v>
      </c>
      <c r="R1002" t="s">
        <v>683</v>
      </c>
      <c r="S1002" t="s">
        <v>683</v>
      </c>
      <c r="T1002" t="s">
        <v>47</v>
      </c>
      <c r="U1002" t="s">
        <v>118</v>
      </c>
      <c r="V1002" t="s">
        <v>49</v>
      </c>
      <c r="W1002" t="s">
        <v>714</v>
      </c>
      <c r="X1002" t="s">
        <v>686</v>
      </c>
      <c r="Y1002" t="s">
        <v>492</v>
      </c>
      <c r="Z1002" t="s">
        <v>492</v>
      </c>
      <c r="AA1002" t="s">
        <v>310</v>
      </c>
      <c r="AB1002" s="3">
        <f t="shared" si="125"/>
        <v>8</v>
      </c>
      <c r="AC1002">
        <v>1386.71</v>
      </c>
      <c r="AD1002" s="2">
        <v>173.33875</v>
      </c>
      <c r="AE1002" s="2">
        <v>188.8</v>
      </c>
      <c r="AF1002" s="2">
        <v>9.7899999999999991</v>
      </c>
      <c r="AG1002" s="2">
        <v>1585.3</v>
      </c>
      <c r="AH1002">
        <v>0</v>
      </c>
      <c r="AI1002">
        <v>198.16249999999999</v>
      </c>
      <c r="AJ1002">
        <v>7.9264999999999999</v>
      </c>
      <c r="AK1002" t="s">
        <v>54</v>
      </c>
      <c r="AL1002">
        <v>9.01</v>
      </c>
      <c r="AM1002" s="4">
        <f t="shared" si="126"/>
        <v>198.16249999999999</v>
      </c>
      <c r="AN1002" s="4">
        <f t="shared" si="127"/>
        <v>325.01015625000002</v>
      </c>
      <c r="AO1002" s="4">
        <f t="shared" si="128"/>
        <v>361.08628359375001</v>
      </c>
      <c r="AP1002" s="4">
        <f t="shared" si="129"/>
        <v>526.48395210937497</v>
      </c>
      <c r="AQ1002" s="10">
        <f t="shared" si="130"/>
        <v>344.62440375</v>
      </c>
      <c r="AR1002" s="10">
        <f t="shared" si="131"/>
        <v>382.91217500662498</v>
      </c>
      <c r="AS1002" s="10">
        <f t="shared" si="132"/>
        <v>536.51127175800002</v>
      </c>
    </row>
    <row r="1003" spans="1:45" x14ac:dyDescent="0.3">
      <c r="A1003">
        <v>2025</v>
      </c>
      <c r="B1003">
        <v>11</v>
      </c>
      <c r="C1003" t="s">
        <v>55</v>
      </c>
      <c r="D1003">
        <v>10</v>
      </c>
      <c r="E1003" t="s">
        <v>36</v>
      </c>
      <c r="F1003" t="s">
        <v>37</v>
      </c>
      <c r="G1003" t="s">
        <v>38</v>
      </c>
      <c r="H1003" t="s">
        <v>78</v>
      </c>
      <c r="I1003" t="s">
        <v>375</v>
      </c>
      <c r="J1003" t="s">
        <v>376</v>
      </c>
      <c r="K1003" t="s">
        <v>59</v>
      </c>
      <c r="L1003" t="s">
        <v>1647</v>
      </c>
      <c r="M1003" t="s">
        <v>1633</v>
      </c>
      <c r="N1003" t="s">
        <v>1485</v>
      </c>
      <c r="O1003" t="s">
        <v>1197</v>
      </c>
      <c r="Q1003" t="s">
        <v>62</v>
      </c>
      <c r="R1003" t="s">
        <v>1648</v>
      </c>
      <c r="S1003" t="s">
        <v>1648</v>
      </c>
      <c r="T1003" t="s">
        <v>47</v>
      </c>
      <c r="U1003" t="s">
        <v>118</v>
      </c>
      <c r="V1003" t="s">
        <v>49</v>
      </c>
      <c r="W1003" t="s">
        <v>714</v>
      </c>
      <c r="X1003" t="s">
        <v>51</v>
      </c>
      <c r="Y1003" t="s">
        <v>116</v>
      </c>
      <c r="Z1003" t="s">
        <v>116</v>
      </c>
      <c r="AA1003" t="s">
        <v>310</v>
      </c>
      <c r="AB1003" s="3">
        <f t="shared" si="125"/>
        <v>2</v>
      </c>
      <c r="AC1003">
        <v>327.79</v>
      </c>
      <c r="AD1003" s="2">
        <v>163.89500000000001</v>
      </c>
      <c r="AE1003" s="2">
        <v>189.64</v>
      </c>
      <c r="AF1003" s="2">
        <v>2.89</v>
      </c>
      <c r="AG1003" s="2">
        <v>520.33000000000004</v>
      </c>
      <c r="AH1003">
        <v>0</v>
      </c>
      <c r="AI1003">
        <v>260.16500000000002</v>
      </c>
      <c r="AJ1003">
        <v>2.6016499999999998</v>
      </c>
      <c r="AK1003" t="s">
        <v>54</v>
      </c>
      <c r="AL1003">
        <v>6.22</v>
      </c>
      <c r="AM1003" s="4">
        <f t="shared" si="126"/>
        <v>260.16500000000002</v>
      </c>
      <c r="AN1003" s="4">
        <f t="shared" si="127"/>
        <v>307.30312500000002</v>
      </c>
      <c r="AO1003" s="4">
        <f t="shared" si="128"/>
        <v>341.41377187500001</v>
      </c>
      <c r="AP1003" s="4">
        <f t="shared" si="129"/>
        <v>497.80033218750003</v>
      </c>
      <c r="AQ1003" s="10">
        <f t="shared" si="130"/>
        <v>452.45295150000004</v>
      </c>
      <c r="AR1003" s="10">
        <f t="shared" si="131"/>
        <v>502.72047441165006</v>
      </c>
      <c r="AS1003" s="10">
        <f t="shared" si="132"/>
        <v>704.37875489520002</v>
      </c>
    </row>
    <row r="1004" spans="1:45" x14ac:dyDescent="0.3">
      <c r="A1004">
        <v>2025</v>
      </c>
      <c r="B1004">
        <v>12</v>
      </c>
      <c r="C1004" t="s">
        <v>55</v>
      </c>
      <c r="D1004">
        <v>10</v>
      </c>
      <c r="E1004" t="s">
        <v>36</v>
      </c>
      <c r="F1004" t="s">
        <v>37</v>
      </c>
      <c r="G1004" t="s">
        <v>38</v>
      </c>
      <c r="H1004" t="s">
        <v>83</v>
      </c>
      <c r="I1004" t="s">
        <v>57</v>
      </c>
      <c r="J1004" t="s">
        <v>58</v>
      </c>
      <c r="K1004" t="s">
        <v>59</v>
      </c>
      <c r="L1004" t="s">
        <v>1769</v>
      </c>
      <c r="M1004" t="s">
        <v>1770</v>
      </c>
      <c r="N1004" t="s">
        <v>1771</v>
      </c>
      <c r="O1004" t="s">
        <v>1197</v>
      </c>
      <c r="Q1004" t="s">
        <v>62</v>
      </c>
      <c r="R1004" t="s">
        <v>1772</v>
      </c>
      <c r="S1004" t="s">
        <v>1772</v>
      </c>
      <c r="T1004" t="s">
        <v>47</v>
      </c>
      <c r="U1004" t="s">
        <v>167</v>
      </c>
      <c r="V1004" t="s">
        <v>49</v>
      </c>
      <c r="W1004" t="s">
        <v>168</v>
      </c>
      <c r="X1004" t="s">
        <v>51</v>
      </c>
      <c r="Y1004" t="s">
        <v>1088</v>
      </c>
      <c r="Z1004" t="s">
        <v>1088</v>
      </c>
      <c r="AA1004" t="s">
        <v>310</v>
      </c>
      <c r="AB1004" s="3">
        <f t="shared" si="125"/>
        <v>19.999999999999996</v>
      </c>
      <c r="AC1004">
        <v>3211.7</v>
      </c>
      <c r="AD1004" s="2">
        <v>160.58500000000001</v>
      </c>
      <c r="AE1004" s="2">
        <v>1107.5999999999999</v>
      </c>
      <c r="AF1004" s="2">
        <v>36.9</v>
      </c>
      <c r="AG1004" s="2">
        <v>4354.76</v>
      </c>
      <c r="AH1004">
        <v>0</v>
      </c>
      <c r="AI1004">
        <v>217.738</v>
      </c>
      <c r="AJ1004">
        <v>21.773800000000001</v>
      </c>
      <c r="AK1004" t="s">
        <v>54</v>
      </c>
      <c r="AL1004">
        <v>28.49</v>
      </c>
      <c r="AM1004" s="4">
        <f t="shared" si="126"/>
        <v>217.73800000000006</v>
      </c>
      <c r="AN1004" s="4">
        <f t="shared" si="127"/>
        <v>301.09687500000001</v>
      </c>
      <c r="AO1004" s="4">
        <f t="shared" si="128"/>
        <v>334.51862812500002</v>
      </c>
      <c r="AP1004" s="4">
        <f t="shared" si="129"/>
        <v>487.74682781249999</v>
      </c>
      <c r="AQ1004" s="10">
        <f t="shared" si="130"/>
        <v>378.66815580000014</v>
      </c>
      <c r="AR1004" s="10">
        <f t="shared" si="131"/>
        <v>420.73818790938014</v>
      </c>
      <c r="AS1004" s="10">
        <f t="shared" si="132"/>
        <v>589.51058494944016</v>
      </c>
    </row>
    <row r="1005" spans="1:45" x14ac:dyDescent="0.3">
      <c r="A1005">
        <v>2025</v>
      </c>
      <c r="B1005">
        <v>12</v>
      </c>
      <c r="C1005" t="s">
        <v>55</v>
      </c>
      <c r="D1005">
        <v>10</v>
      </c>
      <c r="E1005" t="s">
        <v>36</v>
      </c>
      <c r="F1005" t="s">
        <v>37</v>
      </c>
      <c r="G1005" t="s">
        <v>38</v>
      </c>
      <c r="H1005" t="s">
        <v>206</v>
      </c>
      <c r="I1005" t="s">
        <v>57</v>
      </c>
      <c r="J1005" t="s">
        <v>58</v>
      </c>
      <c r="K1005" t="s">
        <v>59</v>
      </c>
      <c r="L1005" t="s">
        <v>1769</v>
      </c>
      <c r="M1005" t="s">
        <v>1770</v>
      </c>
      <c r="N1005" t="s">
        <v>1771</v>
      </c>
      <c r="O1005" t="s">
        <v>1197</v>
      </c>
      <c r="Q1005" t="s">
        <v>62</v>
      </c>
      <c r="R1005" t="s">
        <v>1772</v>
      </c>
      <c r="S1005" t="s">
        <v>1772</v>
      </c>
      <c r="T1005" t="s">
        <v>47</v>
      </c>
      <c r="U1005" t="s">
        <v>118</v>
      </c>
      <c r="V1005" t="s">
        <v>49</v>
      </c>
      <c r="W1005" t="s">
        <v>714</v>
      </c>
      <c r="X1005" t="s">
        <v>51</v>
      </c>
      <c r="Y1005" t="s">
        <v>1899</v>
      </c>
      <c r="Z1005" t="s">
        <v>1899</v>
      </c>
      <c r="AA1005" t="s">
        <v>1900</v>
      </c>
      <c r="AB1005" s="3">
        <f t="shared" si="125"/>
        <v>1</v>
      </c>
      <c r="AC1005">
        <v>450.29</v>
      </c>
      <c r="AD1005" s="2">
        <v>450.29</v>
      </c>
      <c r="AE1005" s="2">
        <v>133.66999999999999</v>
      </c>
      <c r="AF1005" s="2">
        <v>3.38</v>
      </c>
      <c r="AG1005" s="2">
        <v>587.34</v>
      </c>
      <c r="AH1005">
        <v>0</v>
      </c>
      <c r="AI1005">
        <v>587.34</v>
      </c>
      <c r="AJ1005">
        <v>2.9367000000000001</v>
      </c>
      <c r="AK1005" t="s">
        <v>54</v>
      </c>
      <c r="AL1005">
        <v>3.35</v>
      </c>
      <c r="AM1005" s="4">
        <f t="shared" si="126"/>
        <v>587.34</v>
      </c>
      <c r="AN1005" s="4">
        <f t="shared" si="127"/>
        <v>844.29375000000005</v>
      </c>
      <c r="AO1005" s="4">
        <f t="shared" si="128"/>
        <v>938.01035625000009</v>
      </c>
      <c r="AP1005" s="4">
        <f t="shared" si="129"/>
        <v>1367.6714456249999</v>
      </c>
      <c r="AQ1005" s="10">
        <f t="shared" si="130"/>
        <v>1021.4429940000001</v>
      </c>
      <c r="AR1005" s="10">
        <f t="shared" si="131"/>
        <v>1134.9253106334002</v>
      </c>
      <c r="AS1005" s="10">
        <f t="shared" si="132"/>
        <v>1590.1824530592</v>
      </c>
    </row>
    <row r="1006" spans="1:45" x14ac:dyDescent="0.3">
      <c r="A1006">
        <v>2025</v>
      </c>
      <c r="B1006">
        <v>12</v>
      </c>
      <c r="C1006" t="s">
        <v>55</v>
      </c>
      <c r="D1006">
        <v>10</v>
      </c>
      <c r="E1006" t="s">
        <v>36</v>
      </c>
      <c r="F1006" t="s">
        <v>37</v>
      </c>
      <c r="G1006" t="s">
        <v>38</v>
      </c>
      <c r="H1006" t="s">
        <v>206</v>
      </c>
      <c r="I1006" t="s">
        <v>57</v>
      </c>
      <c r="J1006" t="s">
        <v>58</v>
      </c>
      <c r="K1006" t="s">
        <v>59</v>
      </c>
      <c r="L1006" t="s">
        <v>1769</v>
      </c>
      <c r="M1006" t="s">
        <v>1770</v>
      </c>
      <c r="N1006" t="s">
        <v>1771</v>
      </c>
      <c r="O1006" t="s">
        <v>1197</v>
      </c>
      <c r="Q1006" t="s">
        <v>62</v>
      </c>
      <c r="R1006" t="s">
        <v>1772</v>
      </c>
      <c r="S1006" t="s">
        <v>1772</v>
      </c>
      <c r="T1006" t="s">
        <v>47</v>
      </c>
      <c r="U1006" t="s">
        <v>118</v>
      </c>
      <c r="V1006" t="s">
        <v>49</v>
      </c>
      <c r="W1006" t="s">
        <v>714</v>
      </c>
      <c r="X1006" t="s">
        <v>51</v>
      </c>
      <c r="Y1006" t="s">
        <v>1857</v>
      </c>
      <c r="Z1006" t="s">
        <v>1857</v>
      </c>
      <c r="AA1006" t="s">
        <v>1858</v>
      </c>
      <c r="AB1006" s="3">
        <f t="shared" si="125"/>
        <v>2</v>
      </c>
      <c r="AC1006">
        <v>134.41999999999999</v>
      </c>
      <c r="AD1006" s="2">
        <v>67.209999999999994</v>
      </c>
      <c r="AE1006" s="2">
        <v>39.9</v>
      </c>
      <c r="AF1006" s="2">
        <v>1.1000000000000001</v>
      </c>
      <c r="AG1006" s="2">
        <v>175.33</v>
      </c>
      <c r="AH1006">
        <v>0</v>
      </c>
      <c r="AI1006">
        <v>87.665000000000006</v>
      </c>
      <c r="AJ1006">
        <v>0.87665000000000004</v>
      </c>
      <c r="AK1006" t="s">
        <v>54</v>
      </c>
      <c r="AL1006">
        <v>1</v>
      </c>
      <c r="AM1006" s="4">
        <f t="shared" si="126"/>
        <v>87.665000000000006</v>
      </c>
      <c r="AN1006" s="4">
        <f t="shared" si="127"/>
        <v>126.01874999999998</v>
      </c>
      <c r="AO1006" s="4">
        <f t="shared" si="128"/>
        <v>140.00683124999998</v>
      </c>
      <c r="AP1006" s="4">
        <f t="shared" si="129"/>
        <v>204.13777312499997</v>
      </c>
      <c r="AQ1006" s="10">
        <f t="shared" si="130"/>
        <v>152.45820150000003</v>
      </c>
      <c r="AR1006" s="10">
        <f t="shared" si="131"/>
        <v>169.39630768665003</v>
      </c>
      <c r="AS1006" s="10">
        <f t="shared" si="132"/>
        <v>237.34692809520004</v>
      </c>
    </row>
    <row r="1007" spans="1:45" x14ac:dyDescent="0.3">
      <c r="A1007">
        <v>2025</v>
      </c>
      <c r="B1007">
        <v>1</v>
      </c>
      <c r="C1007" t="s">
        <v>55</v>
      </c>
      <c r="D1007">
        <v>10</v>
      </c>
      <c r="E1007" t="s">
        <v>36</v>
      </c>
      <c r="F1007" t="s">
        <v>37</v>
      </c>
      <c r="G1007" t="s">
        <v>38</v>
      </c>
      <c r="H1007" t="s">
        <v>141</v>
      </c>
      <c r="I1007" t="s">
        <v>57</v>
      </c>
      <c r="J1007" t="s">
        <v>58</v>
      </c>
      <c r="K1007" t="s">
        <v>59</v>
      </c>
      <c r="M1007" t="s">
        <v>60</v>
      </c>
      <c r="N1007" t="s">
        <v>61</v>
      </c>
      <c r="O1007" t="s">
        <v>43</v>
      </c>
      <c r="Q1007" t="s">
        <v>62</v>
      </c>
      <c r="R1007" t="s">
        <v>63</v>
      </c>
      <c r="S1007" t="s">
        <v>63</v>
      </c>
      <c r="T1007" t="s">
        <v>47</v>
      </c>
      <c r="U1007" t="s">
        <v>118</v>
      </c>
      <c r="V1007" t="s">
        <v>49</v>
      </c>
      <c r="W1007" t="s">
        <v>119</v>
      </c>
      <c r="X1007" t="s">
        <v>51</v>
      </c>
      <c r="Y1007" t="s">
        <v>1857</v>
      </c>
      <c r="Z1007" t="s">
        <v>1857</v>
      </c>
      <c r="AA1007" t="s">
        <v>1858</v>
      </c>
      <c r="AB1007" s="3">
        <f t="shared" si="125"/>
        <v>2</v>
      </c>
      <c r="AC1007">
        <v>134.41999999999999</v>
      </c>
      <c r="AD1007" s="2">
        <v>67.209999999999994</v>
      </c>
      <c r="AE1007" s="2">
        <v>39.9</v>
      </c>
      <c r="AF1007" s="2">
        <v>1.1000000000000001</v>
      </c>
      <c r="AG1007" s="2">
        <v>175.33</v>
      </c>
      <c r="AH1007">
        <v>0</v>
      </c>
      <c r="AI1007">
        <v>87.665000000000006</v>
      </c>
      <c r="AJ1007">
        <v>0.87665000000000004</v>
      </c>
      <c r="AK1007" t="s">
        <v>54</v>
      </c>
      <c r="AL1007">
        <v>1</v>
      </c>
      <c r="AM1007" s="4">
        <f t="shared" si="126"/>
        <v>87.665000000000006</v>
      </c>
      <c r="AN1007" s="4">
        <f t="shared" si="127"/>
        <v>126.01874999999998</v>
      </c>
      <c r="AO1007" s="4">
        <f t="shared" si="128"/>
        <v>140.00683124999998</v>
      </c>
      <c r="AP1007" s="4">
        <f t="shared" si="129"/>
        <v>204.13777312499997</v>
      </c>
      <c r="AQ1007" s="10">
        <f t="shared" si="130"/>
        <v>152.45820150000003</v>
      </c>
      <c r="AR1007" s="10">
        <f t="shared" si="131"/>
        <v>169.39630768665003</v>
      </c>
      <c r="AS1007" s="10">
        <f t="shared" si="132"/>
        <v>237.34692809520004</v>
      </c>
    </row>
    <row r="1008" spans="1:45" x14ac:dyDescent="0.3">
      <c r="A1008">
        <v>2025</v>
      </c>
      <c r="B1008">
        <v>3</v>
      </c>
      <c r="C1008" t="s">
        <v>55</v>
      </c>
      <c r="D1008">
        <v>10</v>
      </c>
      <c r="E1008" t="s">
        <v>36</v>
      </c>
      <c r="F1008" t="s">
        <v>37</v>
      </c>
      <c r="G1008" t="s">
        <v>38</v>
      </c>
      <c r="H1008" t="s">
        <v>141</v>
      </c>
      <c r="I1008" t="s">
        <v>190</v>
      </c>
      <c r="J1008" t="s">
        <v>58</v>
      </c>
      <c r="K1008" t="s">
        <v>59</v>
      </c>
      <c r="M1008" t="s">
        <v>209</v>
      </c>
      <c r="N1008" t="s">
        <v>61</v>
      </c>
      <c r="O1008" t="s">
        <v>43</v>
      </c>
      <c r="Q1008" t="s">
        <v>62</v>
      </c>
      <c r="R1008" t="s">
        <v>210</v>
      </c>
      <c r="S1008" t="s">
        <v>211</v>
      </c>
      <c r="T1008" t="s">
        <v>47</v>
      </c>
      <c r="U1008" t="s">
        <v>118</v>
      </c>
      <c r="V1008" t="s">
        <v>49</v>
      </c>
      <c r="W1008" t="s">
        <v>119</v>
      </c>
      <c r="X1008" t="s">
        <v>51</v>
      </c>
      <c r="Y1008" t="s">
        <v>144</v>
      </c>
      <c r="Z1008" t="s">
        <v>64</v>
      </c>
      <c r="AA1008" t="s">
        <v>145</v>
      </c>
      <c r="AB1008" s="3">
        <f t="shared" si="125"/>
        <v>4</v>
      </c>
      <c r="AC1008">
        <v>453.12</v>
      </c>
      <c r="AD1008" s="2">
        <v>113.28</v>
      </c>
      <c r="AE1008" s="2">
        <v>108.86</v>
      </c>
      <c r="AF1008" s="2">
        <v>3.13</v>
      </c>
      <c r="AG1008" s="2">
        <v>565.11</v>
      </c>
      <c r="AH1008">
        <v>0</v>
      </c>
      <c r="AI1008">
        <v>141.2775</v>
      </c>
      <c r="AJ1008">
        <v>2.8255499999999998</v>
      </c>
      <c r="AK1008" t="s">
        <v>54</v>
      </c>
      <c r="AL1008">
        <v>12.02</v>
      </c>
      <c r="AM1008" s="4">
        <f t="shared" si="126"/>
        <v>141.2775</v>
      </c>
      <c r="AN1008" s="4">
        <f t="shared" si="127"/>
        <v>212.4</v>
      </c>
      <c r="AO1008" s="4">
        <f t="shared" si="128"/>
        <v>235.97640000000001</v>
      </c>
      <c r="AP1008" s="4">
        <f t="shared" si="129"/>
        <v>344.06675999999999</v>
      </c>
      <c r="AQ1008" s="10">
        <f t="shared" si="130"/>
        <v>245.69570025000002</v>
      </c>
      <c r="AR1008" s="10">
        <f t="shared" si="131"/>
        <v>272.99249254777499</v>
      </c>
      <c r="AS1008" s="10">
        <f t="shared" si="132"/>
        <v>382.49906614920002</v>
      </c>
    </row>
    <row r="1009" spans="1:45" x14ac:dyDescent="0.3">
      <c r="A1009">
        <v>2025</v>
      </c>
      <c r="B1009">
        <v>11</v>
      </c>
      <c r="C1009" t="s">
        <v>55</v>
      </c>
      <c r="D1009">
        <v>10</v>
      </c>
      <c r="E1009" t="s">
        <v>36</v>
      </c>
      <c r="F1009" t="s">
        <v>37</v>
      </c>
      <c r="G1009" t="s">
        <v>38</v>
      </c>
      <c r="H1009" t="s">
        <v>141</v>
      </c>
      <c r="I1009" t="s">
        <v>375</v>
      </c>
      <c r="J1009" t="s">
        <v>376</v>
      </c>
      <c r="K1009" t="s">
        <v>59</v>
      </c>
      <c r="L1009" t="s">
        <v>1647</v>
      </c>
      <c r="M1009" t="s">
        <v>1633</v>
      </c>
      <c r="N1009" t="s">
        <v>1485</v>
      </c>
      <c r="O1009" t="s">
        <v>1197</v>
      </c>
      <c r="Q1009" t="s">
        <v>62</v>
      </c>
      <c r="R1009" t="s">
        <v>1648</v>
      </c>
      <c r="S1009" t="s">
        <v>1648</v>
      </c>
      <c r="T1009" t="s">
        <v>47</v>
      </c>
      <c r="U1009" t="s">
        <v>118</v>
      </c>
      <c r="V1009" t="s">
        <v>49</v>
      </c>
      <c r="W1009" t="s">
        <v>714</v>
      </c>
      <c r="X1009" t="s">
        <v>51</v>
      </c>
      <c r="Y1009" t="s">
        <v>144</v>
      </c>
      <c r="Z1009" t="s">
        <v>64</v>
      </c>
      <c r="AA1009" t="s">
        <v>145</v>
      </c>
      <c r="AB1009" s="3">
        <f t="shared" si="125"/>
        <v>4</v>
      </c>
      <c r="AC1009">
        <v>380.4</v>
      </c>
      <c r="AD1009" s="2">
        <v>95.1</v>
      </c>
      <c r="AE1009" s="2">
        <v>84.97</v>
      </c>
      <c r="AF1009" s="2">
        <v>2.79</v>
      </c>
      <c r="AG1009" s="2">
        <v>468.15</v>
      </c>
      <c r="AH1009">
        <v>0</v>
      </c>
      <c r="AI1009">
        <v>117.03749999999999</v>
      </c>
      <c r="AJ1009">
        <v>2.3407499999999999</v>
      </c>
      <c r="AK1009" t="s">
        <v>54</v>
      </c>
      <c r="AL1009">
        <v>8.81</v>
      </c>
      <c r="AM1009" s="4">
        <f t="shared" si="126"/>
        <v>117.03749999999999</v>
      </c>
      <c r="AN1009" s="4">
        <f t="shared" si="127"/>
        <v>178.3125</v>
      </c>
      <c r="AO1009" s="4">
        <f t="shared" si="128"/>
        <v>198.1051875</v>
      </c>
      <c r="AP1009" s="4">
        <f t="shared" si="129"/>
        <v>288.84841875000001</v>
      </c>
      <c r="AQ1009" s="10">
        <f t="shared" si="130"/>
        <v>203.53991625</v>
      </c>
      <c r="AR1009" s="10">
        <f t="shared" si="131"/>
        <v>226.153200945375</v>
      </c>
      <c r="AS1009" s="10">
        <f t="shared" si="132"/>
        <v>316.87094161800002</v>
      </c>
    </row>
    <row r="1010" spans="1:45" x14ac:dyDescent="0.3">
      <c r="A1010">
        <v>2025</v>
      </c>
      <c r="B1010">
        <v>1</v>
      </c>
      <c r="C1010" t="s">
        <v>55</v>
      </c>
      <c r="D1010">
        <v>10</v>
      </c>
      <c r="E1010" t="s">
        <v>36</v>
      </c>
      <c r="F1010" t="s">
        <v>37</v>
      </c>
      <c r="G1010" t="s">
        <v>38</v>
      </c>
      <c r="H1010" t="s">
        <v>141</v>
      </c>
      <c r="I1010" t="s">
        <v>57</v>
      </c>
      <c r="J1010" t="s">
        <v>58</v>
      </c>
      <c r="K1010" t="s">
        <v>59</v>
      </c>
      <c r="M1010" t="s">
        <v>60</v>
      </c>
      <c r="N1010" t="s">
        <v>61</v>
      </c>
      <c r="O1010" t="s">
        <v>43</v>
      </c>
      <c r="Q1010" t="s">
        <v>62</v>
      </c>
      <c r="R1010" t="s">
        <v>63</v>
      </c>
      <c r="S1010" t="s">
        <v>63</v>
      </c>
      <c r="T1010" t="s">
        <v>47</v>
      </c>
      <c r="U1010" t="s">
        <v>118</v>
      </c>
      <c r="V1010" t="s">
        <v>49</v>
      </c>
      <c r="W1010" t="s">
        <v>119</v>
      </c>
      <c r="X1010" t="s">
        <v>51</v>
      </c>
      <c r="Y1010" t="s">
        <v>1706</v>
      </c>
      <c r="Z1010" t="s">
        <v>1706</v>
      </c>
      <c r="AA1010" t="s">
        <v>145</v>
      </c>
      <c r="AB1010" s="3">
        <f t="shared" si="125"/>
        <v>5</v>
      </c>
      <c r="AC1010">
        <v>494.39</v>
      </c>
      <c r="AD1010" s="2">
        <v>98.878</v>
      </c>
      <c r="AE1010" s="2">
        <v>166</v>
      </c>
      <c r="AF1010" s="2">
        <v>3.91</v>
      </c>
      <c r="AG1010" s="2">
        <v>664.31</v>
      </c>
      <c r="AH1010">
        <v>0</v>
      </c>
      <c r="AI1010">
        <v>132.86199999999999</v>
      </c>
      <c r="AJ1010">
        <v>3.3215499999999998</v>
      </c>
      <c r="AK1010" t="s">
        <v>54</v>
      </c>
      <c r="AL1010">
        <v>4.2699999999999996</v>
      </c>
      <c r="AM1010" s="4">
        <f t="shared" si="126"/>
        <v>132.86199999999999</v>
      </c>
      <c r="AN1010" s="4">
        <f t="shared" si="127"/>
        <v>185.39625000000001</v>
      </c>
      <c r="AO1010" s="4">
        <f t="shared" si="128"/>
        <v>205.97523375</v>
      </c>
      <c r="AP1010" s="4">
        <f t="shared" si="129"/>
        <v>300.32338537499999</v>
      </c>
      <c r="AQ1010" s="10">
        <f t="shared" si="130"/>
        <v>231.06030419999999</v>
      </c>
      <c r="AR1010" s="10">
        <f t="shared" si="131"/>
        <v>256.73110399661999</v>
      </c>
      <c r="AS1010" s="10">
        <f t="shared" si="132"/>
        <v>359.71468157855998</v>
      </c>
    </row>
    <row r="1011" spans="1:45" x14ac:dyDescent="0.3">
      <c r="A1011">
        <v>2025</v>
      </c>
      <c r="B1011">
        <v>3</v>
      </c>
      <c r="C1011" t="s">
        <v>55</v>
      </c>
      <c r="D1011">
        <v>10</v>
      </c>
      <c r="E1011" t="s">
        <v>36</v>
      </c>
      <c r="F1011" t="s">
        <v>37</v>
      </c>
      <c r="G1011" t="s">
        <v>38</v>
      </c>
      <c r="H1011" t="s">
        <v>141</v>
      </c>
      <c r="I1011" t="s">
        <v>190</v>
      </c>
      <c r="J1011" t="s">
        <v>58</v>
      </c>
      <c r="K1011" t="s">
        <v>59</v>
      </c>
      <c r="M1011" t="s">
        <v>209</v>
      </c>
      <c r="N1011" t="s">
        <v>61</v>
      </c>
      <c r="O1011" t="s">
        <v>43</v>
      </c>
      <c r="Q1011" t="s">
        <v>62</v>
      </c>
      <c r="R1011" t="s">
        <v>210</v>
      </c>
      <c r="S1011" t="s">
        <v>211</v>
      </c>
      <c r="T1011" t="s">
        <v>47</v>
      </c>
      <c r="U1011" t="s">
        <v>118</v>
      </c>
      <c r="V1011" t="s">
        <v>49</v>
      </c>
      <c r="W1011" t="s">
        <v>119</v>
      </c>
      <c r="X1011" t="s">
        <v>51</v>
      </c>
      <c r="Y1011" t="s">
        <v>142</v>
      </c>
      <c r="Z1011" t="s">
        <v>64</v>
      </c>
      <c r="AA1011" t="s">
        <v>143</v>
      </c>
      <c r="AB1011" s="3">
        <f t="shared" si="125"/>
        <v>4</v>
      </c>
      <c r="AC1011">
        <v>676</v>
      </c>
      <c r="AD1011" s="2">
        <v>169</v>
      </c>
      <c r="AE1011" s="2">
        <v>162.41</v>
      </c>
      <c r="AF1011" s="2">
        <v>4.67</v>
      </c>
      <c r="AG1011" s="2">
        <v>843.08</v>
      </c>
      <c r="AH1011">
        <v>0</v>
      </c>
      <c r="AI1011">
        <v>210.77</v>
      </c>
      <c r="AJ1011">
        <v>4.2153999999999998</v>
      </c>
      <c r="AK1011" t="s">
        <v>54</v>
      </c>
      <c r="AL1011">
        <v>12.02</v>
      </c>
      <c r="AM1011" s="4">
        <f t="shared" si="126"/>
        <v>210.77</v>
      </c>
      <c r="AN1011" s="4">
        <f t="shared" si="127"/>
        <v>316.875</v>
      </c>
      <c r="AO1011" s="4">
        <f t="shared" si="128"/>
        <v>352.04812499999997</v>
      </c>
      <c r="AP1011" s="4">
        <f t="shared" si="129"/>
        <v>513.3058125</v>
      </c>
      <c r="AQ1011" s="10">
        <f t="shared" si="130"/>
        <v>366.55010700000003</v>
      </c>
      <c r="AR1011" s="10">
        <f t="shared" si="131"/>
        <v>407.27382388770002</v>
      </c>
      <c r="AS1011" s="10">
        <f t="shared" si="132"/>
        <v>570.64520657759999</v>
      </c>
    </row>
    <row r="1012" spans="1:45" x14ac:dyDescent="0.3">
      <c r="A1012">
        <v>2025</v>
      </c>
      <c r="B1012">
        <v>11</v>
      </c>
      <c r="C1012" t="s">
        <v>55</v>
      </c>
      <c r="D1012">
        <v>10</v>
      </c>
      <c r="E1012" t="s">
        <v>36</v>
      </c>
      <c r="F1012" t="s">
        <v>37</v>
      </c>
      <c r="G1012" t="s">
        <v>38</v>
      </c>
      <c r="H1012" t="s">
        <v>141</v>
      </c>
      <c r="I1012" t="s">
        <v>375</v>
      </c>
      <c r="J1012" t="s">
        <v>376</v>
      </c>
      <c r="K1012" t="s">
        <v>51</v>
      </c>
      <c r="L1012" t="s">
        <v>1622</v>
      </c>
      <c r="M1012" t="s">
        <v>1623</v>
      </c>
      <c r="N1012" t="s">
        <v>1485</v>
      </c>
      <c r="O1012" t="s">
        <v>1197</v>
      </c>
      <c r="Q1012" t="s">
        <v>62</v>
      </c>
      <c r="R1012" t="s">
        <v>1624</v>
      </c>
      <c r="S1012" t="s">
        <v>1624</v>
      </c>
      <c r="T1012" t="s">
        <v>47</v>
      </c>
      <c r="U1012" t="s">
        <v>118</v>
      </c>
      <c r="V1012" t="s">
        <v>49</v>
      </c>
      <c r="W1012" t="s">
        <v>714</v>
      </c>
      <c r="X1012" t="s">
        <v>51</v>
      </c>
      <c r="Y1012" t="s">
        <v>142</v>
      </c>
      <c r="Z1012" t="s">
        <v>64</v>
      </c>
      <c r="AA1012" t="s">
        <v>143</v>
      </c>
      <c r="AB1012" s="3">
        <f t="shared" si="125"/>
        <v>4</v>
      </c>
      <c r="AC1012">
        <v>551.16</v>
      </c>
      <c r="AD1012" s="2">
        <v>137.79</v>
      </c>
      <c r="AE1012" s="2">
        <v>123.11</v>
      </c>
      <c r="AF1012" s="2">
        <v>4.04</v>
      </c>
      <c r="AG1012" s="2">
        <v>678.3</v>
      </c>
      <c r="AH1012">
        <v>0</v>
      </c>
      <c r="AI1012">
        <v>169.57499999999999</v>
      </c>
      <c r="AJ1012">
        <v>3.3915000000000002</v>
      </c>
      <c r="AK1012" t="s">
        <v>54</v>
      </c>
      <c r="AL1012">
        <v>8.81</v>
      </c>
      <c r="AM1012" s="4">
        <f t="shared" si="126"/>
        <v>169.57499999999999</v>
      </c>
      <c r="AN1012" s="4">
        <f t="shared" si="127"/>
        <v>258.35624999999999</v>
      </c>
      <c r="AO1012" s="4">
        <f t="shared" si="128"/>
        <v>287.03379374999997</v>
      </c>
      <c r="AP1012" s="4">
        <f t="shared" si="129"/>
        <v>418.51128937499993</v>
      </c>
      <c r="AQ1012" s="10">
        <f t="shared" si="130"/>
        <v>294.90788249999997</v>
      </c>
      <c r="AR1012" s="10">
        <f t="shared" si="131"/>
        <v>327.67214824574995</v>
      </c>
      <c r="AS1012" s="10">
        <f t="shared" si="132"/>
        <v>459.11259147599992</v>
      </c>
    </row>
    <row r="1013" spans="1:45" x14ac:dyDescent="0.3">
      <c r="A1013">
        <v>2025</v>
      </c>
      <c r="B1013">
        <v>12</v>
      </c>
      <c r="C1013" t="s">
        <v>55</v>
      </c>
      <c r="D1013">
        <v>10</v>
      </c>
      <c r="E1013" t="s">
        <v>36</v>
      </c>
      <c r="F1013" t="s">
        <v>37</v>
      </c>
      <c r="G1013" t="s">
        <v>38</v>
      </c>
      <c r="H1013" t="s">
        <v>141</v>
      </c>
      <c r="I1013" t="s">
        <v>57</v>
      </c>
      <c r="J1013" t="s">
        <v>58</v>
      </c>
      <c r="K1013" t="s">
        <v>59</v>
      </c>
      <c r="L1013" t="s">
        <v>1769</v>
      </c>
      <c r="M1013" t="s">
        <v>1770</v>
      </c>
      <c r="N1013" t="s">
        <v>1771</v>
      </c>
      <c r="O1013" t="s">
        <v>1197</v>
      </c>
      <c r="Q1013" t="s">
        <v>62</v>
      </c>
      <c r="R1013" t="s">
        <v>1772</v>
      </c>
      <c r="S1013" t="s">
        <v>1772</v>
      </c>
      <c r="T1013" t="s">
        <v>47</v>
      </c>
      <c r="U1013" t="s">
        <v>118</v>
      </c>
      <c r="V1013" t="s">
        <v>49</v>
      </c>
      <c r="W1013" t="s">
        <v>714</v>
      </c>
      <c r="X1013" t="s">
        <v>51</v>
      </c>
      <c r="Y1013" t="s">
        <v>1349</v>
      </c>
      <c r="Z1013" t="s">
        <v>1349</v>
      </c>
      <c r="AA1013" t="s">
        <v>143</v>
      </c>
      <c r="AB1013" s="3">
        <f t="shared" si="125"/>
        <v>4</v>
      </c>
      <c r="AC1013">
        <v>564.27</v>
      </c>
      <c r="AD1013" s="2">
        <v>141.0675</v>
      </c>
      <c r="AE1013" s="2">
        <v>79.099999999999994</v>
      </c>
      <c r="AF1013" s="2">
        <v>3.91</v>
      </c>
      <c r="AG1013" s="2">
        <v>647.19000000000005</v>
      </c>
      <c r="AH1013">
        <v>0</v>
      </c>
      <c r="AI1013">
        <v>161.79750000000001</v>
      </c>
      <c r="AJ1013">
        <v>3.2359499999999999</v>
      </c>
      <c r="AK1013" t="s">
        <v>54</v>
      </c>
      <c r="AL1013">
        <v>2.97</v>
      </c>
      <c r="AM1013" s="4">
        <f t="shared" si="126"/>
        <v>161.79750000000001</v>
      </c>
      <c r="AN1013" s="4">
        <f t="shared" si="127"/>
        <v>264.50156249999998</v>
      </c>
      <c r="AO1013" s="4">
        <f t="shared" si="128"/>
        <v>293.8612359375</v>
      </c>
      <c r="AP1013" s="4">
        <f t="shared" si="129"/>
        <v>428.46608109374995</v>
      </c>
      <c r="AQ1013" s="10">
        <f t="shared" si="130"/>
        <v>281.38203225000007</v>
      </c>
      <c r="AR1013" s="10">
        <f t="shared" si="131"/>
        <v>312.64357603297509</v>
      </c>
      <c r="AS1013" s="10">
        <f t="shared" si="132"/>
        <v>438.05554780680006</v>
      </c>
    </row>
    <row r="1014" spans="1:45" x14ac:dyDescent="0.3">
      <c r="A1014">
        <v>2025</v>
      </c>
      <c r="B1014">
        <v>8</v>
      </c>
      <c r="C1014" t="s">
        <v>55</v>
      </c>
      <c r="D1014">
        <v>10</v>
      </c>
      <c r="E1014" t="s">
        <v>36</v>
      </c>
      <c r="F1014" t="s">
        <v>37</v>
      </c>
      <c r="G1014" t="s">
        <v>38</v>
      </c>
      <c r="H1014" t="s">
        <v>141</v>
      </c>
      <c r="I1014" t="s">
        <v>190</v>
      </c>
      <c r="J1014" t="s">
        <v>58</v>
      </c>
      <c r="K1014" t="s">
        <v>59</v>
      </c>
      <c r="L1014" t="s">
        <v>1194</v>
      </c>
      <c r="M1014" t="s">
        <v>1195</v>
      </c>
      <c r="N1014" t="s">
        <v>1196</v>
      </c>
      <c r="O1014" t="s">
        <v>1197</v>
      </c>
      <c r="Q1014" t="s">
        <v>62</v>
      </c>
      <c r="R1014" t="s">
        <v>1198</v>
      </c>
      <c r="S1014" t="s">
        <v>1198</v>
      </c>
      <c r="T1014" t="s">
        <v>47</v>
      </c>
      <c r="U1014" t="s">
        <v>118</v>
      </c>
      <c r="V1014" t="s">
        <v>49</v>
      </c>
      <c r="W1014" t="s">
        <v>714</v>
      </c>
      <c r="X1014" t="s">
        <v>388</v>
      </c>
      <c r="Y1014" t="s">
        <v>1864</v>
      </c>
      <c r="Z1014" t="s">
        <v>1864</v>
      </c>
      <c r="AA1014" t="s">
        <v>143</v>
      </c>
      <c r="AB1014" s="3">
        <f t="shared" si="125"/>
        <v>2</v>
      </c>
      <c r="AC1014">
        <v>295.88</v>
      </c>
      <c r="AD1014" s="2">
        <v>147.94</v>
      </c>
      <c r="AE1014" s="2">
        <v>87.84</v>
      </c>
      <c r="AF1014" s="2">
        <v>2.2200000000000002</v>
      </c>
      <c r="AG1014" s="2">
        <v>385.93</v>
      </c>
      <c r="AH1014">
        <v>0</v>
      </c>
      <c r="AI1014">
        <v>192.965</v>
      </c>
      <c r="AJ1014">
        <v>1.9296500000000001</v>
      </c>
      <c r="AK1014" t="s">
        <v>54</v>
      </c>
      <c r="AL1014">
        <v>2.2000000000000002</v>
      </c>
      <c r="AM1014" s="4">
        <f t="shared" si="126"/>
        <v>192.965</v>
      </c>
      <c r="AN1014" s="4">
        <f t="shared" si="127"/>
        <v>277.38749999999999</v>
      </c>
      <c r="AO1014" s="4">
        <f t="shared" si="128"/>
        <v>308.17751249999998</v>
      </c>
      <c r="AP1014" s="4">
        <f t="shared" si="129"/>
        <v>449.34001124999998</v>
      </c>
      <c r="AQ1014" s="10">
        <f t="shared" si="130"/>
        <v>335.58543150000003</v>
      </c>
      <c r="AR1014" s="10">
        <f t="shared" si="131"/>
        <v>372.86897293965001</v>
      </c>
      <c r="AS1014" s="10">
        <f t="shared" si="132"/>
        <v>522.4393997592</v>
      </c>
    </row>
    <row r="1015" spans="1:45" x14ac:dyDescent="0.3">
      <c r="A1015">
        <v>2025</v>
      </c>
      <c r="B1015">
        <v>9</v>
      </c>
      <c r="C1015" t="s">
        <v>55</v>
      </c>
      <c r="D1015">
        <v>10</v>
      </c>
      <c r="E1015" t="s">
        <v>36</v>
      </c>
      <c r="F1015" t="s">
        <v>37</v>
      </c>
      <c r="G1015" t="s">
        <v>38</v>
      </c>
      <c r="H1015" t="s">
        <v>141</v>
      </c>
      <c r="I1015" t="s">
        <v>375</v>
      </c>
      <c r="J1015" t="s">
        <v>376</v>
      </c>
      <c r="K1015" t="s">
        <v>59</v>
      </c>
      <c r="L1015" t="s">
        <v>1483</v>
      </c>
      <c r="M1015" t="s">
        <v>1484</v>
      </c>
      <c r="N1015" t="s">
        <v>1485</v>
      </c>
      <c r="O1015" t="s">
        <v>1197</v>
      </c>
      <c r="Q1015" t="s">
        <v>62</v>
      </c>
      <c r="R1015" t="s">
        <v>1486</v>
      </c>
      <c r="S1015" t="s">
        <v>1486</v>
      </c>
      <c r="T1015" t="s">
        <v>47</v>
      </c>
      <c r="U1015" t="s">
        <v>118</v>
      </c>
      <c r="V1015" t="s">
        <v>49</v>
      </c>
      <c r="W1015" t="s">
        <v>714</v>
      </c>
      <c r="X1015" t="s">
        <v>51</v>
      </c>
      <c r="Y1015" t="s">
        <v>1325</v>
      </c>
      <c r="Z1015" t="s">
        <v>1325</v>
      </c>
      <c r="AA1015" t="s">
        <v>1326</v>
      </c>
      <c r="AB1015" s="3">
        <f t="shared" si="125"/>
        <v>5.0000000000000009</v>
      </c>
      <c r="AC1015">
        <v>1148.68</v>
      </c>
      <c r="AD1015" s="2">
        <v>229.73599999999999</v>
      </c>
      <c r="AE1015" s="2">
        <v>82.32</v>
      </c>
      <c r="AF1015" s="2">
        <v>7.43</v>
      </c>
      <c r="AG1015" s="2">
        <v>1238.43</v>
      </c>
      <c r="AH1015">
        <v>0</v>
      </c>
      <c r="AI1015">
        <v>247.68600000000001</v>
      </c>
      <c r="AJ1015">
        <v>6.1921499999999998</v>
      </c>
      <c r="AK1015" t="s">
        <v>54</v>
      </c>
      <c r="AL1015">
        <v>9.67</v>
      </c>
      <c r="AM1015" s="4">
        <f t="shared" si="126"/>
        <v>247.68599999999998</v>
      </c>
      <c r="AN1015" s="4">
        <f t="shared" si="127"/>
        <v>430.755</v>
      </c>
      <c r="AO1015" s="4">
        <f t="shared" si="128"/>
        <v>478.568805</v>
      </c>
      <c r="AP1015" s="4">
        <f t="shared" si="129"/>
        <v>697.78002449999997</v>
      </c>
      <c r="AQ1015" s="10">
        <f t="shared" si="130"/>
        <v>430.75072259999996</v>
      </c>
      <c r="AR1015" s="10">
        <f t="shared" si="131"/>
        <v>478.60712788085993</v>
      </c>
      <c r="AS1015" s="10">
        <f t="shared" si="132"/>
        <v>670.59272494367997</v>
      </c>
    </row>
    <row r="1016" spans="1:45" x14ac:dyDescent="0.3">
      <c r="A1016">
        <v>2025</v>
      </c>
      <c r="B1016">
        <v>3</v>
      </c>
      <c r="C1016" t="s">
        <v>55</v>
      </c>
      <c r="D1016">
        <v>10</v>
      </c>
      <c r="E1016" t="s">
        <v>36</v>
      </c>
      <c r="F1016" t="s">
        <v>37</v>
      </c>
      <c r="G1016" t="s">
        <v>38</v>
      </c>
      <c r="H1016" t="s">
        <v>78</v>
      </c>
      <c r="I1016" t="s">
        <v>190</v>
      </c>
      <c r="J1016" t="s">
        <v>58</v>
      </c>
      <c r="K1016" t="s">
        <v>59</v>
      </c>
      <c r="M1016" t="s">
        <v>209</v>
      </c>
      <c r="N1016" t="s">
        <v>61</v>
      </c>
      <c r="O1016" t="s">
        <v>43</v>
      </c>
      <c r="Q1016" t="s">
        <v>62</v>
      </c>
      <c r="R1016" t="s">
        <v>210</v>
      </c>
      <c r="S1016" t="s">
        <v>211</v>
      </c>
      <c r="T1016" t="s">
        <v>47</v>
      </c>
      <c r="U1016" t="s">
        <v>118</v>
      </c>
      <c r="V1016" t="s">
        <v>49</v>
      </c>
      <c r="W1016" t="s">
        <v>119</v>
      </c>
      <c r="X1016" t="s">
        <v>51</v>
      </c>
      <c r="Y1016" t="s">
        <v>1515</v>
      </c>
      <c r="Z1016" t="s">
        <v>1515</v>
      </c>
      <c r="AA1016" t="s">
        <v>1516</v>
      </c>
      <c r="AB1016" s="3">
        <f t="shared" si="125"/>
        <v>6.0000000000000515</v>
      </c>
      <c r="AC1016">
        <v>2289.9499999999998</v>
      </c>
      <c r="AD1016" s="2">
        <v>381.65833333333001</v>
      </c>
      <c r="AE1016" s="2">
        <v>355.5</v>
      </c>
      <c r="AF1016" s="2">
        <v>16.23</v>
      </c>
      <c r="AG1016" s="2">
        <v>2661.22</v>
      </c>
      <c r="AH1016">
        <v>0</v>
      </c>
      <c r="AI1016">
        <v>443.53666666666999</v>
      </c>
      <c r="AJ1016">
        <v>13.306100000000001</v>
      </c>
      <c r="AK1016" t="s">
        <v>54</v>
      </c>
      <c r="AL1016">
        <v>14.69</v>
      </c>
      <c r="AM1016" s="4">
        <f t="shared" si="126"/>
        <v>443.53666666666282</v>
      </c>
      <c r="AN1016" s="4">
        <f t="shared" si="127"/>
        <v>715.60937499999375</v>
      </c>
      <c r="AO1016" s="4">
        <f t="shared" si="128"/>
        <v>795.04201562499304</v>
      </c>
      <c r="AP1016" s="4">
        <f t="shared" si="129"/>
        <v>1159.2156265624899</v>
      </c>
      <c r="AQ1016" s="10">
        <f t="shared" si="130"/>
        <v>771.35461699999337</v>
      </c>
      <c r="AR1016" s="10">
        <f t="shared" si="131"/>
        <v>857.05211494869263</v>
      </c>
      <c r="AS1016" s="10">
        <f t="shared" si="132"/>
        <v>1200.8448677455897</v>
      </c>
    </row>
    <row r="1017" spans="1:45" x14ac:dyDescent="0.3">
      <c r="A1017">
        <v>2025</v>
      </c>
      <c r="B1017">
        <v>12</v>
      </c>
      <c r="C1017" t="s">
        <v>55</v>
      </c>
      <c r="D1017">
        <v>10</v>
      </c>
      <c r="E1017" t="s">
        <v>36</v>
      </c>
      <c r="F1017" t="s">
        <v>37</v>
      </c>
      <c r="G1017" t="s">
        <v>38</v>
      </c>
      <c r="H1017" t="s">
        <v>78</v>
      </c>
      <c r="I1017" t="s">
        <v>57</v>
      </c>
      <c r="J1017" t="s">
        <v>58</v>
      </c>
      <c r="K1017" t="s">
        <v>59</v>
      </c>
      <c r="L1017" t="s">
        <v>1769</v>
      </c>
      <c r="M1017" t="s">
        <v>1770</v>
      </c>
      <c r="N1017" t="s">
        <v>1771</v>
      </c>
      <c r="O1017" t="s">
        <v>1197</v>
      </c>
      <c r="Q1017" t="s">
        <v>62</v>
      </c>
      <c r="R1017" t="s">
        <v>1772</v>
      </c>
      <c r="S1017" t="s">
        <v>1772</v>
      </c>
      <c r="T1017" t="s">
        <v>47</v>
      </c>
      <c r="U1017" t="s">
        <v>118</v>
      </c>
      <c r="V1017" t="s">
        <v>49</v>
      </c>
      <c r="W1017" t="s">
        <v>714</v>
      </c>
      <c r="X1017" t="s">
        <v>51</v>
      </c>
      <c r="Y1017" t="s">
        <v>109</v>
      </c>
      <c r="Z1017" t="s">
        <v>64</v>
      </c>
      <c r="AA1017" t="s">
        <v>309</v>
      </c>
      <c r="AB1017" s="3">
        <f t="shared" si="125"/>
        <v>5</v>
      </c>
      <c r="AC1017">
        <v>783.58</v>
      </c>
      <c r="AD1017" s="2">
        <v>156.71600000000001</v>
      </c>
      <c r="AE1017" s="2">
        <v>175.03</v>
      </c>
      <c r="AF1017" s="2">
        <v>5.74</v>
      </c>
      <c r="AG1017" s="2">
        <v>964.35</v>
      </c>
      <c r="AH1017">
        <v>0</v>
      </c>
      <c r="AI1017">
        <v>192.87</v>
      </c>
      <c r="AJ1017">
        <v>4.8217499999999998</v>
      </c>
      <c r="AK1017" t="s">
        <v>54</v>
      </c>
      <c r="AL1017">
        <v>11.01</v>
      </c>
      <c r="AM1017" s="4">
        <f t="shared" si="126"/>
        <v>192.87</v>
      </c>
      <c r="AN1017" s="4">
        <f t="shared" si="127"/>
        <v>293.84250000000003</v>
      </c>
      <c r="AO1017" s="4">
        <f t="shared" si="128"/>
        <v>326.45901750000002</v>
      </c>
      <c r="AP1017" s="4">
        <f t="shared" si="129"/>
        <v>475.99546574999999</v>
      </c>
      <c r="AQ1017" s="10">
        <f t="shared" si="130"/>
        <v>335.42021700000004</v>
      </c>
      <c r="AR1017" s="10">
        <f t="shared" si="131"/>
        <v>372.68540310870003</v>
      </c>
      <c r="AS1017" s="10">
        <f t="shared" si="132"/>
        <v>522.18219382560005</v>
      </c>
    </row>
    <row r="1018" spans="1:45" x14ac:dyDescent="0.3">
      <c r="A1018">
        <v>2025</v>
      </c>
      <c r="B1018">
        <v>12</v>
      </c>
      <c r="C1018" t="s">
        <v>55</v>
      </c>
      <c r="D1018">
        <v>10</v>
      </c>
      <c r="E1018" t="s">
        <v>36</v>
      </c>
      <c r="F1018" t="s">
        <v>37</v>
      </c>
      <c r="G1018" t="s">
        <v>38</v>
      </c>
      <c r="H1018" t="s">
        <v>78</v>
      </c>
      <c r="I1018" t="s">
        <v>57</v>
      </c>
      <c r="J1018" t="s">
        <v>58</v>
      </c>
      <c r="K1018" t="s">
        <v>59</v>
      </c>
      <c r="L1018" t="s">
        <v>1769</v>
      </c>
      <c r="M1018" t="s">
        <v>1770</v>
      </c>
      <c r="N1018" t="s">
        <v>1771</v>
      </c>
      <c r="O1018" t="s">
        <v>1197</v>
      </c>
      <c r="Q1018" t="s">
        <v>62</v>
      </c>
      <c r="R1018" t="s">
        <v>1772</v>
      </c>
      <c r="S1018" t="s">
        <v>1772</v>
      </c>
      <c r="T1018" t="s">
        <v>47</v>
      </c>
      <c r="U1018" t="s">
        <v>118</v>
      </c>
      <c r="V1018" t="s">
        <v>49</v>
      </c>
      <c r="W1018" t="s">
        <v>714</v>
      </c>
      <c r="X1018" t="s">
        <v>51</v>
      </c>
      <c r="Y1018" t="s">
        <v>1859</v>
      </c>
      <c r="Z1018" t="s">
        <v>1859</v>
      </c>
      <c r="AA1018" t="s">
        <v>309</v>
      </c>
      <c r="AB1018" s="3">
        <f t="shared" si="125"/>
        <v>2</v>
      </c>
      <c r="AC1018">
        <v>232.58</v>
      </c>
      <c r="AD1018" s="2">
        <v>116.29</v>
      </c>
      <c r="AE1018" s="2">
        <v>69.400000000000006</v>
      </c>
      <c r="AF1018" s="2">
        <v>1.75</v>
      </c>
      <c r="AG1018" s="2">
        <v>303.37</v>
      </c>
      <c r="AH1018">
        <v>0</v>
      </c>
      <c r="AI1018">
        <v>151.685</v>
      </c>
      <c r="AJ1018">
        <v>1.51685</v>
      </c>
      <c r="AK1018" t="s">
        <v>54</v>
      </c>
      <c r="AL1018">
        <v>1.73</v>
      </c>
      <c r="AM1018" s="4">
        <f t="shared" si="126"/>
        <v>151.685</v>
      </c>
      <c r="AN1018" s="4">
        <f t="shared" si="127"/>
        <v>218.04375000000002</v>
      </c>
      <c r="AO1018" s="4">
        <f t="shared" si="128"/>
        <v>242.24660625000001</v>
      </c>
      <c r="AP1018" s="4">
        <f t="shared" si="129"/>
        <v>353.20907062499998</v>
      </c>
      <c r="AQ1018" s="10">
        <f t="shared" si="130"/>
        <v>263.79538350000001</v>
      </c>
      <c r="AR1018" s="10">
        <f t="shared" si="131"/>
        <v>293.10305060684999</v>
      </c>
      <c r="AS1018" s="10">
        <f t="shared" si="132"/>
        <v>410.6766530328</v>
      </c>
    </row>
    <row r="1019" spans="1:45" x14ac:dyDescent="0.3">
      <c r="A1019">
        <v>2025</v>
      </c>
      <c r="B1019">
        <v>4</v>
      </c>
      <c r="C1019" t="s">
        <v>55</v>
      </c>
      <c r="D1019">
        <v>10</v>
      </c>
      <c r="E1019" t="s">
        <v>36</v>
      </c>
      <c r="F1019" t="s">
        <v>37</v>
      </c>
      <c r="G1019" t="s">
        <v>38</v>
      </c>
      <c r="H1019" t="s">
        <v>83</v>
      </c>
      <c r="I1019" t="s">
        <v>375</v>
      </c>
      <c r="J1019" t="s">
        <v>376</v>
      </c>
      <c r="K1019" t="s">
        <v>59</v>
      </c>
      <c r="M1019">
        <v>2503061</v>
      </c>
      <c r="N1019" t="s">
        <v>377</v>
      </c>
      <c r="O1019" t="s">
        <v>36</v>
      </c>
      <c r="Q1019" t="s">
        <v>62</v>
      </c>
      <c r="R1019" t="s">
        <v>378</v>
      </c>
      <c r="S1019" t="s">
        <v>378</v>
      </c>
      <c r="T1019" t="s">
        <v>47</v>
      </c>
      <c r="U1019" t="s">
        <v>149</v>
      </c>
      <c r="V1019" t="s">
        <v>49</v>
      </c>
      <c r="W1019" t="s">
        <v>150</v>
      </c>
      <c r="X1019" t="s">
        <v>51</v>
      </c>
      <c r="Y1019" t="s">
        <v>1859</v>
      </c>
      <c r="Z1019" t="s">
        <v>1859</v>
      </c>
      <c r="AA1019" t="s">
        <v>309</v>
      </c>
      <c r="AB1019" s="3">
        <f t="shared" si="125"/>
        <v>3</v>
      </c>
      <c r="AC1019">
        <v>348.87</v>
      </c>
      <c r="AD1019" s="2">
        <v>116.29</v>
      </c>
      <c r="AE1019" s="2">
        <v>103.57</v>
      </c>
      <c r="AF1019" s="2">
        <v>2.62</v>
      </c>
      <c r="AG1019" s="2">
        <v>455.5</v>
      </c>
      <c r="AH1019">
        <v>0</v>
      </c>
      <c r="AI1019">
        <v>151.83333333332999</v>
      </c>
      <c r="AJ1019">
        <v>2.2774999999999999</v>
      </c>
      <c r="AK1019" t="s">
        <v>54</v>
      </c>
      <c r="AL1019">
        <v>2.59</v>
      </c>
      <c r="AM1019" s="4">
        <f t="shared" si="126"/>
        <v>151.83333333333334</v>
      </c>
      <c r="AN1019" s="4">
        <f t="shared" si="127"/>
        <v>218.04375000000002</v>
      </c>
      <c r="AO1019" s="4">
        <f t="shared" si="128"/>
        <v>242.24660625000001</v>
      </c>
      <c r="AP1019" s="4">
        <f t="shared" si="129"/>
        <v>353.20907062499998</v>
      </c>
      <c r="AQ1019" s="10">
        <f t="shared" si="130"/>
        <v>264.05335000000002</v>
      </c>
      <c r="AR1019" s="10">
        <f t="shared" si="131"/>
        <v>293.38967718500004</v>
      </c>
      <c r="AS1019" s="10">
        <f t="shared" si="132"/>
        <v>411.07825528000001</v>
      </c>
    </row>
    <row r="1020" spans="1:45" x14ac:dyDescent="0.3">
      <c r="A1020">
        <v>2025</v>
      </c>
      <c r="B1020">
        <v>4</v>
      </c>
      <c r="C1020" t="s">
        <v>55</v>
      </c>
      <c r="D1020">
        <v>10</v>
      </c>
      <c r="E1020" t="s">
        <v>36</v>
      </c>
      <c r="F1020" t="s">
        <v>37</v>
      </c>
      <c r="G1020" t="s">
        <v>38</v>
      </c>
      <c r="H1020" t="s">
        <v>83</v>
      </c>
      <c r="I1020" t="s">
        <v>375</v>
      </c>
      <c r="J1020" t="s">
        <v>376</v>
      </c>
      <c r="K1020" t="s">
        <v>59</v>
      </c>
      <c r="M1020">
        <v>2503061</v>
      </c>
      <c r="N1020" t="s">
        <v>377</v>
      </c>
      <c r="O1020" t="s">
        <v>36</v>
      </c>
      <c r="Q1020" t="s">
        <v>62</v>
      </c>
      <c r="R1020" t="s">
        <v>378</v>
      </c>
      <c r="S1020" t="s">
        <v>378</v>
      </c>
      <c r="T1020" t="s">
        <v>47</v>
      </c>
      <c r="U1020" t="s">
        <v>149</v>
      </c>
      <c r="V1020" t="s">
        <v>49</v>
      </c>
      <c r="W1020" t="s">
        <v>150</v>
      </c>
      <c r="X1020" t="s">
        <v>51</v>
      </c>
      <c r="Y1020" t="s">
        <v>522</v>
      </c>
      <c r="Z1020" t="s">
        <v>522</v>
      </c>
      <c r="AA1020" t="s">
        <v>523</v>
      </c>
      <c r="AB1020" s="3">
        <f t="shared" si="125"/>
        <v>2</v>
      </c>
      <c r="AC1020">
        <v>69.95</v>
      </c>
      <c r="AD1020" s="2">
        <v>34.975000000000001</v>
      </c>
      <c r="AE1020" s="2">
        <v>30.17</v>
      </c>
      <c r="AF1020" s="2">
        <v>0.47</v>
      </c>
      <c r="AG1020" s="2">
        <v>100.6</v>
      </c>
      <c r="AH1020">
        <v>0</v>
      </c>
      <c r="AI1020">
        <v>50.3</v>
      </c>
      <c r="AJ1020">
        <v>0.503</v>
      </c>
      <c r="AK1020" t="s">
        <v>54</v>
      </c>
      <c r="AL1020">
        <v>1.44</v>
      </c>
      <c r="AM1020" s="4">
        <f t="shared" si="126"/>
        <v>50.3</v>
      </c>
      <c r="AN1020" s="4">
        <f t="shared" si="127"/>
        <v>65.578125</v>
      </c>
      <c r="AO1020" s="4">
        <f t="shared" si="128"/>
        <v>72.857296875000003</v>
      </c>
      <c r="AP1020" s="4">
        <f t="shared" si="129"/>
        <v>106.2300046875</v>
      </c>
      <c r="AQ1020" s="10">
        <f t="shared" si="130"/>
        <v>87.476730000000003</v>
      </c>
      <c r="AR1020" s="10">
        <f t="shared" si="131"/>
        <v>97.195394703000005</v>
      </c>
      <c r="AS1020" s="10">
        <f t="shared" si="132"/>
        <v>136.183773264</v>
      </c>
    </row>
    <row r="1021" spans="1:45" x14ac:dyDescent="0.3">
      <c r="A1021">
        <v>2025</v>
      </c>
      <c r="B1021">
        <v>4</v>
      </c>
      <c r="C1021" t="s">
        <v>55</v>
      </c>
      <c r="D1021">
        <v>10</v>
      </c>
      <c r="E1021" t="s">
        <v>36</v>
      </c>
      <c r="F1021" t="s">
        <v>37</v>
      </c>
      <c r="G1021" t="s">
        <v>38</v>
      </c>
      <c r="H1021" t="s">
        <v>83</v>
      </c>
      <c r="I1021" t="s">
        <v>190</v>
      </c>
      <c r="J1021" t="s">
        <v>58</v>
      </c>
      <c r="K1021" t="s">
        <v>59</v>
      </c>
      <c r="M1021" t="s">
        <v>383</v>
      </c>
      <c r="N1021" t="s">
        <v>384</v>
      </c>
      <c r="O1021" t="s">
        <v>36</v>
      </c>
      <c r="Q1021" t="s">
        <v>62</v>
      </c>
      <c r="R1021" t="s">
        <v>385</v>
      </c>
      <c r="S1021" t="s">
        <v>385</v>
      </c>
      <c r="T1021" t="s">
        <v>47</v>
      </c>
      <c r="U1021" t="s">
        <v>149</v>
      </c>
      <c r="V1021" t="s">
        <v>49</v>
      </c>
      <c r="W1021" t="s">
        <v>150</v>
      </c>
      <c r="X1021" t="s">
        <v>388</v>
      </c>
      <c r="Y1021" t="s">
        <v>524</v>
      </c>
      <c r="Z1021" t="s">
        <v>524</v>
      </c>
      <c r="AA1021" t="s">
        <v>523</v>
      </c>
      <c r="AB1021" s="3">
        <f t="shared" si="125"/>
        <v>2.9999999999999996</v>
      </c>
      <c r="AC1021">
        <v>114.27</v>
      </c>
      <c r="AD1021" s="2">
        <v>38.090000000000003</v>
      </c>
      <c r="AE1021" s="2">
        <v>70.83</v>
      </c>
      <c r="AF1021" s="2">
        <v>0.75</v>
      </c>
      <c r="AG1021" s="2">
        <v>185.85</v>
      </c>
      <c r="AH1021">
        <v>0</v>
      </c>
      <c r="AI1021">
        <v>61.95</v>
      </c>
      <c r="AJ1021">
        <v>0.92925000000000002</v>
      </c>
      <c r="AK1021" t="s">
        <v>54</v>
      </c>
      <c r="AL1021">
        <v>3.38</v>
      </c>
      <c r="AM1021" s="4">
        <f t="shared" si="126"/>
        <v>61.95000000000001</v>
      </c>
      <c r="AN1021" s="4">
        <f t="shared" si="127"/>
        <v>71.418750000000003</v>
      </c>
      <c r="AO1021" s="4">
        <f t="shared" si="128"/>
        <v>79.346231250000002</v>
      </c>
      <c r="AP1021" s="4">
        <f t="shared" si="129"/>
        <v>115.691233125</v>
      </c>
      <c r="AQ1021" s="10">
        <f t="shared" si="130"/>
        <v>107.73724500000003</v>
      </c>
      <c r="AR1021" s="10">
        <f t="shared" si="131"/>
        <v>119.70685291950004</v>
      </c>
      <c r="AS1021" s="10">
        <f t="shared" si="132"/>
        <v>167.72534301600004</v>
      </c>
    </row>
    <row r="1022" spans="1:45" x14ac:dyDescent="0.3">
      <c r="A1022">
        <v>2025</v>
      </c>
      <c r="B1022">
        <v>8</v>
      </c>
      <c r="C1022" t="s">
        <v>55</v>
      </c>
      <c r="D1022">
        <v>10</v>
      </c>
      <c r="E1022" t="s">
        <v>36</v>
      </c>
      <c r="F1022" t="s">
        <v>37</v>
      </c>
      <c r="G1022" t="s">
        <v>38</v>
      </c>
      <c r="H1022" t="s">
        <v>83</v>
      </c>
      <c r="I1022" t="s">
        <v>190</v>
      </c>
      <c r="J1022" t="s">
        <v>58</v>
      </c>
      <c r="K1022" t="s">
        <v>59</v>
      </c>
      <c r="L1022" t="s">
        <v>1194</v>
      </c>
      <c r="M1022" t="s">
        <v>1195</v>
      </c>
      <c r="N1022" t="s">
        <v>1196</v>
      </c>
      <c r="O1022" t="s">
        <v>1197</v>
      </c>
      <c r="Q1022" t="s">
        <v>62</v>
      </c>
      <c r="R1022" t="s">
        <v>1198</v>
      </c>
      <c r="S1022" t="s">
        <v>1198</v>
      </c>
      <c r="T1022" t="s">
        <v>47</v>
      </c>
      <c r="U1022" t="s">
        <v>149</v>
      </c>
      <c r="V1022" t="s">
        <v>49</v>
      </c>
      <c r="W1022" t="s">
        <v>150</v>
      </c>
      <c r="X1022" t="s">
        <v>388</v>
      </c>
      <c r="Y1022" t="s">
        <v>522</v>
      </c>
      <c r="Z1022" t="s">
        <v>522</v>
      </c>
      <c r="AA1022" t="s">
        <v>523</v>
      </c>
      <c r="AB1022" s="3">
        <f t="shared" si="125"/>
        <v>2</v>
      </c>
      <c r="AC1022">
        <v>95.24</v>
      </c>
      <c r="AD1022" s="2">
        <v>47.62</v>
      </c>
      <c r="AE1022" s="2">
        <v>30.65</v>
      </c>
      <c r="AF1022" s="2">
        <v>0.57999999999999996</v>
      </c>
      <c r="AG1022" s="2">
        <v>126.47</v>
      </c>
      <c r="AH1022">
        <v>0</v>
      </c>
      <c r="AI1022">
        <v>63.234999999999999</v>
      </c>
      <c r="AJ1022">
        <v>0.63234999999999997</v>
      </c>
      <c r="AK1022" t="s">
        <v>54</v>
      </c>
      <c r="AL1022">
        <v>1.56</v>
      </c>
      <c r="AM1022" s="4">
        <f t="shared" si="126"/>
        <v>63.234999999999999</v>
      </c>
      <c r="AN1022" s="4">
        <f t="shared" si="127"/>
        <v>89.287499999999994</v>
      </c>
      <c r="AO1022" s="4">
        <f t="shared" si="128"/>
        <v>99.198412499999989</v>
      </c>
      <c r="AP1022" s="4">
        <f t="shared" si="129"/>
        <v>144.63682124999997</v>
      </c>
      <c r="AQ1022" s="10">
        <f t="shared" si="130"/>
        <v>109.97198850000001</v>
      </c>
      <c r="AR1022" s="10">
        <f t="shared" si="131"/>
        <v>122.18987642235001</v>
      </c>
      <c r="AS1022" s="10">
        <f t="shared" si="132"/>
        <v>171.2043916968</v>
      </c>
    </row>
    <row r="1023" spans="1:45" x14ac:dyDescent="0.3">
      <c r="A1023">
        <v>2025</v>
      </c>
      <c r="B1023">
        <v>4</v>
      </c>
      <c r="C1023" t="s">
        <v>55</v>
      </c>
      <c r="D1023">
        <v>10</v>
      </c>
      <c r="E1023" t="s">
        <v>36</v>
      </c>
      <c r="F1023" t="s">
        <v>37</v>
      </c>
      <c r="G1023" t="s">
        <v>38</v>
      </c>
      <c r="H1023" t="s">
        <v>83</v>
      </c>
      <c r="I1023" t="s">
        <v>375</v>
      </c>
      <c r="J1023" t="s">
        <v>376</v>
      </c>
      <c r="K1023" t="s">
        <v>59</v>
      </c>
      <c r="M1023">
        <v>2503061</v>
      </c>
      <c r="N1023" t="s">
        <v>377</v>
      </c>
      <c r="O1023" t="s">
        <v>36</v>
      </c>
      <c r="Q1023" t="s">
        <v>62</v>
      </c>
      <c r="R1023" t="s">
        <v>378</v>
      </c>
      <c r="S1023" t="s">
        <v>378</v>
      </c>
      <c r="T1023" t="s">
        <v>47</v>
      </c>
      <c r="U1023" t="s">
        <v>114</v>
      </c>
      <c r="V1023" t="s">
        <v>49</v>
      </c>
      <c r="W1023" t="s">
        <v>115</v>
      </c>
      <c r="X1023" t="s">
        <v>51</v>
      </c>
      <c r="Y1023" t="s">
        <v>1372</v>
      </c>
      <c r="Z1023" t="s">
        <v>1372</v>
      </c>
      <c r="AA1023" t="s">
        <v>523</v>
      </c>
      <c r="AB1023" s="3">
        <f t="shared" si="125"/>
        <v>8</v>
      </c>
      <c r="AC1023">
        <v>276.27999999999997</v>
      </c>
      <c r="AD1023" s="2">
        <v>34.534999999999997</v>
      </c>
      <c r="AE1023" s="2">
        <v>19.8</v>
      </c>
      <c r="AF1023" s="2">
        <v>1.79</v>
      </c>
      <c r="AG1023" s="2">
        <v>297.87</v>
      </c>
      <c r="AH1023">
        <v>0</v>
      </c>
      <c r="AI1023">
        <v>37.233750000000001</v>
      </c>
      <c r="AJ1023">
        <v>1.48935</v>
      </c>
      <c r="AK1023" t="s">
        <v>54</v>
      </c>
      <c r="AL1023">
        <v>2.33</v>
      </c>
      <c r="AM1023" s="4">
        <f t="shared" si="126"/>
        <v>37.233750000000001</v>
      </c>
      <c r="AN1023" s="4">
        <f t="shared" si="127"/>
        <v>64.753124999999997</v>
      </c>
      <c r="AO1023" s="4">
        <f t="shared" si="128"/>
        <v>71.940721874999994</v>
      </c>
      <c r="AP1023" s="4">
        <f t="shared" si="129"/>
        <v>104.89358718749999</v>
      </c>
      <c r="AQ1023" s="10">
        <f t="shared" si="130"/>
        <v>64.753214624999998</v>
      </c>
      <c r="AR1023" s="10">
        <f t="shared" si="131"/>
        <v>71.947296769837493</v>
      </c>
      <c r="AS1023" s="10">
        <f t="shared" si="132"/>
        <v>100.80780452819999</v>
      </c>
    </row>
    <row r="1024" spans="1:45" x14ac:dyDescent="0.3">
      <c r="A1024">
        <v>2025</v>
      </c>
      <c r="B1024">
        <v>4</v>
      </c>
      <c r="C1024" t="s">
        <v>55</v>
      </c>
      <c r="D1024">
        <v>10</v>
      </c>
      <c r="E1024" t="s">
        <v>36</v>
      </c>
      <c r="F1024" t="s">
        <v>37</v>
      </c>
      <c r="G1024" t="s">
        <v>38</v>
      </c>
      <c r="H1024" t="s">
        <v>83</v>
      </c>
      <c r="I1024" t="s">
        <v>375</v>
      </c>
      <c r="J1024" t="s">
        <v>376</v>
      </c>
      <c r="K1024" t="s">
        <v>59</v>
      </c>
      <c r="M1024">
        <v>2503061</v>
      </c>
      <c r="N1024" t="s">
        <v>377</v>
      </c>
      <c r="O1024" t="s">
        <v>36</v>
      </c>
      <c r="Q1024" t="s">
        <v>62</v>
      </c>
      <c r="R1024" t="s">
        <v>378</v>
      </c>
      <c r="S1024" t="s">
        <v>378</v>
      </c>
      <c r="T1024" t="s">
        <v>47</v>
      </c>
      <c r="U1024" t="s">
        <v>476</v>
      </c>
      <c r="V1024" t="s">
        <v>49</v>
      </c>
      <c r="W1024" t="s">
        <v>106</v>
      </c>
      <c r="X1024" t="s">
        <v>51</v>
      </c>
      <c r="Y1024" t="s">
        <v>473</v>
      </c>
      <c r="Z1024" t="s">
        <v>473</v>
      </c>
      <c r="AA1024" t="s">
        <v>474</v>
      </c>
      <c r="AB1024" s="3">
        <f t="shared" si="125"/>
        <v>2</v>
      </c>
      <c r="AC1024">
        <v>75.47</v>
      </c>
      <c r="AD1024" s="2">
        <v>37.734999999999999</v>
      </c>
      <c r="AE1024" s="2">
        <v>47.15</v>
      </c>
      <c r="AF1024" s="2">
        <v>0.5</v>
      </c>
      <c r="AG1024" s="2">
        <v>123.12</v>
      </c>
      <c r="AH1024">
        <v>0</v>
      </c>
      <c r="AI1024">
        <v>61.56</v>
      </c>
      <c r="AJ1024">
        <v>0.61560000000000004</v>
      </c>
      <c r="AK1024" t="s">
        <v>54</v>
      </c>
      <c r="AL1024">
        <v>2.25</v>
      </c>
      <c r="AM1024" s="4">
        <f t="shared" si="126"/>
        <v>61.56</v>
      </c>
      <c r="AN1024" s="4">
        <f t="shared" si="127"/>
        <v>70.753124999999997</v>
      </c>
      <c r="AO1024" s="4">
        <f t="shared" si="128"/>
        <v>78.606721874999991</v>
      </c>
      <c r="AP1024" s="4">
        <f t="shared" si="129"/>
        <v>114.61298718749998</v>
      </c>
      <c r="AQ1024" s="10">
        <f t="shared" si="130"/>
        <v>107.05899600000001</v>
      </c>
      <c r="AR1024" s="10">
        <f t="shared" si="131"/>
        <v>118.9532504556</v>
      </c>
      <c r="AS1024" s="10">
        <f t="shared" si="132"/>
        <v>166.66944497279999</v>
      </c>
    </row>
    <row r="1025" spans="1:45" x14ac:dyDescent="0.3">
      <c r="A1025">
        <v>2025</v>
      </c>
      <c r="B1025">
        <v>4</v>
      </c>
      <c r="C1025" t="s">
        <v>55</v>
      </c>
      <c r="D1025">
        <v>10</v>
      </c>
      <c r="E1025" t="s">
        <v>36</v>
      </c>
      <c r="F1025" t="s">
        <v>37</v>
      </c>
      <c r="G1025" t="s">
        <v>38</v>
      </c>
      <c r="H1025" t="s">
        <v>83</v>
      </c>
      <c r="I1025" t="s">
        <v>190</v>
      </c>
      <c r="J1025" t="s">
        <v>58</v>
      </c>
      <c r="K1025" t="s">
        <v>59</v>
      </c>
      <c r="M1025" t="s">
        <v>383</v>
      </c>
      <c r="N1025" t="s">
        <v>384</v>
      </c>
      <c r="O1025" t="s">
        <v>36</v>
      </c>
      <c r="Q1025" t="s">
        <v>62</v>
      </c>
      <c r="R1025" t="s">
        <v>385</v>
      </c>
      <c r="S1025" t="s">
        <v>385</v>
      </c>
      <c r="T1025" t="s">
        <v>47</v>
      </c>
      <c r="U1025" t="s">
        <v>476</v>
      </c>
      <c r="V1025" t="s">
        <v>49</v>
      </c>
      <c r="W1025" t="s">
        <v>106</v>
      </c>
      <c r="X1025" t="s">
        <v>388</v>
      </c>
      <c r="Y1025" t="s">
        <v>477</v>
      </c>
      <c r="Z1025" t="s">
        <v>477</v>
      </c>
      <c r="AA1025" t="s">
        <v>474</v>
      </c>
      <c r="AB1025" s="3">
        <f t="shared" si="125"/>
        <v>2</v>
      </c>
      <c r="AC1025">
        <v>73.25</v>
      </c>
      <c r="AD1025" s="2">
        <v>36.625</v>
      </c>
      <c r="AE1025" s="2">
        <v>30.17</v>
      </c>
      <c r="AF1025" s="2">
        <v>0.5</v>
      </c>
      <c r="AG1025" s="2">
        <v>103.92</v>
      </c>
      <c r="AH1025">
        <v>0</v>
      </c>
      <c r="AI1025">
        <v>51.96</v>
      </c>
      <c r="AJ1025">
        <v>0.51959999999999995</v>
      </c>
      <c r="AK1025" t="s">
        <v>54</v>
      </c>
      <c r="AL1025">
        <v>1.44</v>
      </c>
      <c r="AM1025" s="4">
        <f t="shared" si="126"/>
        <v>51.96</v>
      </c>
      <c r="AN1025" s="4">
        <f t="shared" si="127"/>
        <v>68.671875</v>
      </c>
      <c r="AO1025" s="4">
        <f t="shared" si="128"/>
        <v>76.294453125000004</v>
      </c>
      <c r="AP1025" s="4">
        <f t="shared" si="129"/>
        <v>111.24157031249999</v>
      </c>
      <c r="AQ1025" s="10">
        <f t="shared" si="130"/>
        <v>90.363636</v>
      </c>
      <c r="AR1025" s="10">
        <f t="shared" si="131"/>
        <v>100.4030359596</v>
      </c>
      <c r="AS1025" s="10">
        <f t="shared" si="132"/>
        <v>140.6781085248</v>
      </c>
    </row>
    <row r="1026" spans="1:45" x14ac:dyDescent="0.3">
      <c r="A1026">
        <v>2025</v>
      </c>
      <c r="B1026">
        <v>8</v>
      </c>
      <c r="C1026" t="s">
        <v>55</v>
      </c>
      <c r="D1026">
        <v>10</v>
      </c>
      <c r="E1026" t="s">
        <v>36</v>
      </c>
      <c r="F1026" t="s">
        <v>37</v>
      </c>
      <c r="G1026" t="s">
        <v>38</v>
      </c>
      <c r="H1026" t="s">
        <v>83</v>
      </c>
      <c r="I1026" t="s">
        <v>190</v>
      </c>
      <c r="J1026" t="s">
        <v>58</v>
      </c>
      <c r="K1026" t="s">
        <v>59</v>
      </c>
      <c r="L1026" t="s">
        <v>1194</v>
      </c>
      <c r="M1026" t="s">
        <v>1195</v>
      </c>
      <c r="N1026" t="s">
        <v>1196</v>
      </c>
      <c r="O1026" t="s">
        <v>1197</v>
      </c>
      <c r="Q1026" t="s">
        <v>62</v>
      </c>
      <c r="R1026" t="s">
        <v>1198</v>
      </c>
      <c r="S1026" t="s">
        <v>1198</v>
      </c>
      <c r="T1026" t="s">
        <v>47</v>
      </c>
      <c r="U1026" t="s">
        <v>114</v>
      </c>
      <c r="V1026" t="s">
        <v>49</v>
      </c>
      <c r="W1026" t="s">
        <v>710</v>
      </c>
      <c r="X1026" t="s">
        <v>388</v>
      </c>
      <c r="Y1026" t="s">
        <v>478</v>
      </c>
      <c r="Z1026" t="s">
        <v>478</v>
      </c>
      <c r="AA1026" t="s">
        <v>474</v>
      </c>
      <c r="AB1026" s="3">
        <f t="shared" si="125"/>
        <v>2</v>
      </c>
      <c r="AC1026">
        <v>89.54</v>
      </c>
      <c r="AD1026" s="2">
        <v>44.77</v>
      </c>
      <c r="AE1026" s="2">
        <v>30.65</v>
      </c>
      <c r="AF1026" s="2">
        <v>0.54</v>
      </c>
      <c r="AG1026" s="2">
        <v>120.73</v>
      </c>
      <c r="AH1026">
        <v>0</v>
      </c>
      <c r="AI1026">
        <v>60.365000000000002</v>
      </c>
      <c r="AJ1026">
        <v>0.60365000000000002</v>
      </c>
      <c r="AK1026" t="s">
        <v>54</v>
      </c>
      <c r="AL1026">
        <v>1.56</v>
      </c>
      <c r="AM1026" s="4">
        <f t="shared" si="126"/>
        <v>60.365000000000002</v>
      </c>
      <c r="AN1026" s="4">
        <f t="shared" si="127"/>
        <v>83.943750000000009</v>
      </c>
      <c r="AO1026" s="4">
        <f t="shared" si="128"/>
        <v>93.261506250000011</v>
      </c>
      <c r="AP1026" s="4">
        <f t="shared" si="129"/>
        <v>135.98048062500001</v>
      </c>
      <c r="AQ1026" s="10">
        <f t="shared" si="130"/>
        <v>104.9807715</v>
      </c>
      <c r="AR1026" s="10">
        <f t="shared" si="131"/>
        <v>116.64413521365</v>
      </c>
      <c r="AS1026" s="10">
        <f t="shared" si="132"/>
        <v>163.4340650712</v>
      </c>
    </row>
    <row r="1027" spans="1:45" x14ac:dyDescent="0.3">
      <c r="A1027">
        <v>2025</v>
      </c>
      <c r="B1027">
        <v>9</v>
      </c>
      <c r="C1027" t="s">
        <v>55</v>
      </c>
      <c r="D1027">
        <v>10</v>
      </c>
      <c r="E1027" t="s">
        <v>36</v>
      </c>
      <c r="F1027" t="s">
        <v>37</v>
      </c>
      <c r="G1027" t="s">
        <v>38</v>
      </c>
      <c r="H1027" t="s">
        <v>83</v>
      </c>
      <c r="I1027" t="s">
        <v>375</v>
      </c>
      <c r="J1027" t="s">
        <v>376</v>
      </c>
      <c r="K1027" t="s">
        <v>41</v>
      </c>
      <c r="L1027" t="s">
        <v>1503</v>
      </c>
      <c r="M1027" t="s">
        <v>1504</v>
      </c>
      <c r="N1027" t="s">
        <v>377</v>
      </c>
      <c r="O1027" t="s">
        <v>1197</v>
      </c>
      <c r="Q1027" t="s">
        <v>62</v>
      </c>
      <c r="R1027" t="s">
        <v>1505</v>
      </c>
      <c r="S1027" t="s">
        <v>1505</v>
      </c>
      <c r="T1027" t="s">
        <v>47</v>
      </c>
      <c r="U1027" t="s">
        <v>114</v>
      </c>
      <c r="V1027" t="s">
        <v>49</v>
      </c>
      <c r="W1027" t="s">
        <v>710</v>
      </c>
      <c r="X1027" t="s">
        <v>388</v>
      </c>
      <c r="Y1027" t="s">
        <v>1319</v>
      </c>
      <c r="Z1027" t="s">
        <v>1319</v>
      </c>
      <c r="AA1027" t="s">
        <v>474</v>
      </c>
      <c r="AB1027" s="3">
        <f t="shared" ref="AB1027:AB1090" si="133">SUM(AC1027/AD1027)</f>
        <v>5</v>
      </c>
      <c r="AC1027">
        <v>166.89</v>
      </c>
      <c r="AD1027" s="2">
        <v>33.378</v>
      </c>
      <c r="AE1027" s="2">
        <v>11.96</v>
      </c>
      <c r="AF1027" s="2">
        <v>1.8</v>
      </c>
      <c r="AG1027" s="2">
        <v>179.93</v>
      </c>
      <c r="AH1027">
        <v>0</v>
      </c>
      <c r="AI1027">
        <v>35.985999999999997</v>
      </c>
      <c r="AJ1027">
        <v>0.89964999999999995</v>
      </c>
      <c r="AK1027" t="s">
        <v>54</v>
      </c>
      <c r="AL1027">
        <v>1.41</v>
      </c>
      <c r="AM1027" s="4">
        <f t="shared" ref="AM1027:AM1090" si="134">SUM(AG1027/AB1027)</f>
        <v>35.986000000000004</v>
      </c>
      <c r="AN1027" s="4">
        <f t="shared" ref="AN1027:AN1090" si="135">SUM(AD1027*1.875)</f>
        <v>62.583750000000002</v>
      </c>
      <c r="AO1027" s="4">
        <f t="shared" si="128"/>
        <v>69.53054625</v>
      </c>
      <c r="AP1027" s="4">
        <f t="shared" si="129"/>
        <v>101.37941662499999</v>
      </c>
      <c r="AQ1027" s="10">
        <f t="shared" si="130"/>
        <v>62.583252600000009</v>
      </c>
      <c r="AR1027" s="10">
        <f t="shared" si="131"/>
        <v>69.536251963860011</v>
      </c>
      <c r="AS1027" s="10">
        <f t="shared" si="132"/>
        <v>97.429607647680015</v>
      </c>
    </row>
    <row r="1028" spans="1:45" x14ac:dyDescent="0.3">
      <c r="A1028">
        <v>2025</v>
      </c>
      <c r="B1028">
        <v>12</v>
      </c>
      <c r="C1028" t="s">
        <v>55</v>
      </c>
      <c r="D1028">
        <v>10</v>
      </c>
      <c r="E1028" t="s">
        <v>36</v>
      </c>
      <c r="F1028" t="s">
        <v>37</v>
      </c>
      <c r="G1028" t="s">
        <v>38</v>
      </c>
      <c r="H1028" t="s">
        <v>83</v>
      </c>
      <c r="I1028" t="s">
        <v>57</v>
      </c>
      <c r="J1028" t="s">
        <v>58</v>
      </c>
      <c r="K1028" t="s">
        <v>59</v>
      </c>
      <c r="L1028" t="s">
        <v>1769</v>
      </c>
      <c r="M1028" t="s">
        <v>1770</v>
      </c>
      <c r="N1028" t="s">
        <v>1771</v>
      </c>
      <c r="O1028" t="s">
        <v>1197</v>
      </c>
      <c r="Q1028" t="s">
        <v>62</v>
      </c>
      <c r="R1028" t="s">
        <v>1772</v>
      </c>
      <c r="S1028" t="s">
        <v>1772</v>
      </c>
      <c r="T1028" t="s">
        <v>47</v>
      </c>
      <c r="U1028" t="s">
        <v>118</v>
      </c>
      <c r="V1028" t="s">
        <v>49</v>
      </c>
      <c r="W1028" t="s">
        <v>714</v>
      </c>
      <c r="X1028" t="s">
        <v>51</v>
      </c>
      <c r="Y1028" t="s">
        <v>1319</v>
      </c>
      <c r="Z1028" t="s">
        <v>1319</v>
      </c>
      <c r="AA1028" t="s">
        <v>474</v>
      </c>
      <c r="AB1028" s="3">
        <f t="shared" si="133"/>
        <v>5</v>
      </c>
      <c r="AC1028">
        <v>163.34</v>
      </c>
      <c r="AD1028" s="2">
        <v>32.667999999999999</v>
      </c>
      <c r="AE1028" s="2">
        <v>59.39</v>
      </c>
      <c r="AF1028" s="2">
        <v>1.37</v>
      </c>
      <c r="AG1028" s="2">
        <v>224.1</v>
      </c>
      <c r="AH1028">
        <v>0</v>
      </c>
      <c r="AI1028">
        <v>44.82</v>
      </c>
      <c r="AJ1028">
        <v>1.1205000000000001</v>
      </c>
      <c r="AK1028" t="s">
        <v>54</v>
      </c>
      <c r="AL1028">
        <v>11.12</v>
      </c>
      <c r="AM1028" s="4">
        <f t="shared" si="134"/>
        <v>44.82</v>
      </c>
      <c r="AN1028" s="4">
        <f t="shared" si="135"/>
        <v>61.252499999999998</v>
      </c>
      <c r="AO1028" s="4">
        <f t="shared" ref="AO1028:AO1091" si="136">SUM(AN1028)*1.111</f>
        <v>68.051527499999992</v>
      </c>
      <c r="AP1028" s="4">
        <f t="shared" ref="AP1028:AP1091" si="137">SUM(AN1028)*1.6199</f>
        <v>99.22292474999999</v>
      </c>
      <c r="AQ1028" s="10">
        <f t="shared" si="130"/>
        <v>77.946462000000011</v>
      </c>
      <c r="AR1028" s="10">
        <f t="shared" si="131"/>
        <v>86.606313928200009</v>
      </c>
      <c r="AS1028" s="10">
        <f t="shared" si="132"/>
        <v>121.34705204160001</v>
      </c>
    </row>
    <row r="1029" spans="1:45" x14ac:dyDescent="0.3">
      <c r="A1029">
        <v>2025</v>
      </c>
      <c r="B1029">
        <v>3</v>
      </c>
      <c r="C1029" t="s">
        <v>55</v>
      </c>
      <c r="D1029">
        <v>10</v>
      </c>
      <c r="E1029" t="s">
        <v>36</v>
      </c>
      <c r="F1029" t="s">
        <v>37</v>
      </c>
      <c r="G1029" t="s">
        <v>38</v>
      </c>
      <c r="H1029" t="s">
        <v>83</v>
      </c>
      <c r="I1029" t="s">
        <v>190</v>
      </c>
      <c r="J1029" t="s">
        <v>58</v>
      </c>
      <c r="K1029" t="s">
        <v>59</v>
      </c>
      <c r="M1029" t="s">
        <v>209</v>
      </c>
      <c r="N1029" t="s">
        <v>61</v>
      </c>
      <c r="O1029" t="s">
        <v>43</v>
      </c>
      <c r="Q1029" t="s">
        <v>62</v>
      </c>
      <c r="R1029" t="s">
        <v>210</v>
      </c>
      <c r="S1029" t="s">
        <v>211</v>
      </c>
      <c r="T1029" t="s">
        <v>47</v>
      </c>
      <c r="U1029" t="s">
        <v>118</v>
      </c>
      <c r="V1029" t="s">
        <v>49</v>
      </c>
      <c r="W1029" t="s">
        <v>119</v>
      </c>
      <c r="X1029" t="s">
        <v>51</v>
      </c>
      <c r="Y1029" t="s">
        <v>1869</v>
      </c>
      <c r="Z1029" t="s">
        <v>1869</v>
      </c>
      <c r="AA1029" t="s">
        <v>1870</v>
      </c>
      <c r="AB1029" s="3">
        <f t="shared" si="133"/>
        <v>1</v>
      </c>
      <c r="AC1029">
        <v>263.14</v>
      </c>
      <c r="AD1029" s="2">
        <v>263.14</v>
      </c>
      <c r="AE1029" s="2">
        <v>78.12</v>
      </c>
      <c r="AF1029" s="2">
        <v>1.98</v>
      </c>
      <c r="AG1029" s="2">
        <v>343.23</v>
      </c>
      <c r="AH1029">
        <v>0</v>
      </c>
      <c r="AI1029">
        <v>343.23</v>
      </c>
      <c r="AJ1029">
        <v>1.7161500000000001</v>
      </c>
      <c r="AK1029" t="s">
        <v>54</v>
      </c>
      <c r="AL1029">
        <v>1.96</v>
      </c>
      <c r="AM1029" s="4">
        <f t="shared" si="134"/>
        <v>343.23</v>
      </c>
      <c r="AN1029" s="4">
        <f t="shared" si="135"/>
        <v>493.38749999999999</v>
      </c>
      <c r="AO1029" s="4">
        <f t="shared" si="136"/>
        <v>548.15351250000003</v>
      </c>
      <c r="AP1029" s="4">
        <f t="shared" si="137"/>
        <v>799.2384112499999</v>
      </c>
      <c r="AQ1029" s="10">
        <f t="shared" si="130"/>
        <v>596.91129300000011</v>
      </c>
      <c r="AR1029" s="10">
        <f t="shared" si="131"/>
        <v>663.22813765230012</v>
      </c>
      <c r="AS1029" s="10">
        <f t="shared" si="132"/>
        <v>929.27150094240017</v>
      </c>
    </row>
    <row r="1030" spans="1:45" x14ac:dyDescent="0.3">
      <c r="A1030">
        <v>2025</v>
      </c>
      <c r="B1030">
        <v>3</v>
      </c>
      <c r="C1030" t="s">
        <v>55</v>
      </c>
      <c r="D1030">
        <v>10</v>
      </c>
      <c r="E1030" t="s">
        <v>36</v>
      </c>
      <c r="F1030" t="s">
        <v>37</v>
      </c>
      <c r="G1030" t="s">
        <v>38</v>
      </c>
      <c r="H1030" t="s">
        <v>83</v>
      </c>
      <c r="I1030" t="s">
        <v>190</v>
      </c>
      <c r="J1030" t="s">
        <v>58</v>
      </c>
      <c r="K1030" t="s">
        <v>59</v>
      </c>
      <c r="M1030" t="s">
        <v>213</v>
      </c>
      <c r="N1030" t="s">
        <v>61</v>
      </c>
      <c r="O1030" t="s">
        <v>43</v>
      </c>
      <c r="Q1030" t="s">
        <v>62</v>
      </c>
      <c r="R1030" t="s">
        <v>214</v>
      </c>
      <c r="S1030" t="s">
        <v>215</v>
      </c>
      <c r="T1030" t="s">
        <v>47</v>
      </c>
      <c r="U1030" t="s">
        <v>118</v>
      </c>
      <c r="V1030" t="s">
        <v>49</v>
      </c>
      <c r="W1030" t="s">
        <v>119</v>
      </c>
      <c r="X1030" t="s">
        <v>51</v>
      </c>
      <c r="Y1030" t="s">
        <v>299</v>
      </c>
      <c r="Z1030" t="s">
        <v>64</v>
      </c>
      <c r="AA1030" t="s">
        <v>308</v>
      </c>
      <c r="AB1030" s="3">
        <f t="shared" si="133"/>
        <v>10</v>
      </c>
      <c r="AC1030">
        <v>2897.33</v>
      </c>
      <c r="AD1030" s="2">
        <v>289.733</v>
      </c>
      <c r="AE1030" s="2">
        <v>647.16</v>
      </c>
      <c r="AF1030" s="2">
        <v>21.23</v>
      </c>
      <c r="AG1030" s="2">
        <v>3565.71</v>
      </c>
      <c r="AH1030">
        <v>0</v>
      </c>
      <c r="AI1030">
        <v>356.57100000000003</v>
      </c>
      <c r="AJ1030">
        <v>17.82855</v>
      </c>
      <c r="AK1030" t="s">
        <v>54</v>
      </c>
      <c r="AL1030">
        <v>22.03</v>
      </c>
      <c r="AM1030" s="4">
        <f t="shared" si="134"/>
        <v>356.57100000000003</v>
      </c>
      <c r="AN1030" s="4">
        <f t="shared" si="135"/>
        <v>543.24937499999999</v>
      </c>
      <c r="AO1030" s="4">
        <f t="shared" si="136"/>
        <v>603.55005562500003</v>
      </c>
      <c r="AP1030" s="4">
        <f t="shared" si="137"/>
        <v>880.0096625624999</v>
      </c>
      <c r="AQ1030" s="10">
        <f t="shared" si="130"/>
        <v>620.11262610000006</v>
      </c>
      <c r="AR1030" s="10">
        <f t="shared" si="131"/>
        <v>689.00713885971004</v>
      </c>
      <c r="AS1030" s="10">
        <f t="shared" si="132"/>
        <v>965.39133631248012</v>
      </c>
    </row>
    <row r="1031" spans="1:45" x14ac:dyDescent="0.3">
      <c r="A1031">
        <v>2025</v>
      </c>
      <c r="B1031">
        <v>4</v>
      </c>
      <c r="C1031" t="s">
        <v>55</v>
      </c>
      <c r="D1031">
        <v>10</v>
      </c>
      <c r="E1031" t="s">
        <v>36</v>
      </c>
      <c r="F1031" t="s">
        <v>37</v>
      </c>
      <c r="G1031" t="s">
        <v>38</v>
      </c>
      <c r="H1031" t="s">
        <v>83</v>
      </c>
      <c r="I1031" t="s">
        <v>375</v>
      </c>
      <c r="J1031" t="s">
        <v>376</v>
      </c>
      <c r="K1031" t="s">
        <v>59</v>
      </c>
      <c r="M1031">
        <v>2503061</v>
      </c>
      <c r="N1031" t="s">
        <v>377</v>
      </c>
      <c r="O1031" t="s">
        <v>36</v>
      </c>
      <c r="Q1031" t="s">
        <v>62</v>
      </c>
      <c r="R1031" t="s">
        <v>378</v>
      </c>
      <c r="S1031" t="s">
        <v>378</v>
      </c>
      <c r="T1031" t="s">
        <v>47</v>
      </c>
      <c r="U1031" t="s">
        <v>118</v>
      </c>
      <c r="V1031" t="s">
        <v>49</v>
      </c>
      <c r="W1031" t="s">
        <v>119</v>
      </c>
      <c r="X1031" t="s">
        <v>51</v>
      </c>
      <c r="Y1031" t="s">
        <v>299</v>
      </c>
      <c r="Z1031" t="s">
        <v>64</v>
      </c>
      <c r="AA1031" t="s">
        <v>308</v>
      </c>
      <c r="AB1031" s="3">
        <f t="shared" si="133"/>
        <v>10</v>
      </c>
      <c r="AC1031">
        <v>2080.16</v>
      </c>
      <c r="AD1031" s="2">
        <v>208.01599999999999</v>
      </c>
      <c r="AE1031" s="2">
        <v>436.53</v>
      </c>
      <c r="AF1031" s="2">
        <v>15.4</v>
      </c>
      <c r="AG1031" s="2">
        <v>2532.08</v>
      </c>
      <c r="AH1031">
        <v>0</v>
      </c>
      <c r="AI1031">
        <v>253.208</v>
      </c>
      <c r="AJ1031">
        <v>12.660399999999999</v>
      </c>
      <c r="AK1031" t="s">
        <v>54</v>
      </c>
      <c r="AL1031">
        <v>19.440000000000001</v>
      </c>
      <c r="AM1031" s="4">
        <f t="shared" si="134"/>
        <v>253.208</v>
      </c>
      <c r="AN1031" s="4">
        <f t="shared" si="135"/>
        <v>390.03</v>
      </c>
      <c r="AO1031" s="4">
        <f t="shared" si="136"/>
        <v>433.32332999999994</v>
      </c>
      <c r="AP1031" s="4">
        <f t="shared" si="137"/>
        <v>631.80959699999994</v>
      </c>
      <c r="AQ1031" s="10">
        <f t="shared" si="130"/>
        <v>440.35403280000003</v>
      </c>
      <c r="AR1031" s="10">
        <f t="shared" si="131"/>
        <v>489.27736584408001</v>
      </c>
      <c r="AS1031" s="10">
        <f t="shared" si="132"/>
        <v>685.54315826304003</v>
      </c>
    </row>
    <row r="1032" spans="1:45" x14ac:dyDescent="0.3">
      <c r="A1032">
        <v>2025</v>
      </c>
      <c r="B1032">
        <v>5</v>
      </c>
      <c r="C1032" t="s">
        <v>55</v>
      </c>
      <c r="D1032">
        <v>10</v>
      </c>
      <c r="E1032" t="s">
        <v>36</v>
      </c>
      <c r="F1032" t="s">
        <v>37</v>
      </c>
      <c r="G1032" t="s">
        <v>38</v>
      </c>
      <c r="H1032" t="s">
        <v>83</v>
      </c>
      <c r="I1032" t="s">
        <v>190</v>
      </c>
      <c r="J1032" t="s">
        <v>58</v>
      </c>
      <c r="K1032" t="s">
        <v>59</v>
      </c>
      <c r="M1032" t="s">
        <v>682</v>
      </c>
      <c r="N1032" t="s">
        <v>384</v>
      </c>
      <c r="O1032" t="s">
        <v>36</v>
      </c>
      <c r="Q1032" t="s">
        <v>62</v>
      </c>
      <c r="R1032" t="s">
        <v>683</v>
      </c>
      <c r="S1032" t="s">
        <v>683</v>
      </c>
      <c r="T1032" t="s">
        <v>47</v>
      </c>
      <c r="U1032" t="s">
        <v>118</v>
      </c>
      <c r="V1032" t="s">
        <v>49</v>
      </c>
      <c r="W1032" t="s">
        <v>714</v>
      </c>
      <c r="X1032" t="s">
        <v>686</v>
      </c>
      <c r="Y1032" t="s">
        <v>120</v>
      </c>
      <c r="Z1032" t="s">
        <v>120</v>
      </c>
      <c r="AA1032" t="s">
        <v>308</v>
      </c>
      <c r="AB1032" s="3">
        <f t="shared" si="133"/>
        <v>10</v>
      </c>
      <c r="AC1032">
        <v>2302.44</v>
      </c>
      <c r="AD1032" s="2">
        <v>230.244</v>
      </c>
      <c r="AE1032" s="2">
        <v>150.88</v>
      </c>
      <c r="AF1032" s="2">
        <v>16.36</v>
      </c>
      <c r="AG1032" s="2">
        <v>2469.67</v>
      </c>
      <c r="AH1032">
        <v>0</v>
      </c>
      <c r="AI1032">
        <v>246.96700000000001</v>
      </c>
      <c r="AJ1032">
        <v>12.34835</v>
      </c>
      <c r="AK1032" t="s">
        <v>54</v>
      </c>
      <c r="AL1032">
        <v>7.2</v>
      </c>
      <c r="AM1032" s="4">
        <f t="shared" si="134"/>
        <v>246.96700000000001</v>
      </c>
      <c r="AN1032" s="4">
        <f t="shared" si="135"/>
        <v>431.70749999999998</v>
      </c>
      <c r="AO1032" s="4">
        <f t="shared" si="136"/>
        <v>479.62703249999998</v>
      </c>
      <c r="AP1032" s="4">
        <f t="shared" si="137"/>
        <v>699.32297924999989</v>
      </c>
      <c r="AQ1032" s="10">
        <f t="shared" si="130"/>
        <v>429.50030970000006</v>
      </c>
      <c r="AR1032" s="10">
        <f t="shared" si="131"/>
        <v>477.21779410767004</v>
      </c>
      <c r="AS1032" s="10">
        <f t="shared" si="132"/>
        <v>668.64608214096006</v>
      </c>
    </row>
    <row r="1033" spans="1:45" x14ac:dyDescent="0.3">
      <c r="A1033">
        <v>2025</v>
      </c>
      <c r="B1033">
        <v>10</v>
      </c>
      <c r="C1033" t="s">
        <v>55</v>
      </c>
      <c r="D1033">
        <v>10</v>
      </c>
      <c r="E1033" t="s">
        <v>36</v>
      </c>
      <c r="F1033" t="s">
        <v>37</v>
      </c>
      <c r="G1033" t="s">
        <v>38</v>
      </c>
      <c r="H1033" t="s">
        <v>83</v>
      </c>
      <c r="I1033" t="s">
        <v>375</v>
      </c>
      <c r="J1033" t="s">
        <v>376</v>
      </c>
      <c r="K1033" t="s">
        <v>59</v>
      </c>
      <c r="L1033" t="s">
        <v>1549</v>
      </c>
      <c r="M1033" t="s">
        <v>1550</v>
      </c>
      <c r="N1033" t="s">
        <v>1551</v>
      </c>
      <c r="O1033" t="s">
        <v>1197</v>
      </c>
      <c r="Q1033" t="s">
        <v>62</v>
      </c>
      <c r="R1033" t="s">
        <v>1552</v>
      </c>
      <c r="S1033" t="s">
        <v>1552</v>
      </c>
      <c r="T1033" t="s">
        <v>47</v>
      </c>
      <c r="U1033" t="s">
        <v>118</v>
      </c>
      <c r="V1033" t="s">
        <v>49</v>
      </c>
      <c r="W1033" t="s">
        <v>714</v>
      </c>
      <c r="X1033" t="s">
        <v>51</v>
      </c>
      <c r="Y1033" t="s">
        <v>120</v>
      </c>
      <c r="Z1033" t="s">
        <v>120</v>
      </c>
      <c r="AA1033" t="s">
        <v>308</v>
      </c>
      <c r="AB1033" s="3">
        <f t="shared" si="133"/>
        <v>2.9999999999999996</v>
      </c>
      <c r="AC1033">
        <v>574.65</v>
      </c>
      <c r="AD1033" s="2">
        <v>191.55</v>
      </c>
      <c r="AE1033" s="2">
        <v>284.48</v>
      </c>
      <c r="AF1033" s="2">
        <v>5.14</v>
      </c>
      <c r="AG1033" s="2">
        <v>864.27</v>
      </c>
      <c r="AH1033">
        <v>0</v>
      </c>
      <c r="AI1033">
        <v>288.08999999999997</v>
      </c>
      <c r="AJ1033">
        <v>4.3213499999999998</v>
      </c>
      <c r="AK1033" t="s">
        <v>54</v>
      </c>
      <c r="AL1033">
        <v>9.34</v>
      </c>
      <c r="AM1033" s="4">
        <f t="shared" si="134"/>
        <v>288.09000000000003</v>
      </c>
      <c r="AN1033" s="4">
        <f t="shared" si="135"/>
        <v>359.15625</v>
      </c>
      <c r="AO1033" s="4">
        <f t="shared" si="136"/>
        <v>399.02259375</v>
      </c>
      <c r="AP1033" s="4">
        <f t="shared" si="137"/>
        <v>581.79720937499997</v>
      </c>
      <c r="AQ1033" s="10">
        <f t="shared" si="130"/>
        <v>501.0173190000001</v>
      </c>
      <c r="AR1033" s="10">
        <f t="shared" si="131"/>
        <v>556.68034314090005</v>
      </c>
      <c r="AS1033" s="10">
        <f t="shared" si="132"/>
        <v>779.98376221920012</v>
      </c>
    </row>
    <row r="1034" spans="1:45" x14ac:dyDescent="0.3">
      <c r="A1034">
        <v>2025</v>
      </c>
      <c r="B1034">
        <v>11</v>
      </c>
      <c r="C1034" t="s">
        <v>55</v>
      </c>
      <c r="D1034">
        <v>10</v>
      </c>
      <c r="E1034" t="s">
        <v>36</v>
      </c>
      <c r="F1034" t="s">
        <v>37</v>
      </c>
      <c r="G1034" t="s">
        <v>38</v>
      </c>
      <c r="H1034" t="s">
        <v>83</v>
      </c>
      <c r="I1034" t="s">
        <v>190</v>
      </c>
      <c r="J1034" t="s">
        <v>58</v>
      </c>
      <c r="K1034" t="s">
        <v>59</v>
      </c>
      <c r="L1034" t="s">
        <v>1629</v>
      </c>
      <c r="M1034" t="s">
        <v>1630</v>
      </c>
      <c r="N1034" t="s">
        <v>1485</v>
      </c>
      <c r="O1034" t="s">
        <v>1197</v>
      </c>
      <c r="Q1034" t="s">
        <v>62</v>
      </c>
      <c r="R1034" t="s">
        <v>1631</v>
      </c>
      <c r="S1034" t="s">
        <v>1631</v>
      </c>
      <c r="T1034" t="s">
        <v>47</v>
      </c>
      <c r="U1034" t="s">
        <v>118</v>
      </c>
      <c r="V1034" t="s">
        <v>49</v>
      </c>
      <c r="W1034" t="s">
        <v>714</v>
      </c>
      <c r="X1034" t="s">
        <v>1578</v>
      </c>
      <c r="Y1034" t="s">
        <v>1588</v>
      </c>
      <c r="Z1034" t="s">
        <v>1588</v>
      </c>
      <c r="AA1034" t="s">
        <v>308</v>
      </c>
      <c r="AB1034" s="3">
        <f t="shared" si="133"/>
        <v>10</v>
      </c>
      <c r="AC1034">
        <v>1920.81</v>
      </c>
      <c r="AD1034" s="2">
        <v>192.08099999999999</v>
      </c>
      <c r="AE1034" s="2">
        <v>877.98</v>
      </c>
      <c r="AF1034" s="2">
        <v>17.13</v>
      </c>
      <c r="AG1034" s="2">
        <v>2815.92</v>
      </c>
      <c r="AH1034">
        <v>0</v>
      </c>
      <c r="AI1034">
        <v>281.59199999999998</v>
      </c>
      <c r="AJ1034">
        <v>14.079599999999999</v>
      </c>
      <c r="AK1034" t="s">
        <v>54</v>
      </c>
      <c r="AL1034">
        <v>39.76</v>
      </c>
      <c r="AM1034" s="4">
        <f t="shared" si="134"/>
        <v>281.59199999999998</v>
      </c>
      <c r="AN1034" s="4">
        <f t="shared" si="135"/>
        <v>360.15187499999996</v>
      </c>
      <c r="AO1034" s="4">
        <f t="shared" si="136"/>
        <v>400.12873312499994</v>
      </c>
      <c r="AP1034" s="4">
        <f t="shared" si="137"/>
        <v>583.4100223124999</v>
      </c>
      <c r="AQ1034" s="10">
        <f t="shared" si="130"/>
        <v>489.71664720000001</v>
      </c>
      <c r="AR1034" s="10">
        <f t="shared" si="131"/>
        <v>544.12416670391997</v>
      </c>
      <c r="AS1034" s="10">
        <f t="shared" si="132"/>
        <v>762.39087636095996</v>
      </c>
    </row>
    <row r="1035" spans="1:45" x14ac:dyDescent="0.3">
      <c r="A1035">
        <v>2025</v>
      </c>
      <c r="B1035">
        <v>11</v>
      </c>
      <c r="C1035" t="s">
        <v>55</v>
      </c>
      <c r="D1035">
        <v>10</v>
      </c>
      <c r="E1035" t="s">
        <v>36</v>
      </c>
      <c r="F1035" t="s">
        <v>37</v>
      </c>
      <c r="G1035" t="s">
        <v>38</v>
      </c>
      <c r="H1035" t="s">
        <v>83</v>
      </c>
      <c r="I1035" t="s">
        <v>190</v>
      </c>
      <c r="J1035" t="s">
        <v>58</v>
      </c>
      <c r="K1035" t="s">
        <v>59</v>
      </c>
      <c r="L1035" t="s">
        <v>1629</v>
      </c>
      <c r="M1035" t="s">
        <v>1630</v>
      </c>
      <c r="N1035" t="s">
        <v>1485</v>
      </c>
      <c r="O1035" t="s">
        <v>1197</v>
      </c>
      <c r="Q1035" t="s">
        <v>62</v>
      </c>
      <c r="R1035" t="s">
        <v>1631</v>
      </c>
      <c r="S1035" t="s">
        <v>1631</v>
      </c>
      <c r="T1035" t="s">
        <v>47</v>
      </c>
      <c r="U1035" t="s">
        <v>118</v>
      </c>
      <c r="V1035" t="s">
        <v>49</v>
      </c>
      <c r="W1035" t="s">
        <v>714</v>
      </c>
      <c r="X1035" t="s">
        <v>1578</v>
      </c>
      <c r="Y1035" t="s">
        <v>1588</v>
      </c>
      <c r="Z1035" t="s">
        <v>1588</v>
      </c>
      <c r="AA1035" t="s">
        <v>308</v>
      </c>
      <c r="AB1035" s="3">
        <f t="shared" si="133"/>
        <v>6.000000000000103</v>
      </c>
      <c r="AC1035">
        <v>1168.7</v>
      </c>
      <c r="AD1035" s="2">
        <v>194.78333333333001</v>
      </c>
      <c r="AE1035" s="2">
        <v>304.3</v>
      </c>
      <c r="AF1035" s="2">
        <v>9</v>
      </c>
      <c r="AG1035" s="2">
        <v>1482</v>
      </c>
      <c r="AH1035">
        <v>0</v>
      </c>
      <c r="AI1035">
        <v>247</v>
      </c>
      <c r="AJ1035">
        <v>7.41</v>
      </c>
      <c r="AK1035" t="s">
        <v>54</v>
      </c>
      <c r="AL1035">
        <v>14.71</v>
      </c>
      <c r="AM1035" s="4">
        <f t="shared" si="134"/>
        <v>246.99999999999577</v>
      </c>
      <c r="AN1035" s="4">
        <f t="shared" si="135"/>
        <v>365.21874999999375</v>
      </c>
      <c r="AO1035" s="4">
        <f t="shared" si="136"/>
        <v>405.75803124999305</v>
      </c>
      <c r="AP1035" s="4">
        <f t="shared" si="137"/>
        <v>591.61785312498978</v>
      </c>
      <c r="AQ1035" s="10">
        <f t="shared" si="130"/>
        <v>429.55769999999268</v>
      </c>
      <c r="AR1035" s="10">
        <f t="shared" si="131"/>
        <v>477.28156046999186</v>
      </c>
      <c r="AS1035" s="10">
        <f t="shared" si="132"/>
        <v>668.73542735998853</v>
      </c>
    </row>
    <row r="1036" spans="1:45" x14ac:dyDescent="0.3">
      <c r="A1036">
        <v>2025</v>
      </c>
      <c r="B1036">
        <v>4</v>
      </c>
      <c r="C1036" t="s">
        <v>55</v>
      </c>
      <c r="D1036">
        <v>10</v>
      </c>
      <c r="E1036" t="s">
        <v>36</v>
      </c>
      <c r="F1036" t="s">
        <v>37</v>
      </c>
      <c r="G1036" t="s">
        <v>38</v>
      </c>
      <c r="H1036" t="s">
        <v>83</v>
      </c>
      <c r="I1036" t="s">
        <v>375</v>
      </c>
      <c r="J1036" t="s">
        <v>376</v>
      </c>
      <c r="K1036" t="s">
        <v>59</v>
      </c>
      <c r="M1036">
        <v>2503061</v>
      </c>
      <c r="N1036" t="s">
        <v>377</v>
      </c>
      <c r="O1036" t="s">
        <v>36</v>
      </c>
      <c r="Q1036" t="s">
        <v>62</v>
      </c>
      <c r="R1036" t="s">
        <v>378</v>
      </c>
      <c r="S1036" t="s">
        <v>378</v>
      </c>
      <c r="T1036" t="s">
        <v>47</v>
      </c>
      <c r="U1036" t="s">
        <v>167</v>
      </c>
      <c r="V1036" t="s">
        <v>49</v>
      </c>
      <c r="W1036" t="s">
        <v>168</v>
      </c>
      <c r="X1036" t="s">
        <v>51</v>
      </c>
      <c r="Y1036" t="s">
        <v>1588</v>
      </c>
      <c r="Z1036" t="s">
        <v>1588</v>
      </c>
      <c r="AA1036" t="s">
        <v>308</v>
      </c>
      <c r="AB1036" s="3">
        <f t="shared" si="133"/>
        <v>24.000000000000412</v>
      </c>
      <c r="AC1036">
        <v>4674.8</v>
      </c>
      <c r="AD1036" s="2">
        <v>194.78333333333001</v>
      </c>
      <c r="AE1036" s="2">
        <v>1217.18</v>
      </c>
      <c r="AF1036" s="2">
        <v>36.1</v>
      </c>
      <c r="AG1036" s="2">
        <v>5927.99</v>
      </c>
      <c r="AH1036">
        <v>0</v>
      </c>
      <c r="AI1036">
        <v>246.99958333333001</v>
      </c>
      <c r="AJ1036">
        <v>29.639949999999999</v>
      </c>
      <c r="AK1036" t="s">
        <v>54</v>
      </c>
      <c r="AL1036">
        <v>58.83</v>
      </c>
      <c r="AM1036" s="4">
        <f t="shared" si="134"/>
        <v>246.99958333332907</v>
      </c>
      <c r="AN1036" s="4">
        <f t="shared" si="135"/>
        <v>365.21874999999375</v>
      </c>
      <c r="AO1036" s="4">
        <f t="shared" si="136"/>
        <v>405.75803124999305</v>
      </c>
      <c r="AP1036" s="4">
        <f t="shared" si="137"/>
        <v>591.61785312498978</v>
      </c>
      <c r="AQ1036" s="10">
        <f t="shared" si="130"/>
        <v>429.55697537499259</v>
      </c>
      <c r="AR1036" s="10">
        <f t="shared" si="131"/>
        <v>477.28075533915427</v>
      </c>
      <c r="AS1036" s="10">
        <f t="shared" si="132"/>
        <v>668.73429926378844</v>
      </c>
    </row>
    <row r="1037" spans="1:45" x14ac:dyDescent="0.3">
      <c r="A1037">
        <v>2025</v>
      </c>
      <c r="B1037">
        <v>7</v>
      </c>
      <c r="C1037" t="s">
        <v>55</v>
      </c>
      <c r="D1037">
        <v>10</v>
      </c>
      <c r="E1037" t="s">
        <v>36</v>
      </c>
      <c r="F1037" t="s">
        <v>37</v>
      </c>
      <c r="G1037" t="s">
        <v>38</v>
      </c>
      <c r="H1037" t="s">
        <v>83</v>
      </c>
      <c r="I1037" t="s">
        <v>190</v>
      </c>
      <c r="J1037" t="s">
        <v>58</v>
      </c>
      <c r="K1037" t="s">
        <v>41</v>
      </c>
      <c r="L1037" t="s">
        <v>953</v>
      </c>
      <c r="M1037" t="s">
        <v>954</v>
      </c>
      <c r="N1037" t="s">
        <v>731</v>
      </c>
      <c r="O1037" t="s">
        <v>36</v>
      </c>
      <c r="Q1037" t="s">
        <v>62</v>
      </c>
      <c r="R1037" t="s">
        <v>955</v>
      </c>
      <c r="S1037" t="s">
        <v>956</v>
      </c>
      <c r="T1037" t="s">
        <v>47</v>
      </c>
      <c r="U1037" t="s">
        <v>167</v>
      </c>
      <c r="V1037" t="s">
        <v>49</v>
      </c>
      <c r="W1037" t="s">
        <v>168</v>
      </c>
      <c r="X1037" t="s">
        <v>51</v>
      </c>
      <c r="Y1037" t="s">
        <v>576</v>
      </c>
      <c r="Z1037" t="s">
        <v>576</v>
      </c>
      <c r="AA1037" t="s">
        <v>577</v>
      </c>
      <c r="AB1037" s="3">
        <f t="shared" si="133"/>
        <v>5.0000000000000009</v>
      </c>
      <c r="AC1037">
        <v>790.97</v>
      </c>
      <c r="AD1037" s="2">
        <v>158.19399999999999</v>
      </c>
      <c r="AE1037" s="2">
        <v>75.44</v>
      </c>
      <c r="AF1037" s="2">
        <v>5.6</v>
      </c>
      <c r="AG1037" s="2">
        <v>872.01</v>
      </c>
      <c r="AH1037">
        <v>0</v>
      </c>
      <c r="AI1037">
        <v>174.40199999999999</v>
      </c>
      <c r="AJ1037">
        <v>4.3600500000000002</v>
      </c>
      <c r="AK1037" t="s">
        <v>54</v>
      </c>
      <c r="AL1037">
        <v>3.6</v>
      </c>
      <c r="AM1037" s="4">
        <f t="shared" si="134"/>
        <v>174.40199999999996</v>
      </c>
      <c r="AN1037" s="4">
        <f t="shared" si="135"/>
        <v>296.61374999999998</v>
      </c>
      <c r="AO1037" s="4">
        <f t="shared" si="136"/>
        <v>329.53787624999995</v>
      </c>
      <c r="AP1037" s="4">
        <f t="shared" si="137"/>
        <v>480.48461362499995</v>
      </c>
      <c r="AQ1037" s="10">
        <f t="shared" si="130"/>
        <v>303.30251819999995</v>
      </c>
      <c r="AR1037" s="10">
        <f t="shared" si="131"/>
        <v>336.99942797201993</v>
      </c>
      <c r="AS1037" s="10">
        <f t="shared" si="132"/>
        <v>472.18136033375993</v>
      </c>
    </row>
    <row r="1038" spans="1:45" x14ac:dyDescent="0.3">
      <c r="A1038">
        <v>2025</v>
      </c>
      <c r="B1038">
        <v>8</v>
      </c>
      <c r="C1038" t="s">
        <v>55</v>
      </c>
      <c r="D1038">
        <v>10</v>
      </c>
      <c r="E1038" t="s">
        <v>36</v>
      </c>
      <c r="F1038" t="s">
        <v>37</v>
      </c>
      <c r="G1038" t="s">
        <v>38</v>
      </c>
      <c r="H1038" t="s">
        <v>83</v>
      </c>
      <c r="I1038" t="s">
        <v>190</v>
      </c>
      <c r="J1038" t="s">
        <v>58</v>
      </c>
      <c r="K1038" t="s">
        <v>59</v>
      </c>
      <c r="L1038" t="s">
        <v>1194</v>
      </c>
      <c r="M1038" t="s">
        <v>1195</v>
      </c>
      <c r="N1038" t="s">
        <v>1196</v>
      </c>
      <c r="O1038" t="s">
        <v>1197</v>
      </c>
      <c r="Q1038" t="s">
        <v>62</v>
      </c>
      <c r="R1038" t="s">
        <v>1198</v>
      </c>
      <c r="S1038" t="s">
        <v>1198</v>
      </c>
      <c r="T1038" t="s">
        <v>47</v>
      </c>
      <c r="U1038" t="s">
        <v>167</v>
      </c>
      <c r="V1038" t="s">
        <v>49</v>
      </c>
      <c r="W1038" t="s">
        <v>168</v>
      </c>
      <c r="X1038" t="s">
        <v>388</v>
      </c>
      <c r="Y1038" t="s">
        <v>1137</v>
      </c>
      <c r="Z1038" t="s">
        <v>1137</v>
      </c>
      <c r="AA1038" t="s">
        <v>577</v>
      </c>
      <c r="AB1038" s="3">
        <f t="shared" si="133"/>
        <v>5</v>
      </c>
      <c r="AC1038">
        <v>620.30999999999995</v>
      </c>
      <c r="AD1038" s="2">
        <v>124.062</v>
      </c>
      <c r="AE1038" s="2">
        <v>145.21</v>
      </c>
      <c r="AF1038" s="2">
        <v>4.2699999999999996</v>
      </c>
      <c r="AG1038" s="2">
        <v>769.79</v>
      </c>
      <c r="AH1038">
        <v>0</v>
      </c>
      <c r="AI1038">
        <v>153.958</v>
      </c>
      <c r="AJ1038">
        <v>3.8489499999999999</v>
      </c>
      <c r="AK1038" t="s">
        <v>54</v>
      </c>
      <c r="AL1038">
        <v>10.87</v>
      </c>
      <c r="AM1038" s="4">
        <f t="shared" si="134"/>
        <v>153.958</v>
      </c>
      <c r="AN1038" s="4">
        <f t="shared" si="135"/>
        <v>232.61625000000001</v>
      </c>
      <c r="AO1038" s="4">
        <f t="shared" si="136"/>
        <v>258.43665375</v>
      </c>
      <c r="AP1038" s="4">
        <f t="shared" si="137"/>
        <v>376.81506337499997</v>
      </c>
      <c r="AQ1038" s="10">
        <f t="shared" si="130"/>
        <v>267.74835780000001</v>
      </c>
      <c r="AR1038" s="10">
        <f t="shared" si="131"/>
        <v>297.49520035158002</v>
      </c>
      <c r="AS1038" s="10">
        <f t="shared" si="132"/>
        <v>416.83064342303999</v>
      </c>
    </row>
    <row r="1039" spans="1:45" x14ac:dyDescent="0.3">
      <c r="A1039">
        <v>2025</v>
      </c>
      <c r="B1039">
        <v>4</v>
      </c>
      <c r="C1039" t="s">
        <v>55</v>
      </c>
      <c r="D1039">
        <v>10</v>
      </c>
      <c r="E1039" t="s">
        <v>36</v>
      </c>
      <c r="F1039" t="s">
        <v>37</v>
      </c>
      <c r="G1039" t="s">
        <v>38</v>
      </c>
      <c r="H1039" t="s">
        <v>83</v>
      </c>
      <c r="I1039" t="s">
        <v>375</v>
      </c>
      <c r="J1039" t="s">
        <v>376</v>
      </c>
      <c r="K1039" t="s">
        <v>59</v>
      </c>
      <c r="M1039">
        <v>2503061</v>
      </c>
      <c r="N1039" t="s">
        <v>377</v>
      </c>
      <c r="O1039" t="s">
        <v>36</v>
      </c>
      <c r="Q1039" t="s">
        <v>62</v>
      </c>
      <c r="R1039" t="s">
        <v>378</v>
      </c>
      <c r="S1039" t="s">
        <v>378</v>
      </c>
      <c r="T1039" t="s">
        <v>47</v>
      </c>
      <c r="U1039" t="s">
        <v>173</v>
      </c>
      <c r="V1039" t="s">
        <v>49</v>
      </c>
      <c r="W1039" t="s">
        <v>174</v>
      </c>
      <c r="X1039" t="s">
        <v>51</v>
      </c>
      <c r="Y1039" t="s">
        <v>1137</v>
      </c>
      <c r="Z1039" t="s">
        <v>1137</v>
      </c>
      <c r="AA1039" t="s">
        <v>577</v>
      </c>
      <c r="AB1039" s="3">
        <f t="shared" si="133"/>
        <v>5</v>
      </c>
      <c r="AC1039">
        <v>655.89</v>
      </c>
      <c r="AD1039" s="2">
        <v>131.178</v>
      </c>
      <c r="AE1039" s="2">
        <v>47</v>
      </c>
      <c r="AF1039" s="2">
        <v>4.24</v>
      </c>
      <c r="AG1039" s="2">
        <v>707.14</v>
      </c>
      <c r="AH1039">
        <v>0</v>
      </c>
      <c r="AI1039">
        <v>141.428</v>
      </c>
      <c r="AJ1039">
        <v>3.5356999999999998</v>
      </c>
      <c r="AK1039" t="s">
        <v>54</v>
      </c>
      <c r="AL1039">
        <v>5.52</v>
      </c>
      <c r="AM1039" s="4">
        <f t="shared" si="134"/>
        <v>141.428</v>
      </c>
      <c r="AN1039" s="4">
        <f t="shared" si="135"/>
        <v>245.95875000000001</v>
      </c>
      <c r="AO1039" s="4">
        <f t="shared" si="136"/>
        <v>273.26017124999998</v>
      </c>
      <c r="AP1039" s="4">
        <f t="shared" si="137"/>
        <v>398.428579125</v>
      </c>
      <c r="AQ1039" s="10">
        <f t="shared" si="130"/>
        <v>245.95743480000002</v>
      </c>
      <c r="AR1039" s="10">
        <f t="shared" si="131"/>
        <v>273.28330580628</v>
      </c>
      <c r="AS1039" s="10">
        <f t="shared" si="132"/>
        <v>382.90653449664001</v>
      </c>
    </row>
    <row r="1040" spans="1:45" x14ac:dyDescent="0.3">
      <c r="A1040">
        <v>2025</v>
      </c>
      <c r="B1040">
        <v>4</v>
      </c>
      <c r="C1040" t="s">
        <v>55</v>
      </c>
      <c r="D1040">
        <v>10</v>
      </c>
      <c r="E1040" t="s">
        <v>36</v>
      </c>
      <c r="F1040" t="s">
        <v>37</v>
      </c>
      <c r="G1040" t="s">
        <v>38</v>
      </c>
      <c r="H1040" t="s">
        <v>83</v>
      </c>
      <c r="I1040" t="s">
        <v>375</v>
      </c>
      <c r="J1040" t="s">
        <v>376</v>
      </c>
      <c r="K1040" t="s">
        <v>59</v>
      </c>
      <c r="M1040">
        <v>2503061</v>
      </c>
      <c r="N1040" t="s">
        <v>377</v>
      </c>
      <c r="O1040" t="s">
        <v>36</v>
      </c>
      <c r="Q1040" t="s">
        <v>62</v>
      </c>
      <c r="R1040" t="s">
        <v>378</v>
      </c>
      <c r="S1040" t="s">
        <v>378</v>
      </c>
      <c r="T1040" t="s">
        <v>47</v>
      </c>
      <c r="U1040" t="s">
        <v>173</v>
      </c>
      <c r="V1040" t="s">
        <v>49</v>
      </c>
      <c r="W1040" t="s">
        <v>174</v>
      </c>
      <c r="X1040" t="s">
        <v>51</v>
      </c>
      <c r="Y1040" t="s">
        <v>175</v>
      </c>
      <c r="Z1040" t="s">
        <v>175</v>
      </c>
      <c r="AA1040" t="s">
        <v>598</v>
      </c>
      <c r="AB1040" s="3">
        <f t="shared" si="133"/>
        <v>2</v>
      </c>
      <c r="AC1040">
        <v>348.81</v>
      </c>
      <c r="AD1040" s="2">
        <v>174.405</v>
      </c>
      <c r="AE1040" s="2">
        <v>30.17</v>
      </c>
      <c r="AF1040" s="2">
        <v>2.4700000000000002</v>
      </c>
      <c r="AG1040" s="2">
        <v>381.46</v>
      </c>
      <c r="AH1040">
        <v>0</v>
      </c>
      <c r="AI1040">
        <v>190.73</v>
      </c>
      <c r="AJ1040">
        <v>1.9073</v>
      </c>
      <c r="AK1040" t="s">
        <v>54</v>
      </c>
      <c r="AL1040">
        <v>1.44</v>
      </c>
      <c r="AM1040" s="4">
        <f t="shared" si="134"/>
        <v>190.73</v>
      </c>
      <c r="AN1040" s="4">
        <f t="shared" si="135"/>
        <v>327.00937499999998</v>
      </c>
      <c r="AO1040" s="4">
        <f t="shared" si="136"/>
        <v>363.30741562499998</v>
      </c>
      <c r="AP1040" s="4">
        <f t="shared" si="137"/>
        <v>529.72248656249997</v>
      </c>
      <c r="AQ1040" s="10">
        <f t="shared" si="130"/>
        <v>331.69854299999997</v>
      </c>
      <c r="AR1040" s="10">
        <f t="shared" si="131"/>
        <v>368.55025112729999</v>
      </c>
      <c r="AS1040" s="10">
        <f t="shared" si="132"/>
        <v>516.38829174239993</v>
      </c>
    </row>
    <row r="1041" spans="1:45" x14ac:dyDescent="0.3">
      <c r="A1041">
        <v>2025</v>
      </c>
      <c r="B1041">
        <v>4</v>
      </c>
      <c r="C1041" t="s">
        <v>55</v>
      </c>
      <c r="D1041">
        <v>10</v>
      </c>
      <c r="E1041" t="s">
        <v>36</v>
      </c>
      <c r="F1041" t="s">
        <v>37</v>
      </c>
      <c r="G1041" t="s">
        <v>38</v>
      </c>
      <c r="H1041" t="s">
        <v>83</v>
      </c>
      <c r="I1041" t="s">
        <v>190</v>
      </c>
      <c r="J1041" t="s">
        <v>58</v>
      </c>
      <c r="K1041" t="s">
        <v>59</v>
      </c>
      <c r="M1041" t="s">
        <v>383</v>
      </c>
      <c r="N1041" t="s">
        <v>384</v>
      </c>
      <c r="O1041" t="s">
        <v>36</v>
      </c>
      <c r="Q1041" t="s">
        <v>62</v>
      </c>
      <c r="R1041" t="s">
        <v>385</v>
      </c>
      <c r="S1041" t="s">
        <v>385</v>
      </c>
      <c r="T1041" t="s">
        <v>47</v>
      </c>
      <c r="U1041" t="s">
        <v>173</v>
      </c>
      <c r="V1041" t="s">
        <v>49</v>
      </c>
      <c r="W1041" t="s">
        <v>174</v>
      </c>
      <c r="X1041" t="s">
        <v>388</v>
      </c>
      <c r="Y1041" t="s">
        <v>175</v>
      </c>
      <c r="Z1041" t="s">
        <v>175</v>
      </c>
      <c r="AA1041" t="s">
        <v>598</v>
      </c>
      <c r="AB1041" s="3">
        <f t="shared" si="133"/>
        <v>2</v>
      </c>
      <c r="AC1041">
        <v>351.03</v>
      </c>
      <c r="AD1041" s="2">
        <v>175.51499999999999</v>
      </c>
      <c r="AE1041" s="2">
        <v>47.15</v>
      </c>
      <c r="AF1041" s="2">
        <v>2.48</v>
      </c>
      <c r="AG1041" s="2">
        <v>400.66</v>
      </c>
      <c r="AH1041">
        <v>0</v>
      </c>
      <c r="AI1041">
        <v>200.33</v>
      </c>
      <c r="AJ1041">
        <v>2.0032999999999999</v>
      </c>
      <c r="AK1041" t="s">
        <v>54</v>
      </c>
      <c r="AL1041">
        <v>2.25</v>
      </c>
      <c r="AM1041" s="4">
        <f t="shared" si="134"/>
        <v>200.33</v>
      </c>
      <c r="AN1041" s="4">
        <f t="shared" si="135"/>
        <v>329.09062499999999</v>
      </c>
      <c r="AO1041" s="4">
        <f t="shared" si="136"/>
        <v>365.61968437499996</v>
      </c>
      <c r="AP1041" s="4">
        <f t="shared" si="137"/>
        <v>533.09390343749999</v>
      </c>
      <c r="AQ1041" s="10">
        <f t="shared" si="130"/>
        <v>348.39390300000002</v>
      </c>
      <c r="AR1041" s="10">
        <f t="shared" si="131"/>
        <v>387.10046562330001</v>
      </c>
      <c r="AS1041" s="10">
        <f t="shared" si="132"/>
        <v>542.37962819040001</v>
      </c>
    </row>
    <row r="1042" spans="1:45" x14ac:dyDescent="0.3">
      <c r="A1042">
        <v>2025</v>
      </c>
      <c r="B1042">
        <v>4</v>
      </c>
      <c r="C1042" t="s">
        <v>55</v>
      </c>
      <c r="D1042">
        <v>10</v>
      </c>
      <c r="E1042" t="s">
        <v>36</v>
      </c>
      <c r="F1042" t="s">
        <v>37</v>
      </c>
      <c r="G1042" t="s">
        <v>38</v>
      </c>
      <c r="H1042" t="s">
        <v>83</v>
      </c>
      <c r="I1042" t="s">
        <v>375</v>
      </c>
      <c r="J1042" t="s">
        <v>376</v>
      </c>
      <c r="K1042" t="s">
        <v>59</v>
      </c>
      <c r="M1042">
        <v>2503061</v>
      </c>
      <c r="N1042" t="s">
        <v>377</v>
      </c>
      <c r="O1042" t="s">
        <v>36</v>
      </c>
      <c r="Q1042" t="s">
        <v>62</v>
      </c>
      <c r="R1042" t="s">
        <v>378</v>
      </c>
      <c r="S1042" t="s">
        <v>378</v>
      </c>
      <c r="T1042" t="s">
        <v>47</v>
      </c>
      <c r="U1042" t="s">
        <v>428</v>
      </c>
      <c r="V1042" t="s">
        <v>49</v>
      </c>
      <c r="W1042" t="s">
        <v>425</v>
      </c>
      <c r="X1042" t="s">
        <v>51</v>
      </c>
      <c r="Y1042" t="s">
        <v>606</v>
      </c>
      <c r="Z1042" t="s">
        <v>606</v>
      </c>
      <c r="AA1042" t="s">
        <v>598</v>
      </c>
      <c r="AB1042" s="3">
        <f t="shared" si="133"/>
        <v>2</v>
      </c>
      <c r="AC1042">
        <v>379.6</v>
      </c>
      <c r="AD1042" s="2">
        <v>189.8</v>
      </c>
      <c r="AE1042" s="2">
        <v>30.65</v>
      </c>
      <c r="AF1042" s="2">
        <v>2.54</v>
      </c>
      <c r="AG1042" s="2">
        <v>412.79</v>
      </c>
      <c r="AH1042">
        <v>0</v>
      </c>
      <c r="AI1042">
        <v>206.39500000000001</v>
      </c>
      <c r="AJ1042">
        <v>2.0639500000000002</v>
      </c>
      <c r="AK1042" t="s">
        <v>54</v>
      </c>
      <c r="AL1042">
        <v>1.56</v>
      </c>
      <c r="AM1042" s="4">
        <f t="shared" si="134"/>
        <v>206.39500000000001</v>
      </c>
      <c r="AN1042" s="4">
        <f t="shared" si="135"/>
        <v>355.875</v>
      </c>
      <c r="AO1042" s="4">
        <f t="shared" si="136"/>
        <v>395.37712499999998</v>
      </c>
      <c r="AP1042" s="4">
        <f t="shared" si="137"/>
        <v>576.48191249999991</v>
      </c>
      <c r="AQ1042" s="10">
        <f t="shared" si="130"/>
        <v>358.94154450000002</v>
      </c>
      <c r="AR1042" s="10">
        <f t="shared" si="131"/>
        <v>398.81995009395001</v>
      </c>
      <c r="AS1042" s="10">
        <f t="shared" si="132"/>
        <v>558.80019647760002</v>
      </c>
    </row>
    <row r="1043" spans="1:45" x14ac:dyDescent="0.3">
      <c r="A1043">
        <v>2025</v>
      </c>
      <c r="B1043">
        <v>4</v>
      </c>
      <c r="C1043" t="s">
        <v>55</v>
      </c>
      <c r="D1043">
        <v>10</v>
      </c>
      <c r="E1043" t="s">
        <v>36</v>
      </c>
      <c r="F1043" t="s">
        <v>37</v>
      </c>
      <c r="G1043" t="s">
        <v>38</v>
      </c>
      <c r="H1043" t="s">
        <v>83</v>
      </c>
      <c r="I1043" t="s">
        <v>375</v>
      </c>
      <c r="J1043" t="s">
        <v>376</v>
      </c>
      <c r="K1043" t="s">
        <v>59</v>
      </c>
      <c r="M1043">
        <v>2503061</v>
      </c>
      <c r="N1043" t="s">
        <v>377</v>
      </c>
      <c r="O1043" t="s">
        <v>36</v>
      </c>
      <c r="Q1043" t="s">
        <v>62</v>
      </c>
      <c r="R1043" t="s">
        <v>378</v>
      </c>
      <c r="S1043" t="s">
        <v>378</v>
      </c>
      <c r="T1043" t="s">
        <v>47</v>
      </c>
      <c r="U1043" t="s">
        <v>428</v>
      </c>
      <c r="V1043" t="s">
        <v>49</v>
      </c>
      <c r="W1043" t="s">
        <v>425</v>
      </c>
      <c r="X1043" t="s">
        <v>51</v>
      </c>
      <c r="Y1043" t="s">
        <v>429</v>
      </c>
      <c r="Z1043" t="s">
        <v>429</v>
      </c>
      <c r="AA1043" t="s">
        <v>430</v>
      </c>
      <c r="AB1043" s="3">
        <f t="shared" si="133"/>
        <v>2.2100000000000048</v>
      </c>
      <c r="AC1043">
        <v>150.33000000000001</v>
      </c>
      <c r="AD1043" s="2">
        <v>68.022624434389002</v>
      </c>
      <c r="AE1043" s="2">
        <v>30.17</v>
      </c>
      <c r="AF1043" s="2">
        <v>1.05</v>
      </c>
      <c r="AG1043" s="2">
        <v>181.55</v>
      </c>
      <c r="AH1043">
        <v>0</v>
      </c>
      <c r="AI1043">
        <v>82.149321266968002</v>
      </c>
      <c r="AJ1043">
        <v>0.90774999999999995</v>
      </c>
      <c r="AK1043" t="s">
        <v>54</v>
      </c>
      <c r="AL1043">
        <v>1.44</v>
      </c>
      <c r="AM1043" s="4">
        <f t="shared" si="134"/>
        <v>82.149321266968144</v>
      </c>
      <c r="AN1043" s="4">
        <f t="shared" si="135"/>
        <v>127.54242081447939</v>
      </c>
      <c r="AO1043" s="4">
        <f t="shared" si="136"/>
        <v>141.6996295248866</v>
      </c>
      <c r="AP1043" s="4">
        <f t="shared" si="137"/>
        <v>206.60596747737515</v>
      </c>
      <c r="AQ1043" s="10">
        <f t="shared" si="130"/>
        <v>142.86588461538432</v>
      </c>
      <c r="AR1043" s="10">
        <f t="shared" si="131"/>
        <v>158.73828439615352</v>
      </c>
      <c r="AS1043" s="10">
        <f t="shared" si="132"/>
        <v>222.41360916923031</v>
      </c>
    </row>
    <row r="1044" spans="1:45" x14ac:dyDescent="0.3">
      <c r="A1044">
        <v>2025</v>
      </c>
      <c r="B1044">
        <v>4</v>
      </c>
      <c r="C1044" t="s">
        <v>55</v>
      </c>
      <c r="D1044">
        <v>10</v>
      </c>
      <c r="E1044" t="s">
        <v>36</v>
      </c>
      <c r="F1044" t="s">
        <v>37</v>
      </c>
      <c r="G1044" t="s">
        <v>38</v>
      </c>
      <c r="H1044" t="s">
        <v>83</v>
      </c>
      <c r="I1044" t="s">
        <v>190</v>
      </c>
      <c r="J1044" t="s">
        <v>58</v>
      </c>
      <c r="K1044" t="s">
        <v>59</v>
      </c>
      <c r="M1044" t="s">
        <v>383</v>
      </c>
      <c r="N1044" t="s">
        <v>384</v>
      </c>
      <c r="O1044" t="s">
        <v>36</v>
      </c>
      <c r="Q1044" t="s">
        <v>62</v>
      </c>
      <c r="R1044" t="s">
        <v>385</v>
      </c>
      <c r="S1044" t="s">
        <v>385</v>
      </c>
      <c r="T1044" t="s">
        <v>47</v>
      </c>
      <c r="U1044" t="s">
        <v>428</v>
      </c>
      <c r="V1044" t="s">
        <v>49</v>
      </c>
      <c r="W1044" t="s">
        <v>425</v>
      </c>
      <c r="X1044" t="s">
        <v>388</v>
      </c>
      <c r="Y1044" t="s">
        <v>431</v>
      </c>
      <c r="Z1044" t="s">
        <v>431</v>
      </c>
      <c r="AA1044" t="s">
        <v>430</v>
      </c>
      <c r="AB1044" s="3">
        <f t="shared" si="133"/>
        <v>5.180000000000021</v>
      </c>
      <c r="AC1044">
        <v>228.84</v>
      </c>
      <c r="AD1044" s="2">
        <v>44.177606177606002</v>
      </c>
      <c r="AE1044" s="2">
        <v>70.83</v>
      </c>
      <c r="AF1044" s="2">
        <v>1.58</v>
      </c>
      <c r="AG1044" s="2">
        <v>301.24</v>
      </c>
      <c r="AH1044">
        <v>0</v>
      </c>
      <c r="AI1044">
        <v>58.154440154440003</v>
      </c>
      <c r="AJ1044">
        <v>1.5062</v>
      </c>
      <c r="AK1044" t="s">
        <v>54</v>
      </c>
      <c r="AL1044">
        <v>3.38</v>
      </c>
      <c r="AM1044" s="4">
        <f t="shared" si="134"/>
        <v>58.154440154439918</v>
      </c>
      <c r="AN1044" s="4">
        <f t="shared" si="135"/>
        <v>82.833011583011256</v>
      </c>
      <c r="AO1044" s="4">
        <f t="shared" si="136"/>
        <v>92.027475868725503</v>
      </c>
      <c r="AP1044" s="4">
        <f t="shared" si="137"/>
        <v>134.18119546331994</v>
      </c>
      <c r="AQ1044" s="10">
        <f t="shared" si="130"/>
        <v>101.13638687258647</v>
      </c>
      <c r="AR1044" s="10">
        <f t="shared" si="131"/>
        <v>112.37263945413082</v>
      </c>
      <c r="AS1044" s="10">
        <f t="shared" si="132"/>
        <v>157.44912708324262</v>
      </c>
    </row>
    <row r="1045" spans="1:45" x14ac:dyDescent="0.3">
      <c r="A1045">
        <v>2025</v>
      </c>
      <c r="B1045">
        <v>10</v>
      </c>
      <c r="C1045" t="s">
        <v>55</v>
      </c>
      <c r="D1045">
        <v>10</v>
      </c>
      <c r="E1045" t="s">
        <v>36</v>
      </c>
      <c r="F1045" t="s">
        <v>37</v>
      </c>
      <c r="G1045" t="s">
        <v>38</v>
      </c>
      <c r="H1045" t="s">
        <v>83</v>
      </c>
      <c r="I1045" t="s">
        <v>375</v>
      </c>
      <c r="J1045" t="s">
        <v>376</v>
      </c>
      <c r="K1045" t="s">
        <v>59</v>
      </c>
      <c r="L1045" t="s">
        <v>1549</v>
      </c>
      <c r="M1045" t="s">
        <v>1550</v>
      </c>
      <c r="N1045" t="s">
        <v>1551</v>
      </c>
      <c r="O1045" t="s">
        <v>1197</v>
      </c>
      <c r="Q1045" t="s">
        <v>62</v>
      </c>
      <c r="R1045" t="s">
        <v>1552</v>
      </c>
      <c r="S1045" t="s">
        <v>1552</v>
      </c>
      <c r="T1045" t="s">
        <v>47</v>
      </c>
      <c r="U1045" t="s">
        <v>167</v>
      </c>
      <c r="V1045" t="s">
        <v>49</v>
      </c>
      <c r="W1045" t="s">
        <v>168</v>
      </c>
      <c r="X1045" t="s">
        <v>51</v>
      </c>
      <c r="Y1045" t="s">
        <v>432</v>
      </c>
      <c r="Z1045" t="s">
        <v>432</v>
      </c>
      <c r="AA1045" t="s">
        <v>430</v>
      </c>
      <c r="AB1045" s="3">
        <f t="shared" si="133"/>
        <v>2.7199999999999913</v>
      </c>
      <c r="AC1045">
        <v>145.30000000000001</v>
      </c>
      <c r="AD1045" s="2">
        <v>53.419117647058997</v>
      </c>
      <c r="AE1045" s="2">
        <v>30.65</v>
      </c>
      <c r="AF1045" s="2">
        <v>0.93</v>
      </c>
      <c r="AG1045" s="2">
        <v>176.87</v>
      </c>
      <c r="AH1045">
        <v>0</v>
      </c>
      <c r="AI1045">
        <v>65.025735294117993</v>
      </c>
      <c r="AJ1045">
        <v>0.88434999999999997</v>
      </c>
      <c r="AK1045" t="s">
        <v>54</v>
      </c>
      <c r="AL1045">
        <v>1.56</v>
      </c>
      <c r="AM1045" s="4">
        <f t="shared" si="134"/>
        <v>65.025735294117851</v>
      </c>
      <c r="AN1045" s="4">
        <f t="shared" si="135"/>
        <v>100.16084558823562</v>
      </c>
      <c r="AO1045" s="4">
        <f t="shared" si="136"/>
        <v>111.27869944852976</v>
      </c>
      <c r="AP1045" s="4">
        <f t="shared" si="137"/>
        <v>162.25055376838287</v>
      </c>
      <c r="AQ1045" s="10">
        <f t="shared" si="130"/>
        <v>113.08625625000036</v>
      </c>
      <c r="AR1045" s="10">
        <f t="shared" si="131"/>
        <v>125.6501393193754</v>
      </c>
      <c r="AS1045" s="10">
        <f t="shared" si="132"/>
        <v>176.05268373000055</v>
      </c>
    </row>
    <row r="1046" spans="1:45" x14ac:dyDescent="0.3">
      <c r="A1046">
        <v>2025</v>
      </c>
      <c r="B1046">
        <v>3</v>
      </c>
      <c r="C1046" t="s">
        <v>55</v>
      </c>
      <c r="D1046">
        <v>10</v>
      </c>
      <c r="E1046" t="s">
        <v>36</v>
      </c>
      <c r="F1046" t="s">
        <v>37</v>
      </c>
      <c r="G1046" t="s">
        <v>38</v>
      </c>
      <c r="H1046" t="s">
        <v>83</v>
      </c>
      <c r="I1046" t="s">
        <v>190</v>
      </c>
      <c r="J1046" t="s">
        <v>58</v>
      </c>
      <c r="K1046" t="s">
        <v>59</v>
      </c>
      <c r="M1046" t="s">
        <v>213</v>
      </c>
      <c r="N1046" t="s">
        <v>61</v>
      </c>
      <c r="O1046" t="s">
        <v>43</v>
      </c>
      <c r="Q1046" t="s">
        <v>62</v>
      </c>
      <c r="R1046" t="s">
        <v>214</v>
      </c>
      <c r="S1046" t="s">
        <v>215</v>
      </c>
      <c r="T1046" t="s">
        <v>47</v>
      </c>
      <c r="U1046" t="s">
        <v>356</v>
      </c>
      <c r="V1046" t="s">
        <v>49</v>
      </c>
      <c r="W1046" t="s">
        <v>357</v>
      </c>
      <c r="X1046" t="s">
        <v>51</v>
      </c>
      <c r="Y1046" t="s">
        <v>1407</v>
      </c>
      <c r="Z1046" t="s">
        <v>1407</v>
      </c>
      <c r="AA1046" t="s">
        <v>1601</v>
      </c>
      <c r="AB1046" s="3">
        <f t="shared" si="133"/>
        <v>1</v>
      </c>
      <c r="AC1046">
        <v>506.65</v>
      </c>
      <c r="AD1046" s="2">
        <v>506.65</v>
      </c>
      <c r="AE1046" s="2">
        <v>231.58</v>
      </c>
      <c r="AF1046" s="2">
        <v>4.5199999999999996</v>
      </c>
      <c r="AG1046" s="2">
        <v>742.74</v>
      </c>
      <c r="AH1046">
        <v>0</v>
      </c>
      <c r="AI1046">
        <v>742.74</v>
      </c>
      <c r="AJ1046">
        <v>3.7136999999999998</v>
      </c>
      <c r="AK1046" t="s">
        <v>54</v>
      </c>
      <c r="AL1046">
        <v>10.49</v>
      </c>
      <c r="AM1046" s="4">
        <f t="shared" si="134"/>
        <v>742.74</v>
      </c>
      <c r="AN1046" s="4">
        <f t="shared" si="135"/>
        <v>949.96875</v>
      </c>
      <c r="AO1046" s="4">
        <f t="shared" si="136"/>
        <v>1055.4152812499999</v>
      </c>
      <c r="AP1046" s="4">
        <f t="shared" si="137"/>
        <v>1538.8543781249998</v>
      </c>
      <c r="AQ1046" s="10">
        <f t="shared" si="130"/>
        <v>1291.6991340000002</v>
      </c>
      <c r="AR1046" s="10">
        <f t="shared" si="131"/>
        <v>1435.2069077874003</v>
      </c>
      <c r="AS1046" s="10">
        <f t="shared" si="132"/>
        <v>2010.9172118112003</v>
      </c>
    </row>
    <row r="1047" spans="1:45" x14ac:dyDescent="0.3">
      <c r="A1047">
        <v>2025</v>
      </c>
      <c r="B1047">
        <v>3</v>
      </c>
      <c r="C1047" t="s">
        <v>55</v>
      </c>
      <c r="D1047">
        <v>10</v>
      </c>
      <c r="E1047" t="s">
        <v>36</v>
      </c>
      <c r="F1047" t="s">
        <v>37</v>
      </c>
      <c r="G1047" t="s">
        <v>38</v>
      </c>
      <c r="H1047" t="s">
        <v>83</v>
      </c>
      <c r="I1047" t="s">
        <v>190</v>
      </c>
      <c r="J1047" t="s">
        <v>58</v>
      </c>
      <c r="K1047" t="s">
        <v>59</v>
      </c>
      <c r="M1047" t="s">
        <v>213</v>
      </c>
      <c r="N1047" t="s">
        <v>61</v>
      </c>
      <c r="O1047" t="s">
        <v>43</v>
      </c>
      <c r="Q1047" t="s">
        <v>62</v>
      </c>
      <c r="R1047" t="s">
        <v>214</v>
      </c>
      <c r="S1047" t="s">
        <v>215</v>
      </c>
      <c r="T1047" t="s">
        <v>47</v>
      </c>
      <c r="U1047" t="s">
        <v>244</v>
      </c>
      <c r="V1047" t="s">
        <v>89</v>
      </c>
      <c r="W1047" t="s">
        <v>90</v>
      </c>
      <c r="X1047" t="s">
        <v>51</v>
      </c>
      <c r="Y1047" t="s">
        <v>175</v>
      </c>
      <c r="Z1047" t="s">
        <v>64</v>
      </c>
      <c r="AA1047" t="s">
        <v>358</v>
      </c>
      <c r="AB1047" s="3">
        <f t="shared" si="133"/>
        <v>1</v>
      </c>
      <c r="AC1047">
        <v>344.83</v>
      </c>
      <c r="AD1047" s="2">
        <v>344.83</v>
      </c>
      <c r="AE1047" s="2">
        <v>72.36</v>
      </c>
      <c r="AF1047" s="2">
        <v>2.5499999999999998</v>
      </c>
      <c r="AG1047" s="2">
        <v>419.75</v>
      </c>
      <c r="AH1047">
        <v>0</v>
      </c>
      <c r="AI1047">
        <v>419.75</v>
      </c>
      <c r="AJ1047">
        <v>2.0987499999999999</v>
      </c>
      <c r="AK1047" t="s">
        <v>54</v>
      </c>
      <c r="AL1047">
        <v>1.94</v>
      </c>
      <c r="AM1047" s="4">
        <f t="shared" si="134"/>
        <v>419.75</v>
      </c>
      <c r="AN1047" s="4">
        <f t="shared" si="135"/>
        <v>646.55624999999998</v>
      </c>
      <c r="AO1047" s="4">
        <f t="shared" si="136"/>
        <v>718.32399375</v>
      </c>
      <c r="AP1047" s="4">
        <f t="shared" si="137"/>
        <v>1047.356469375</v>
      </c>
      <c r="AQ1047" s="10">
        <f t="shared" si="130"/>
        <v>729.98722500000008</v>
      </c>
      <c r="AR1047" s="10">
        <f t="shared" si="131"/>
        <v>811.08880569750011</v>
      </c>
      <c r="AS1047" s="10">
        <f t="shared" si="132"/>
        <v>1136.44411188</v>
      </c>
    </row>
    <row r="1048" spans="1:45" x14ac:dyDescent="0.3">
      <c r="A1048">
        <v>2025</v>
      </c>
      <c r="B1048">
        <v>4</v>
      </c>
      <c r="C1048" t="s">
        <v>55</v>
      </c>
      <c r="D1048">
        <v>10</v>
      </c>
      <c r="E1048" t="s">
        <v>36</v>
      </c>
      <c r="F1048" t="s">
        <v>37</v>
      </c>
      <c r="G1048" t="s">
        <v>38</v>
      </c>
      <c r="H1048" t="s">
        <v>83</v>
      </c>
      <c r="I1048" t="s">
        <v>190</v>
      </c>
      <c r="J1048" t="s">
        <v>58</v>
      </c>
      <c r="K1048" t="s">
        <v>59</v>
      </c>
      <c r="M1048" t="s">
        <v>383</v>
      </c>
      <c r="N1048" t="s">
        <v>384</v>
      </c>
      <c r="O1048" t="s">
        <v>36</v>
      </c>
      <c r="Q1048" t="s">
        <v>62</v>
      </c>
      <c r="R1048" t="s">
        <v>385</v>
      </c>
      <c r="S1048" t="s">
        <v>385</v>
      </c>
      <c r="T1048" t="s">
        <v>47</v>
      </c>
      <c r="U1048" t="s">
        <v>244</v>
      </c>
      <c r="V1048" t="s">
        <v>89</v>
      </c>
      <c r="W1048" t="s">
        <v>90</v>
      </c>
      <c r="X1048" t="s">
        <v>388</v>
      </c>
      <c r="Y1048" t="s">
        <v>245</v>
      </c>
      <c r="Z1048" t="s">
        <v>64</v>
      </c>
      <c r="AA1048" t="s">
        <v>246</v>
      </c>
      <c r="AB1048" s="3">
        <f t="shared" si="133"/>
        <v>4</v>
      </c>
      <c r="AC1048">
        <v>196.82</v>
      </c>
      <c r="AD1048" s="2">
        <v>49.204999999999998</v>
      </c>
      <c r="AE1048" s="2">
        <v>41.3</v>
      </c>
      <c r="AF1048" s="2">
        <v>1.46</v>
      </c>
      <c r="AG1048" s="2">
        <v>239.58</v>
      </c>
      <c r="AH1048">
        <v>0</v>
      </c>
      <c r="AI1048">
        <v>59.895000000000003</v>
      </c>
      <c r="AJ1048">
        <v>1.1979</v>
      </c>
      <c r="AK1048" t="s">
        <v>54</v>
      </c>
      <c r="AL1048">
        <v>7.78</v>
      </c>
      <c r="AM1048" s="4">
        <f t="shared" si="134"/>
        <v>59.895000000000003</v>
      </c>
      <c r="AN1048" s="4">
        <f t="shared" si="135"/>
        <v>92.259374999999991</v>
      </c>
      <c r="AO1048" s="4">
        <f t="shared" si="136"/>
        <v>102.50016562499999</v>
      </c>
      <c r="AP1048" s="4">
        <f t="shared" si="137"/>
        <v>149.45096156249997</v>
      </c>
      <c r="AQ1048" s="10">
        <f t="shared" si="130"/>
        <v>104.16339450000001</v>
      </c>
      <c r="AR1048" s="10">
        <f t="shared" si="131"/>
        <v>115.73594762895002</v>
      </c>
      <c r="AS1048" s="10">
        <f t="shared" si="132"/>
        <v>162.16157255760001</v>
      </c>
    </row>
    <row r="1049" spans="1:45" x14ac:dyDescent="0.3">
      <c r="A1049">
        <v>2025</v>
      </c>
      <c r="B1049">
        <v>1</v>
      </c>
      <c r="C1049" t="s">
        <v>55</v>
      </c>
      <c r="D1049">
        <v>10</v>
      </c>
      <c r="E1049" t="s">
        <v>36</v>
      </c>
      <c r="F1049" t="s">
        <v>37</v>
      </c>
      <c r="G1049" t="s">
        <v>38</v>
      </c>
      <c r="H1049" t="s">
        <v>83</v>
      </c>
      <c r="I1049" t="s">
        <v>57</v>
      </c>
      <c r="J1049" t="s">
        <v>58</v>
      </c>
      <c r="K1049" t="s">
        <v>59</v>
      </c>
      <c r="M1049" t="s">
        <v>60</v>
      </c>
      <c r="N1049" t="s">
        <v>61</v>
      </c>
      <c r="O1049" t="s">
        <v>43</v>
      </c>
      <c r="Q1049" t="s">
        <v>62</v>
      </c>
      <c r="R1049" t="s">
        <v>63</v>
      </c>
      <c r="S1049" t="s">
        <v>63</v>
      </c>
      <c r="T1049" t="s">
        <v>47</v>
      </c>
      <c r="U1049" t="s">
        <v>173</v>
      </c>
      <c r="V1049" t="s">
        <v>49</v>
      </c>
      <c r="W1049" t="s">
        <v>174</v>
      </c>
      <c r="X1049" t="s">
        <v>51</v>
      </c>
      <c r="Y1049" t="s">
        <v>245</v>
      </c>
      <c r="Z1049" t="s">
        <v>245</v>
      </c>
      <c r="AA1049" t="s">
        <v>246</v>
      </c>
      <c r="AB1049" s="3">
        <f t="shared" si="133"/>
        <v>5.4500000000000473</v>
      </c>
      <c r="AC1049">
        <v>211.19</v>
      </c>
      <c r="AD1049" s="2">
        <v>38.750458715595997</v>
      </c>
      <c r="AE1049" s="2">
        <v>61.3</v>
      </c>
      <c r="AF1049" s="2">
        <v>1.3</v>
      </c>
      <c r="AG1049" s="2">
        <v>273.79000000000002</v>
      </c>
      <c r="AH1049">
        <v>0</v>
      </c>
      <c r="AI1049">
        <v>50.236697247705997</v>
      </c>
      <c r="AJ1049">
        <v>1.3689499999999999</v>
      </c>
      <c r="AK1049" t="s">
        <v>54</v>
      </c>
      <c r="AL1049">
        <v>3.12</v>
      </c>
      <c r="AM1049" s="4">
        <f t="shared" si="134"/>
        <v>50.23669724770599</v>
      </c>
      <c r="AN1049" s="4">
        <f t="shared" si="135"/>
        <v>72.657110091742496</v>
      </c>
      <c r="AO1049" s="4">
        <f t="shared" si="136"/>
        <v>80.722049311925915</v>
      </c>
      <c r="AP1049" s="4">
        <f t="shared" si="137"/>
        <v>117.69725263761366</v>
      </c>
      <c r="AQ1049" s="10">
        <f t="shared" si="130"/>
        <v>87.366640183485487</v>
      </c>
      <c r="AR1049" s="10">
        <f t="shared" si="131"/>
        <v>97.073073907870722</v>
      </c>
      <c r="AS1049" s="10">
        <f t="shared" si="132"/>
        <v>136.01238543765021</v>
      </c>
    </row>
    <row r="1050" spans="1:45" x14ac:dyDescent="0.3">
      <c r="A1050">
        <v>2025</v>
      </c>
      <c r="B1050">
        <v>4</v>
      </c>
      <c r="C1050" t="s">
        <v>55</v>
      </c>
      <c r="D1050">
        <v>10</v>
      </c>
      <c r="E1050" t="s">
        <v>36</v>
      </c>
      <c r="F1050" t="s">
        <v>37</v>
      </c>
      <c r="G1050" t="s">
        <v>38</v>
      </c>
      <c r="H1050" t="s">
        <v>83</v>
      </c>
      <c r="I1050" t="s">
        <v>190</v>
      </c>
      <c r="J1050" t="s">
        <v>58</v>
      </c>
      <c r="K1050" t="s">
        <v>59</v>
      </c>
      <c r="M1050" t="s">
        <v>383</v>
      </c>
      <c r="N1050" t="s">
        <v>384</v>
      </c>
      <c r="O1050" t="s">
        <v>36</v>
      </c>
      <c r="Q1050" t="s">
        <v>62</v>
      </c>
      <c r="R1050" t="s">
        <v>385</v>
      </c>
      <c r="S1050" t="s">
        <v>385</v>
      </c>
      <c r="T1050" t="s">
        <v>47</v>
      </c>
      <c r="U1050" t="s">
        <v>173</v>
      </c>
      <c r="V1050" t="s">
        <v>49</v>
      </c>
      <c r="W1050" t="s">
        <v>174</v>
      </c>
      <c r="X1050" t="s">
        <v>388</v>
      </c>
      <c r="Y1050" t="s">
        <v>175</v>
      </c>
      <c r="Z1050" t="s">
        <v>64</v>
      </c>
      <c r="AA1050" t="s">
        <v>176</v>
      </c>
      <c r="AB1050" s="3">
        <f t="shared" si="133"/>
        <v>2</v>
      </c>
      <c r="AC1050">
        <v>1096.48</v>
      </c>
      <c r="AD1050" s="2">
        <v>548.24</v>
      </c>
      <c r="AE1050" s="2">
        <v>263.44</v>
      </c>
      <c r="AF1050" s="2">
        <v>7.57</v>
      </c>
      <c r="AG1050" s="2">
        <v>1367.49</v>
      </c>
      <c r="AH1050">
        <v>0</v>
      </c>
      <c r="AI1050">
        <v>683.745</v>
      </c>
      <c r="AJ1050">
        <v>6.8374499999999996</v>
      </c>
      <c r="AK1050" t="s">
        <v>54</v>
      </c>
      <c r="AL1050">
        <v>6.01</v>
      </c>
      <c r="AM1050" s="4">
        <f t="shared" si="134"/>
        <v>683.745</v>
      </c>
      <c r="AN1050" s="4">
        <f t="shared" si="135"/>
        <v>1027.95</v>
      </c>
      <c r="AO1050" s="4">
        <f t="shared" si="136"/>
        <v>1142.0524500000001</v>
      </c>
      <c r="AP1050" s="4">
        <f t="shared" si="137"/>
        <v>1665.176205</v>
      </c>
      <c r="AQ1050" s="10">
        <f t="shared" si="130"/>
        <v>1189.1009295000001</v>
      </c>
      <c r="AR1050" s="10">
        <f t="shared" si="131"/>
        <v>1321.2100427674502</v>
      </c>
      <c r="AS1050" s="10">
        <f t="shared" si="132"/>
        <v>1851.1923270456002</v>
      </c>
    </row>
    <row r="1051" spans="1:45" x14ac:dyDescent="0.3">
      <c r="A1051">
        <v>2025</v>
      </c>
      <c r="B1051">
        <v>8</v>
      </c>
      <c r="C1051" t="s">
        <v>55</v>
      </c>
      <c r="D1051">
        <v>10</v>
      </c>
      <c r="E1051" t="s">
        <v>36</v>
      </c>
      <c r="F1051" t="s">
        <v>37</v>
      </c>
      <c r="G1051" t="s">
        <v>38</v>
      </c>
      <c r="H1051" t="s">
        <v>83</v>
      </c>
      <c r="I1051" t="s">
        <v>190</v>
      </c>
      <c r="J1051" t="s">
        <v>58</v>
      </c>
      <c r="K1051" t="s">
        <v>59</v>
      </c>
      <c r="L1051" t="s">
        <v>1194</v>
      </c>
      <c r="M1051" t="s">
        <v>1195</v>
      </c>
      <c r="N1051" t="s">
        <v>1196</v>
      </c>
      <c r="O1051" t="s">
        <v>1197</v>
      </c>
      <c r="Q1051" t="s">
        <v>62</v>
      </c>
      <c r="R1051" t="s">
        <v>1198</v>
      </c>
      <c r="S1051" t="s">
        <v>1198</v>
      </c>
      <c r="T1051" t="s">
        <v>47</v>
      </c>
      <c r="U1051" t="s">
        <v>173</v>
      </c>
      <c r="V1051" t="s">
        <v>49</v>
      </c>
      <c r="W1051" t="s">
        <v>174</v>
      </c>
      <c r="X1051" t="s">
        <v>388</v>
      </c>
      <c r="Y1051" t="s">
        <v>606</v>
      </c>
      <c r="Z1051" t="s">
        <v>606</v>
      </c>
      <c r="AA1051" t="s">
        <v>176</v>
      </c>
      <c r="AB1051" s="3">
        <f t="shared" si="133"/>
        <v>1</v>
      </c>
      <c r="AC1051">
        <v>533.08000000000004</v>
      </c>
      <c r="AD1051" s="2">
        <v>533.08000000000004</v>
      </c>
      <c r="AE1051" s="2">
        <v>15.32</v>
      </c>
      <c r="AF1051" s="2">
        <v>3.64</v>
      </c>
      <c r="AG1051" s="2">
        <v>552.04</v>
      </c>
      <c r="AH1051">
        <v>0</v>
      </c>
      <c r="AI1051">
        <v>552.04</v>
      </c>
      <c r="AJ1051">
        <v>2.7602000000000002</v>
      </c>
      <c r="AK1051" t="s">
        <v>54</v>
      </c>
      <c r="AL1051">
        <v>0.78</v>
      </c>
      <c r="AM1051" s="4">
        <f t="shared" si="134"/>
        <v>552.04</v>
      </c>
      <c r="AN1051" s="4">
        <f t="shared" si="135"/>
        <v>999.52500000000009</v>
      </c>
      <c r="AO1051" s="4">
        <f t="shared" si="136"/>
        <v>1110.4722750000001</v>
      </c>
      <c r="AP1051" s="4">
        <f t="shared" si="137"/>
        <v>1619.1305475000001</v>
      </c>
      <c r="AQ1051" s="10">
        <f t="shared" si="130"/>
        <v>960.05276400000002</v>
      </c>
      <c r="AR1051" s="10">
        <f t="shared" si="131"/>
        <v>1066.7146260804</v>
      </c>
      <c r="AS1051" s="10">
        <f t="shared" si="132"/>
        <v>1494.6101429952</v>
      </c>
    </row>
    <row r="1052" spans="1:45" x14ac:dyDescent="0.3">
      <c r="A1052">
        <v>2025</v>
      </c>
      <c r="B1052">
        <v>9</v>
      </c>
      <c r="C1052" t="s">
        <v>55</v>
      </c>
      <c r="D1052">
        <v>10</v>
      </c>
      <c r="E1052" t="s">
        <v>36</v>
      </c>
      <c r="F1052" t="s">
        <v>37</v>
      </c>
      <c r="G1052" t="s">
        <v>38</v>
      </c>
      <c r="H1052" t="s">
        <v>83</v>
      </c>
      <c r="I1052" t="s">
        <v>375</v>
      </c>
      <c r="J1052" t="s">
        <v>376</v>
      </c>
      <c r="K1052" t="s">
        <v>59</v>
      </c>
      <c r="L1052" t="s">
        <v>1483</v>
      </c>
      <c r="M1052" t="s">
        <v>1484</v>
      </c>
      <c r="N1052" t="s">
        <v>1485</v>
      </c>
      <c r="O1052" t="s">
        <v>1197</v>
      </c>
      <c r="Q1052" t="s">
        <v>62</v>
      </c>
      <c r="R1052" t="s">
        <v>1486</v>
      </c>
      <c r="S1052" t="s">
        <v>1486</v>
      </c>
      <c r="T1052" t="s">
        <v>47</v>
      </c>
      <c r="U1052" t="s">
        <v>173</v>
      </c>
      <c r="V1052" t="s">
        <v>49</v>
      </c>
      <c r="W1052" t="s">
        <v>174</v>
      </c>
      <c r="X1052" t="s">
        <v>51</v>
      </c>
      <c r="Y1052" t="s">
        <v>610</v>
      </c>
      <c r="Z1052" t="s">
        <v>610</v>
      </c>
      <c r="AA1052" t="s">
        <v>176</v>
      </c>
      <c r="AB1052" s="3">
        <f t="shared" si="133"/>
        <v>2</v>
      </c>
      <c r="AC1052">
        <v>883.32</v>
      </c>
      <c r="AD1052" s="2">
        <v>441.66</v>
      </c>
      <c r="AE1052" s="2">
        <v>63.3</v>
      </c>
      <c r="AF1052" s="2">
        <v>5.72</v>
      </c>
      <c r="AG1052" s="2">
        <v>952.33</v>
      </c>
      <c r="AH1052">
        <v>0</v>
      </c>
      <c r="AI1052">
        <v>476.16500000000002</v>
      </c>
      <c r="AJ1052">
        <v>4.7616500000000004</v>
      </c>
      <c r="AK1052" t="s">
        <v>54</v>
      </c>
      <c r="AL1052">
        <v>7.44</v>
      </c>
      <c r="AM1052" s="4">
        <f t="shared" si="134"/>
        <v>476.16500000000002</v>
      </c>
      <c r="AN1052" s="4">
        <f t="shared" si="135"/>
        <v>828.11250000000007</v>
      </c>
      <c r="AO1052" s="4">
        <f t="shared" si="136"/>
        <v>920.0329875000001</v>
      </c>
      <c r="AP1052" s="4">
        <f t="shared" si="137"/>
        <v>1341.4594387500001</v>
      </c>
      <c r="AQ1052" s="10">
        <f t="shared" si="130"/>
        <v>828.0985515000001</v>
      </c>
      <c r="AR1052" s="10">
        <f t="shared" si="131"/>
        <v>920.10030057165011</v>
      </c>
      <c r="AS1052" s="10">
        <f t="shared" si="132"/>
        <v>1289.1838249752002</v>
      </c>
    </row>
    <row r="1053" spans="1:45" x14ac:dyDescent="0.3">
      <c r="A1053">
        <v>2025</v>
      </c>
      <c r="B1053">
        <v>11</v>
      </c>
      <c r="C1053" t="s">
        <v>55</v>
      </c>
      <c r="D1053">
        <v>10</v>
      </c>
      <c r="E1053" t="s">
        <v>36</v>
      </c>
      <c r="F1053" t="s">
        <v>37</v>
      </c>
      <c r="G1053" t="s">
        <v>38</v>
      </c>
      <c r="H1053" t="s">
        <v>83</v>
      </c>
      <c r="I1053" t="s">
        <v>375</v>
      </c>
      <c r="J1053" t="s">
        <v>376</v>
      </c>
      <c r="K1053" t="s">
        <v>59</v>
      </c>
      <c r="L1053" t="s">
        <v>1632</v>
      </c>
      <c r="M1053" t="s">
        <v>1633</v>
      </c>
      <c r="N1053" t="s">
        <v>1485</v>
      </c>
      <c r="O1053" t="s">
        <v>1197</v>
      </c>
      <c r="Q1053" t="s">
        <v>62</v>
      </c>
      <c r="R1053" t="s">
        <v>1634</v>
      </c>
      <c r="S1053" t="s">
        <v>1634</v>
      </c>
      <c r="T1053" t="s">
        <v>47</v>
      </c>
      <c r="U1053" t="s">
        <v>173</v>
      </c>
      <c r="V1053" t="s">
        <v>49</v>
      </c>
      <c r="W1053" t="s">
        <v>174</v>
      </c>
      <c r="X1053" t="s">
        <v>51</v>
      </c>
      <c r="Y1053" t="s">
        <v>610</v>
      </c>
      <c r="Z1053" t="s">
        <v>610</v>
      </c>
      <c r="AA1053" t="s">
        <v>176</v>
      </c>
      <c r="AB1053" s="3">
        <f t="shared" si="133"/>
        <v>2</v>
      </c>
      <c r="AC1053">
        <v>869.43</v>
      </c>
      <c r="AD1053" s="2">
        <v>434.71499999999997</v>
      </c>
      <c r="AE1053" s="2">
        <v>134.86000000000001</v>
      </c>
      <c r="AF1053" s="2">
        <v>6.16</v>
      </c>
      <c r="AG1053" s="2">
        <v>1010.45</v>
      </c>
      <c r="AH1053">
        <v>0</v>
      </c>
      <c r="AI1053">
        <v>505.22500000000002</v>
      </c>
      <c r="AJ1053">
        <v>5.0522499999999999</v>
      </c>
      <c r="AK1053" t="s">
        <v>54</v>
      </c>
      <c r="AL1053">
        <v>5.58</v>
      </c>
      <c r="AM1053" s="4">
        <f t="shared" si="134"/>
        <v>505.22500000000002</v>
      </c>
      <c r="AN1053" s="4">
        <f t="shared" si="135"/>
        <v>815.09062499999993</v>
      </c>
      <c r="AO1053" s="4">
        <f t="shared" si="136"/>
        <v>905.56568437499993</v>
      </c>
      <c r="AP1053" s="4">
        <f t="shared" si="137"/>
        <v>1320.3653034374997</v>
      </c>
      <c r="AQ1053" s="10">
        <f t="shared" si="130"/>
        <v>878.63679750000006</v>
      </c>
      <c r="AR1053" s="10">
        <f t="shared" si="131"/>
        <v>976.25334570225004</v>
      </c>
      <c r="AS1053" s="10">
        <f t="shared" si="132"/>
        <v>1367.8617663479999</v>
      </c>
    </row>
    <row r="1054" spans="1:45" x14ac:dyDescent="0.3">
      <c r="A1054">
        <v>2025</v>
      </c>
      <c r="B1054">
        <v>11</v>
      </c>
      <c r="C1054" t="s">
        <v>55</v>
      </c>
      <c r="D1054">
        <v>10</v>
      </c>
      <c r="E1054" t="s">
        <v>36</v>
      </c>
      <c r="F1054" t="s">
        <v>37</v>
      </c>
      <c r="G1054" t="s">
        <v>38</v>
      </c>
      <c r="H1054" t="s">
        <v>83</v>
      </c>
      <c r="I1054" t="s">
        <v>375</v>
      </c>
      <c r="J1054" t="s">
        <v>376</v>
      </c>
      <c r="K1054" t="s">
        <v>59</v>
      </c>
      <c r="L1054" t="s">
        <v>1632</v>
      </c>
      <c r="M1054" t="s">
        <v>1633</v>
      </c>
      <c r="N1054" t="s">
        <v>1485</v>
      </c>
      <c r="O1054" t="s">
        <v>1197</v>
      </c>
      <c r="Q1054" t="s">
        <v>62</v>
      </c>
      <c r="R1054" t="s">
        <v>1634</v>
      </c>
      <c r="S1054" t="s">
        <v>1634</v>
      </c>
      <c r="T1054" t="s">
        <v>47</v>
      </c>
      <c r="U1054" t="s">
        <v>173</v>
      </c>
      <c r="V1054" t="s">
        <v>49</v>
      </c>
      <c r="W1054" t="s">
        <v>174</v>
      </c>
      <c r="X1054" t="s">
        <v>51</v>
      </c>
      <c r="Y1054" t="s">
        <v>610</v>
      </c>
      <c r="Z1054" t="s">
        <v>610</v>
      </c>
      <c r="AA1054" t="s">
        <v>176</v>
      </c>
      <c r="AB1054" s="3">
        <f t="shared" si="133"/>
        <v>1</v>
      </c>
      <c r="AC1054">
        <v>441.94</v>
      </c>
      <c r="AD1054" s="2">
        <v>441.94</v>
      </c>
      <c r="AE1054" s="2">
        <v>0.16</v>
      </c>
      <c r="AF1054" s="2">
        <v>0.14000000000000001</v>
      </c>
      <c r="AG1054" s="2">
        <v>442.24</v>
      </c>
      <c r="AH1054">
        <v>0</v>
      </c>
      <c r="AI1054">
        <v>442.24</v>
      </c>
      <c r="AJ1054">
        <v>2.2111999999999998</v>
      </c>
      <c r="AK1054" t="s">
        <v>54</v>
      </c>
      <c r="AL1054">
        <v>3.84</v>
      </c>
      <c r="AM1054" s="4">
        <f t="shared" si="134"/>
        <v>442.24</v>
      </c>
      <c r="AN1054" s="4">
        <f t="shared" si="135"/>
        <v>828.63750000000005</v>
      </c>
      <c r="AO1054" s="4">
        <f t="shared" si="136"/>
        <v>920.61626250000006</v>
      </c>
      <c r="AP1054" s="4">
        <f t="shared" si="137"/>
        <v>1342.3098862500001</v>
      </c>
      <c r="AQ1054" s="10">
        <f t="shared" si="130"/>
        <v>769.09958400000005</v>
      </c>
      <c r="AR1054" s="10">
        <f t="shared" si="131"/>
        <v>854.54654778240001</v>
      </c>
      <c r="AS1054" s="10">
        <f t="shared" si="132"/>
        <v>1197.3342323712</v>
      </c>
    </row>
    <row r="1055" spans="1:45" x14ac:dyDescent="0.3">
      <c r="A1055">
        <v>2025</v>
      </c>
      <c r="B1055">
        <v>11</v>
      </c>
      <c r="C1055" t="s">
        <v>55</v>
      </c>
      <c r="D1055">
        <v>10</v>
      </c>
      <c r="E1055" t="s">
        <v>36</v>
      </c>
      <c r="F1055" t="s">
        <v>37</v>
      </c>
      <c r="G1055" t="s">
        <v>38</v>
      </c>
      <c r="H1055" t="s">
        <v>83</v>
      </c>
      <c r="I1055" t="s">
        <v>375</v>
      </c>
      <c r="J1055" t="s">
        <v>376</v>
      </c>
      <c r="K1055" t="s">
        <v>59</v>
      </c>
      <c r="L1055" t="s">
        <v>1632</v>
      </c>
      <c r="M1055" t="s">
        <v>1633</v>
      </c>
      <c r="N1055" t="s">
        <v>1485</v>
      </c>
      <c r="O1055" t="s">
        <v>1197</v>
      </c>
      <c r="Q1055" t="s">
        <v>62</v>
      </c>
      <c r="R1055" t="s">
        <v>1634</v>
      </c>
      <c r="S1055" t="s">
        <v>1634</v>
      </c>
      <c r="T1055" t="s">
        <v>47</v>
      </c>
      <c r="U1055" t="s">
        <v>173</v>
      </c>
      <c r="V1055" t="s">
        <v>49</v>
      </c>
      <c r="W1055" t="s">
        <v>174</v>
      </c>
      <c r="X1055" t="s">
        <v>51</v>
      </c>
      <c r="Y1055" t="s">
        <v>610</v>
      </c>
      <c r="Z1055" t="s">
        <v>610</v>
      </c>
      <c r="AA1055" t="s">
        <v>176</v>
      </c>
      <c r="AB1055" s="3">
        <f t="shared" si="133"/>
        <v>1</v>
      </c>
      <c r="AC1055">
        <v>441.94</v>
      </c>
      <c r="AD1055" s="2">
        <v>441.94</v>
      </c>
      <c r="AE1055" s="2">
        <v>0.16</v>
      </c>
      <c r="AF1055" s="2">
        <v>0.14000000000000001</v>
      </c>
      <c r="AG1055" s="2">
        <v>442.24</v>
      </c>
      <c r="AH1055">
        <v>0</v>
      </c>
      <c r="AI1055">
        <v>442.24</v>
      </c>
      <c r="AJ1055">
        <v>2.2111999999999998</v>
      </c>
      <c r="AK1055" t="s">
        <v>54</v>
      </c>
      <c r="AL1055">
        <v>3.84</v>
      </c>
      <c r="AM1055" s="4">
        <f t="shared" si="134"/>
        <v>442.24</v>
      </c>
      <c r="AN1055" s="4">
        <f t="shared" si="135"/>
        <v>828.63750000000005</v>
      </c>
      <c r="AO1055" s="4">
        <f t="shared" si="136"/>
        <v>920.61626250000006</v>
      </c>
      <c r="AP1055" s="4">
        <f t="shared" si="137"/>
        <v>1342.3098862500001</v>
      </c>
      <c r="AQ1055" s="10">
        <f t="shared" si="130"/>
        <v>769.09958400000005</v>
      </c>
      <c r="AR1055" s="10">
        <f t="shared" si="131"/>
        <v>854.54654778240001</v>
      </c>
      <c r="AS1055" s="10">
        <f t="shared" si="132"/>
        <v>1197.3342323712</v>
      </c>
    </row>
    <row r="1056" spans="1:45" x14ac:dyDescent="0.3">
      <c r="A1056">
        <v>2025</v>
      </c>
      <c r="B1056">
        <v>12</v>
      </c>
      <c r="C1056" t="s">
        <v>55</v>
      </c>
      <c r="D1056">
        <v>10</v>
      </c>
      <c r="E1056" t="s">
        <v>36</v>
      </c>
      <c r="F1056" t="s">
        <v>37</v>
      </c>
      <c r="G1056" t="s">
        <v>38</v>
      </c>
      <c r="H1056" t="s">
        <v>83</v>
      </c>
      <c r="I1056" t="s">
        <v>57</v>
      </c>
      <c r="J1056" t="s">
        <v>58</v>
      </c>
      <c r="K1056" t="s">
        <v>59</v>
      </c>
      <c r="L1056" t="s">
        <v>1769</v>
      </c>
      <c r="M1056" t="s">
        <v>1770</v>
      </c>
      <c r="N1056" t="s">
        <v>1771</v>
      </c>
      <c r="O1056" t="s">
        <v>1197</v>
      </c>
      <c r="Q1056" t="s">
        <v>62</v>
      </c>
      <c r="R1056" t="s">
        <v>1772</v>
      </c>
      <c r="S1056" t="s">
        <v>1772</v>
      </c>
      <c r="T1056" t="s">
        <v>47</v>
      </c>
      <c r="U1056" t="s">
        <v>173</v>
      </c>
      <c r="V1056" t="s">
        <v>49</v>
      </c>
      <c r="W1056" t="s">
        <v>174</v>
      </c>
      <c r="X1056" t="s">
        <v>51</v>
      </c>
      <c r="Y1056" t="s">
        <v>610</v>
      </c>
      <c r="Z1056" t="s">
        <v>610</v>
      </c>
      <c r="AA1056" t="s">
        <v>176</v>
      </c>
      <c r="AB1056" s="3">
        <f t="shared" si="133"/>
        <v>2</v>
      </c>
      <c r="AC1056">
        <v>883.87</v>
      </c>
      <c r="AD1056" s="2">
        <v>441.935</v>
      </c>
      <c r="AE1056" s="2">
        <v>0.32</v>
      </c>
      <c r="AF1056" s="2">
        <v>0.27</v>
      </c>
      <c r="AG1056" s="2">
        <v>884.46</v>
      </c>
      <c r="AH1056">
        <v>0</v>
      </c>
      <c r="AI1056">
        <v>442.23</v>
      </c>
      <c r="AJ1056">
        <v>4.4222999999999999</v>
      </c>
      <c r="AK1056" t="s">
        <v>54</v>
      </c>
      <c r="AL1056">
        <v>7.67</v>
      </c>
      <c r="AM1056" s="4">
        <f t="shared" si="134"/>
        <v>442.23</v>
      </c>
      <c r="AN1056" s="4">
        <f t="shared" si="135"/>
        <v>828.62812499999995</v>
      </c>
      <c r="AO1056" s="4">
        <f t="shared" si="136"/>
        <v>920.60584687499988</v>
      </c>
      <c r="AP1056" s="4">
        <f t="shared" si="137"/>
        <v>1342.2946996874998</v>
      </c>
      <c r="AQ1056" s="10">
        <f t="shared" si="130"/>
        <v>769.08219300000007</v>
      </c>
      <c r="AR1056" s="10">
        <f t="shared" si="131"/>
        <v>854.5272246423001</v>
      </c>
      <c r="AS1056" s="10">
        <f t="shared" si="132"/>
        <v>1197.3071580624</v>
      </c>
    </row>
    <row r="1057" spans="1:45" x14ac:dyDescent="0.3">
      <c r="A1057">
        <v>2025</v>
      </c>
      <c r="B1057">
        <v>1</v>
      </c>
      <c r="C1057" t="s">
        <v>55</v>
      </c>
      <c r="D1057">
        <v>10</v>
      </c>
      <c r="E1057" t="s">
        <v>36</v>
      </c>
      <c r="F1057" t="s">
        <v>37</v>
      </c>
      <c r="G1057" t="s">
        <v>38</v>
      </c>
      <c r="H1057" t="s">
        <v>83</v>
      </c>
      <c r="I1057" t="s">
        <v>57</v>
      </c>
      <c r="J1057" t="s">
        <v>58</v>
      </c>
      <c r="K1057" t="s">
        <v>59</v>
      </c>
      <c r="M1057" t="s">
        <v>60</v>
      </c>
      <c r="N1057" t="s">
        <v>61</v>
      </c>
      <c r="O1057" t="s">
        <v>43</v>
      </c>
      <c r="Q1057" t="s">
        <v>62</v>
      </c>
      <c r="R1057" t="s">
        <v>63</v>
      </c>
      <c r="S1057" t="s">
        <v>63</v>
      </c>
      <c r="T1057" t="s">
        <v>47</v>
      </c>
      <c r="U1057" t="s">
        <v>182</v>
      </c>
      <c r="V1057" t="s">
        <v>49</v>
      </c>
      <c r="W1057" t="s">
        <v>183</v>
      </c>
      <c r="X1057" t="s">
        <v>51</v>
      </c>
      <c r="Y1057" t="s">
        <v>610</v>
      </c>
      <c r="Z1057" t="s">
        <v>610</v>
      </c>
      <c r="AA1057" t="s">
        <v>176</v>
      </c>
      <c r="AB1057" s="3">
        <f t="shared" si="133"/>
        <v>1</v>
      </c>
      <c r="AC1057">
        <v>445.15</v>
      </c>
      <c r="AD1057" s="2">
        <v>445.15</v>
      </c>
      <c r="AE1057" s="2">
        <v>132.15</v>
      </c>
      <c r="AF1057" s="2">
        <v>3.34</v>
      </c>
      <c r="AG1057" s="2">
        <v>580.65</v>
      </c>
      <c r="AH1057">
        <v>0</v>
      </c>
      <c r="AI1057">
        <v>580.65</v>
      </c>
      <c r="AJ1057">
        <v>2.9032499999999999</v>
      </c>
      <c r="AK1057" t="s">
        <v>54</v>
      </c>
      <c r="AL1057">
        <v>3.31</v>
      </c>
      <c r="AM1057" s="4">
        <f t="shared" si="134"/>
        <v>580.65</v>
      </c>
      <c r="AN1057" s="4">
        <f t="shared" si="135"/>
        <v>834.65625</v>
      </c>
      <c r="AO1057" s="4">
        <f t="shared" si="136"/>
        <v>927.30309375000002</v>
      </c>
      <c r="AP1057" s="4">
        <f t="shared" si="137"/>
        <v>1352.0596593749999</v>
      </c>
      <c r="AQ1057" s="10">
        <f t="shared" si="130"/>
        <v>1009.808415</v>
      </c>
      <c r="AR1057" s="10">
        <f t="shared" si="131"/>
        <v>1121.9981299065</v>
      </c>
      <c r="AS1057" s="10">
        <f t="shared" si="132"/>
        <v>1572.0697404719999</v>
      </c>
    </row>
    <row r="1058" spans="1:45" x14ac:dyDescent="0.3">
      <c r="A1058">
        <v>2025</v>
      </c>
      <c r="B1058">
        <v>8</v>
      </c>
      <c r="C1058" t="s">
        <v>55</v>
      </c>
      <c r="D1058">
        <v>10</v>
      </c>
      <c r="E1058" t="s">
        <v>36</v>
      </c>
      <c r="F1058" t="s">
        <v>37</v>
      </c>
      <c r="G1058" t="s">
        <v>38</v>
      </c>
      <c r="H1058" t="s">
        <v>83</v>
      </c>
      <c r="I1058" t="s">
        <v>190</v>
      </c>
      <c r="J1058" t="s">
        <v>58</v>
      </c>
      <c r="K1058" t="s">
        <v>59</v>
      </c>
      <c r="L1058" t="s">
        <v>1194</v>
      </c>
      <c r="M1058" t="s">
        <v>1195</v>
      </c>
      <c r="N1058" t="s">
        <v>1196</v>
      </c>
      <c r="O1058" t="s">
        <v>1197</v>
      </c>
      <c r="Q1058" t="s">
        <v>62</v>
      </c>
      <c r="R1058" t="s">
        <v>1198</v>
      </c>
      <c r="S1058" t="s">
        <v>1198</v>
      </c>
      <c r="T1058" t="s">
        <v>47</v>
      </c>
      <c r="U1058" t="s">
        <v>356</v>
      </c>
      <c r="V1058" t="s">
        <v>49</v>
      </c>
      <c r="W1058" t="s">
        <v>357</v>
      </c>
      <c r="X1058" t="s">
        <v>388</v>
      </c>
      <c r="Y1058" t="s">
        <v>184</v>
      </c>
      <c r="Z1058" t="s">
        <v>64</v>
      </c>
      <c r="AA1058" t="s">
        <v>185</v>
      </c>
      <c r="AB1058" s="3">
        <f t="shared" si="133"/>
        <v>2</v>
      </c>
      <c r="AC1058">
        <v>956.48</v>
      </c>
      <c r="AD1058" s="2">
        <v>478.24</v>
      </c>
      <c r="AE1058" s="2">
        <v>229.8</v>
      </c>
      <c r="AF1058" s="2">
        <v>6.61</v>
      </c>
      <c r="AG1058" s="2">
        <v>1192.8800000000001</v>
      </c>
      <c r="AH1058">
        <v>0</v>
      </c>
      <c r="AI1058">
        <v>596.44000000000005</v>
      </c>
      <c r="AJ1058">
        <v>5.9644000000000004</v>
      </c>
      <c r="AK1058" t="s">
        <v>54</v>
      </c>
      <c r="AL1058">
        <v>6.01</v>
      </c>
      <c r="AM1058" s="4">
        <f t="shared" si="134"/>
        <v>596.44000000000005</v>
      </c>
      <c r="AN1058" s="4">
        <f t="shared" si="135"/>
        <v>896.7</v>
      </c>
      <c r="AO1058" s="4">
        <f t="shared" si="136"/>
        <v>996.2337</v>
      </c>
      <c r="AP1058" s="4">
        <f t="shared" si="137"/>
        <v>1452.5643299999999</v>
      </c>
      <c r="AQ1058" s="10">
        <f t="shared" ref="AQ1058:AQ1121" si="138">SUM(AM1058)*1.7391</f>
        <v>1037.268804</v>
      </c>
      <c r="AR1058" s="10">
        <f t="shared" ref="AR1058:AR1121" si="139">SUM(AQ1058)*1.1111</f>
        <v>1152.5093681244</v>
      </c>
      <c r="AS1058" s="10">
        <f t="shared" ref="AS1058:AS1121" si="140">SUM(AQ1058)*1.5568</f>
        <v>1614.8200740672</v>
      </c>
    </row>
    <row r="1059" spans="1:45" x14ac:dyDescent="0.3">
      <c r="A1059">
        <v>2025</v>
      </c>
      <c r="B1059">
        <v>11</v>
      </c>
      <c r="C1059" t="s">
        <v>55</v>
      </c>
      <c r="D1059">
        <v>10</v>
      </c>
      <c r="E1059" t="s">
        <v>36</v>
      </c>
      <c r="F1059" t="s">
        <v>37</v>
      </c>
      <c r="G1059" t="s">
        <v>38</v>
      </c>
      <c r="H1059" t="s">
        <v>83</v>
      </c>
      <c r="I1059" t="s">
        <v>375</v>
      </c>
      <c r="J1059" t="s">
        <v>376</v>
      </c>
      <c r="K1059" t="s">
        <v>59</v>
      </c>
      <c r="L1059" t="s">
        <v>1647</v>
      </c>
      <c r="M1059" t="s">
        <v>1633</v>
      </c>
      <c r="N1059" t="s">
        <v>1485</v>
      </c>
      <c r="O1059" t="s">
        <v>1197</v>
      </c>
      <c r="Q1059" t="s">
        <v>62</v>
      </c>
      <c r="R1059" t="s">
        <v>1648</v>
      </c>
      <c r="S1059" t="s">
        <v>1648</v>
      </c>
      <c r="T1059" t="s">
        <v>47</v>
      </c>
      <c r="U1059" t="s">
        <v>356</v>
      </c>
      <c r="V1059" t="s">
        <v>49</v>
      </c>
      <c r="W1059" t="s">
        <v>357</v>
      </c>
      <c r="X1059" t="s">
        <v>51</v>
      </c>
      <c r="Y1059" t="s">
        <v>610</v>
      </c>
      <c r="Z1059" t="s">
        <v>610</v>
      </c>
      <c r="AA1059" t="s">
        <v>185</v>
      </c>
      <c r="AB1059" s="3">
        <f t="shared" si="133"/>
        <v>2</v>
      </c>
      <c r="AC1059">
        <v>824.41</v>
      </c>
      <c r="AD1059" s="2">
        <v>412.20499999999998</v>
      </c>
      <c r="AE1059" s="2">
        <v>59.8</v>
      </c>
      <c r="AF1059" s="2">
        <v>5.33</v>
      </c>
      <c r="AG1059" s="2">
        <v>888.82</v>
      </c>
      <c r="AH1059">
        <v>0</v>
      </c>
      <c r="AI1059">
        <v>444.41</v>
      </c>
      <c r="AJ1059">
        <v>4.4440999999999997</v>
      </c>
      <c r="AK1059" t="s">
        <v>54</v>
      </c>
      <c r="AL1059">
        <v>6.94</v>
      </c>
      <c r="AM1059" s="4">
        <f t="shared" si="134"/>
        <v>444.41</v>
      </c>
      <c r="AN1059" s="4">
        <f t="shared" si="135"/>
        <v>772.88437499999998</v>
      </c>
      <c r="AO1059" s="4">
        <f t="shared" si="136"/>
        <v>858.67454062499996</v>
      </c>
      <c r="AP1059" s="4">
        <f t="shared" si="137"/>
        <v>1251.9953990624999</v>
      </c>
      <c r="AQ1059" s="10">
        <f t="shared" si="138"/>
        <v>772.8734310000001</v>
      </c>
      <c r="AR1059" s="10">
        <f t="shared" si="139"/>
        <v>858.73966918410008</v>
      </c>
      <c r="AS1059" s="10">
        <f t="shared" si="140"/>
        <v>1203.2093573808002</v>
      </c>
    </row>
    <row r="1060" spans="1:45" x14ac:dyDescent="0.3">
      <c r="A1060">
        <v>2025</v>
      </c>
      <c r="B1060">
        <v>12</v>
      </c>
      <c r="C1060" t="s">
        <v>55</v>
      </c>
      <c r="D1060">
        <v>10</v>
      </c>
      <c r="E1060" t="s">
        <v>36</v>
      </c>
      <c r="F1060" t="s">
        <v>37</v>
      </c>
      <c r="G1060" t="s">
        <v>38</v>
      </c>
      <c r="H1060" t="s">
        <v>83</v>
      </c>
      <c r="I1060" t="s">
        <v>57</v>
      </c>
      <c r="J1060" t="s">
        <v>58</v>
      </c>
      <c r="K1060" t="s">
        <v>59</v>
      </c>
      <c r="L1060" t="s">
        <v>1769</v>
      </c>
      <c r="M1060" t="s">
        <v>1770</v>
      </c>
      <c r="N1060" t="s">
        <v>1771</v>
      </c>
      <c r="O1060" t="s">
        <v>1197</v>
      </c>
      <c r="Q1060" t="s">
        <v>62</v>
      </c>
      <c r="R1060" t="s">
        <v>1772</v>
      </c>
      <c r="S1060" t="s">
        <v>1772</v>
      </c>
      <c r="T1060" t="s">
        <v>47</v>
      </c>
      <c r="U1060" t="s">
        <v>356</v>
      </c>
      <c r="V1060" t="s">
        <v>49</v>
      </c>
      <c r="W1060" t="s">
        <v>357</v>
      </c>
      <c r="X1060" t="s">
        <v>51</v>
      </c>
      <c r="Y1060" t="s">
        <v>610</v>
      </c>
      <c r="Z1060" t="s">
        <v>610</v>
      </c>
      <c r="AA1060" t="s">
        <v>185</v>
      </c>
      <c r="AB1060" s="3">
        <f t="shared" si="133"/>
        <v>2</v>
      </c>
      <c r="AC1060">
        <v>828.56</v>
      </c>
      <c r="AD1060" s="2">
        <v>414.28</v>
      </c>
      <c r="AE1060" s="2">
        <v>278.36</v>
      </c>
      <c r="AF1060" s="2">
        <v>6.56</v>
      </c>
      <c r="AG1060" s="2">
        <v>1113.47</v>
      </c>
      <c r="AH1060">
        <v>0</v>
      </c>
      <c r="AI1060">
        <v>556.73500000000001</v>
      </c>
      <c r="AJ1060">
        <v>5.5673500000000002</v>
      </c>
      <c r="AK1060" t="s">
        <v>54</v>
      </c>
      <c r="AL1060">
        <v>7.16</v>
      </c>
      <c r="AM1060" s="4">
        <f t="shared" si="134"/>
        <v>556.73500000000001</v>
      </c>
      <c r="AN1060" s="4">
        <f t="shared" si="135"/>
        <v>776.77499999999998</v>
      </c>
      <c r="AO1060" s="4">
        <f t="shared" si="136"/>
        <v>862.99702500000001</v>
      </c>
      <c r="AP1060" s="4">
        <f t="shared" si="137"/>
        <v>1258.2978224999999</v>
      </c>
      <c r="AQ1060" s="10">
        <f t="shared" si="138"/>
        <v>968.21783850000008</v>
      </c>
      <c r="AR1060" s="10">
        <f t="shared" si="139"/>
        <v>1075.78684035735</v>
      </c>
      <c r="AS1060" s="10">
        <f t="shared" si="140"/>
        <v>1507.3215309768002</v>
      </c>
    </row>
    <row r="1061" spans="1:45" x14ac:dyDescent="0.3">
      <c r="A1061">
        <v>2025</v>
      </c>
      <c r="B1061">
        <v>1</v>
      </c>
      <c r="C1061" t="s">
        <v>55</v>
      </c>
      <c r="D1061">
        <v>10</v>
      </c>
      <c r="E1061" t="s">
        <v>36</v>
      </c>
      <c r="F1061" t="s">
        <v>37</v>
      </c>
      <c r="G1061" t="s">
        <v>38</v>
      </c>
      <c r="H1061" t="s">
        <v>83</v>
      </c>
      <c r="I1061" t="s">
        <v>57</v>
      </c>
      <c r="J1061" t="s">
        <v>58</v>
      </c>
      <c r="K1061" t="s">
        <v>59</v>
      </c>
      <c r="M1061" t="s">
        <v>60</v>
      </c>
      <c r="N1061" t="s">
        <v>61</v>
      </c>
      <c r="O1061" t="s">
        <v>43</v>
      </c>
      <c r="Q1061" t="s">
        <v>62</v>
      </c>
      <c r="R1061" t="s">
        <v>63</v>
      </c>
      <c r="S1061" t="s">
        <v>63</v>
      </c>
      <c r="T1061" t="s">
        <v>47</v>
      </c>
      <c r="U1061" t="s">
        <v>167</v>
      </c>
      <c r="V1061" t="s">
        <v>49</v>
      </c>
      <c r="W1061" t="s">
        <v>168</v>
      </c>
      <c r="X1061" t="s">
        <v>51</v>
      </c>
      <c r="Y1061" t="s">
        <v>610</v>
      </c>
      <c r="Z1061" t="s">
        <v>610</v>
      </c>
      <c r="AA1061" t="s">
        <v>185</v>
      </c>
      <c r="AB1061" s="3">
        <f t="shared" si="133"/>
        <v>1</v>
      </c>
      <c r="AC1061">
        <v>415.47</v>
      </c>
      <c r="AD1061" s="2">
        <v>415.47</v>
      </c>
      <c r="AE1061" s="2">
        <v>123.34</v>
      </c>
      <c r="AF1061" s="2">
        <v>3.12</v>
      </c>
      <c r="AG1061" s="2">
        <v>541.91999999999996</v>
      </c>
      <c r="AH1061">
        <v>0</v>
      </c>
      <c r="AI1061">
        <v>541.91999999999996</v>
      </c>
      <c r="AJ1061">
        <v>2.7096</v>
      </c>
      <c r="AK1061" t="s">
        <v>54</v>
      </c>
      <c r="AL1061">
        <v>3.9</v>
      </c>
      <c r="AM1061" s="4">
        <f t="shared" si="134"/>
        <v>541.91999999999996</v>
      </c>
      <c r="AN1061" s="4">
        <f t="shared" si="135"/>
        <v>779.00625000000002</v>
      </c>
      <c r="AO1061" s="4">
        <f t="shared" si="136"/>
        <v>865.47594375000006</v>
      </c>
      <c r="AP1061" s="4">
        <f t="shared" si="137"/>
        <v>1261.9122243750001</v>
      </c>
      <c r="AQ1061" s="10">
        <f t="shared" si="138"/>
        <v>942.45307200000002</v>
      </c>
      <c r="AR1061" s="10">
        <f t="shared" si="139"/>
        <v>1047.1596082992</v>
      </c>
      <c r="AS1061" s="10">
        <f t="shared" si="140"/>
        <v>1467.2109424896</v>
      </c>
    </row>
    <row r="1062" spans="1:45" x14ac:dyDescent="0.3">
      <c r="A1062">
        <v>2025</v>
      </c>
      <c r="B1062">
        <v>4</v>
      </c>
      <c r="C1062" t="s">
        <v>55</v>
      </c>
      <c r="D1062">
        <v>10</v>
      </c>
      <c r="E1062" t="s">
        <v>36</v>
      </c>
      <c r="F1062" t="s">
        <v>37</v>
      </c>
      <c r="G1062" t="s">
        <v>38</v>
      </c>
      <c r="H1062" t="s">
        <v>83</v>
      </c>
      <c r="I1062" t="s">
        <v>375</v>
      </c>
      <c r="J1062" t="s">
        <v>376</v>
      </c>
      <c r="K1062" t="s">
        <v>59</v>
      </c>
      <c r="M1062">
        <v>2503061</v>
      </c>
      <c r="N1062" t="s">
        <v>377</v>
      </c>
      <c r="O1062" t="s">
        <v>36</v>
      </c>
      <c r="Q1062" t="s">
        <v>62</v>
      </c>
      <c r="R1062" t="s">
        <v>378</v>
      </c>
      <c r="S1062" t="s">
        <v>378</v>
      </c>
      <c r="T1062" t="s">
        <v>47</v>
      </c>
      <c r="U1062" t="s">
        <v>167</v>
      </c>
      <c r="V1062" t="s">
        <v>49</v>
      </c>
      <c r="W1062" t="s">
        <v>168</v>
      </c>
      <c r="X1062" t="s">
        <v>51</v>
      </c>
      <c r="Y1062" t="s">
        <v>169</v>
      </c>
      <c r="Z1062" t="s">
        <v>64</v>
      </c>
      <c r="AA1062" t="s">
        <v>170</v>
      </c>
      <c r="AB1062" s="3">
        <f t="shared" si="133"/>
        <v>6</v>
      </c>
      <c r="AC1062">
        <v>1760.46</v>
      </c>
      <c r="AD1062" s="2">
        <v>293.41000000000003</v>
      </c>
      <c r="AE1062" s="2">
        <v>422.96</v>
      </c>
      <c r="AF1062" s="2">
        <v>12.16</v>
      </c>
      <c r="AG1062" s="2">
        <v>2195.58</v>
      </c>
      <c r="AH1062">
        <v>0</v>
      </c>
      <c r="AI1062">
        <v>365.93</v>
      </c>
      <c r="AJ1062">
        <v>10.9779</v>
      </c>
      <c r="AK1062" t="s">
        <v>54</v>
      </c>
      <c r="AL1062">
        <v>18.03</v>
      </c>
      <c r="AM1062" s="4">
        <f t="shared" si="134"/>
        <v>365.93</v>
      </c>
      <c r="AN1062" s="4">
        <f t="shared" si="135"/>
        <v>550.14375000000007</v>
      </c>
      <c r="AO1062" s="4">
        <f t="shared" si="136"/>
        <v>611.20970625000007</v>
      </c>
      <c r="AP1062" s="4">
        <f t="shared" si="137"/>
        <v>891.17786062500011</v>
      </c>
      <c r="AQ1062" s="10">
        <f t="shared" si="138"/>
        <v>636.38886300000001</v>
      </c>
      <c r="AR1062" s="10">
        <f t="shared" si="139"/>
        <v>707.09166567930004</v>
      </c>
      <c r="AS1062" s="10">
        <f t="shared" si="140"/>
        <v>990.73018191840004</v>
      </c>
    </row>
    <row r="1063" spans="1:45" x14ac:dyDescent="0.3">
      <c r="A1063">
        <v>2025</v>
      </c>
      <c r="B1063">
        <v>4</v>
      </c>
      <c r="C1063" t="s">
        <v>55</v>
      </c>
      <c r="D1063">
        <v>10</v>
      </c>
      <c r="E1063" t="s">
        <v>36</v>
      </c>
      <c r="F1063" t="s">
        <v>37</v>
      </c>
      <c r="G1063" t="s">
        <v>38</v>
      </c>
      <c r="H1063" t="s">
        <v>83</v>
      </c>
      <c r="I1063" t="s">
        <v>190</v>
      </c>
      <c r="J1063" t="s">
        <v>58</v>
      </c>
      <c r="K1063" t="s">
        <v>59</v>
      </c>
      <c r="M1063" t="s">
        <v>383</v>
      </c>
      <c r="N1063" t="s">
        <v>384</v>
      </c>
      <c r="O1063" t="s">
        <v>36</v>
      </c>
      <c r="Q1063" t="s">
        <v>62</v>
      </c>
      <c r="R1063" t="s">
        <v>385</v>
      </c>
      <c r="S1063" t="s">
        <v>385</v>
      </c>
      <c r="T1063" t="s">
        <v>47</v>
      </c>
      <c r="U1063" t="s">
        <v>167</v>
      </c>
      <c r="V1063" t="s">
        <v>49</v>
      </c>
      <c r="W1063" t="s">
        <v>168</v>
      </c>
      <c r="X1063" t="s">
        <v>388</v>
      </c>
      <c r="Y1063" t="s">
        <v>578</v>
      </c>
      <c r="Z1063" t="s">
        <v>578</v>
      </c>
      <c r="AA1063" t="s">
        <v>170</v>
      </c>
      <c r="AB1063" s="3">
        <f t="shared" si="133"/>
        <v>4</v>
      </c>
      <c r="AC1063">
        <v>1137.0999999999999</v>
      </c>
      <c r="AD1063" s="2">
        <v>284.27499999999998</v>
      </c>
      <c r="AE1063" s="2">
        <v>60.35</v>
      </c>
      <c r="AF1063" s="2">
        <v>8.09</v>
      </c>
      <c r="AG1063" s="2">
        <v>1205.54</v>
      </c>
      <c r="AH1063">
        <v>0</v>
      </c>
      <c r="AI1063">
        <v>301.38499999999999</v>
      </c>
      <c r="AJ1063">
        <v>6.0277000000000003</v>
      </c>
      <c r="AK1063" t="s">
        <v>54</v>
      </c>
      <c r="AL1063">
        <v>2.88</v>
      </c>
      <c r="AM1063" s="4">
        <f t="shared" si="134"/>
        <v>301.38499999999999</v>
      </c>
      <c r="AN1063" s="4">
        <f t="shared" si="135"/>
        <v>533.015625</v>
      </c>
      <c r="AO1063" s="4">
        <f t="shared" si="136"/>
        <v>592.18035937499997</v>
      </c>
      <c r="AP1063" s="4">
        <f t="shared" si="137"/>
        <v>863.43201093749997</v>
      </c>
      <c r="AQ1063" s="10">
        <f t="shared" si="138"/>
        <v>524.13865350000003</v>
      </c>
      <c r="AR1063" s="10">
        <f t="shared" si="139"/>
        <v>582.37045790385002</v>
      </c>
      <c r="AS1063" s="10">
        <f t="shared" si="140"/>
        <v>815.97905576879998</v>
      </c>
    </row>
    <row r="1064" spans="1:45" x14ac:dyDescent="0.3">
      <c r="A1064">
        <v>2025</v>
      </c>
      <c r="B1064">
        <v>5</v>
      </c>
      <c r="C1064" t="s">
        <v>55</v>
      </c>
      <c r="D1064">
        <v>10</v>
      </c>
      <c r="E1064" t="s">
        <v>36</v>
      </c>
      <c r="F1064" t="s">
        <v>37</v>
      </c>
      <c r="G1064" t="s">
        <v>38</v>
      </c>
      <c r="H1064" t="s">
        <v>83</v>
      </c>
      <c r="I1064" t="s">
        <v>190</v>
      </c>
      <c r="J1064" t="s">
        <v>58</v>
      </c>
      <c r="K1064" t="s">
        <v>59</v>
      </c>
      <c r="M1064" t="s">
        <v>682</v>
      </c>
      <c r="N1064" t="s">
        <v>384</v>
      </c>
      <c r="O1064" t="s">
        <v>36</v>
      </c>
      <c r="Q1064" t="s">
        <v>62</v>
      </c>
      <c r="R1064" t="s">
        <v>683</v>
      </c>
      <c r="S1064" t="s">
        <v>683</v>
      </c>
      <c r="T1064" t="s">
        <v>47</v>
      </c>
      <c r="U1064" t="s">
        <v>167</v>
      </c>
      <c r="V1064" t="s">
        <v>49</v>
      </c>
      <c r="W1064" t="s">
        <v>168</v>
      </c>
      <c r="X1064" t="s">
        <v>686</v>
      </c>
      <c r="Y1064" t="s">
        <v>529</v>
      </c>
      <c r="Z1064" t="s">
        <v>529</v>
      </c>
      <c r="AA1064" t="s">
        <v>170</v>
      </c>
      <c r="AB1064" s="3">
        <f t="shared" si="133"/>
        <v>5</v>
      </c>
      <c r="AC1064">
        <v>1439.49</v>
      </c>
      <c r="AD1064" s="2">
        <v>287.89800000000002</v>
      </c>
      <c r="AE1064" s="2">
        <v>76.62</v>
      </c>
      <c r="AF1064" s="2">
        <v>9.74</v>
      </c>
      <c r="AG1064" s="2">
        <v>1525.85</v>
      </c>
      <c r="AH1064">
        <v>0</v>
      </c>
      <c r="AI1064">
        <v>305.17</v>
      </c>
      <c r="AJ1064">
        <v>7.6292499999999999</v>
      </c>
      <c r="AK1064" t="s">
        <v>54</v>
      </c>
      <c r="AL1064">
        <v>3.9</v>
      </c>
      <c r="AM1064" s="4">
        <f t="shared" si="134"/>
        <v>305.16999999999996</v>
      </c>
      <c r="AN1064" s="4">
        <f t="shared" si="135"/>
        <v>539.80875000000003</v>
      </c>
      <c r="AO1064" s="4">
        <f t="shared" si="136"/>
        <v>599.72752125</v>
      </c>
      <c r="AP1064" s="4">
        <f t="shared" si="137"/>
        <v>874.43619412500004</v>
      </c>
      <c r="AQ1064" s="10">
        <f t="shared" si="138"/>
        <v>530.72114699999997</v>
      </c>
      <c r="AR1064" s="10">
        <f t="shared" si="139"/>
        <v>589.68426643169994</v>
      </c>
      <c r="AS1064" s="10">
        <f t="shared" si="140"/>
        <v>826.22668164959998</v>
      </c>
    </row>
    <row r="1065" spans="1:45" x14ac:dyDescent="0.3">
      <c r="A1065">
        <v>2025</v>
      </c>
      <c r="B1065">
        <v>10</v>
      </c>
      <c r="C1065" t="s">
        <v>55</v>
      </c>
      <c r="D1065">
        <v>10</v>
      </c>
      <c r="E1065" t="s">
        <v>36</v>
      </c>
      <c r="F1065" t="s">
        <v>37</v>
      </c>
      <c r="G1065" t="s">
        <v>38</v>
      </c>
      <c r="H1065" t="s">
        <v>83</v>
      </c>
      <c r="I1065" t="s">
        <v>375</v>
      </c>
      <c r="J1065" t="s">
        <v>376</v>
      </c>
      <c r="K1065" t="s">
        <v>59</v>
      </c>
      <c r="L1065" t="s">
        <v>1549</v>
      </c>
      <c r="M1065" t="s">
        <v>1550</v>
      </c>
      <c r="N1065" t="s">
        <v>1551</v>
      </c>
      <c r="O1065" t="s">
        <v>1197</v>
      </c>
      <c r="Q1065" t="s">
        <v>62</v>
      </c>
      <c r="R1065" t="s">
        <v>1552</v>
      </c>
      <c r="S1065" t="s">
        <v>1552</v>
      </c>
      <c r="T1065" t="s">
        <v>47</v>
      </c>
      <c r="U1065" t="s">
        <v>167</v>
      </c>
      <c r="V1065" t="s">
        <v>49</v>
      </c>
      <c r="W1065" t="s">
        <v>168</v>
      </c>
      <c r="X1065" t="s">
        <v>51</v>
      </c>
      <c r="Y1065" t="s">
        <v>724</v>
      </c>
      <c r="Z1065" t="s">
        <v>724</v>
      </c>
      <c r="AA1065" t="s">
        <v>170</v>
      </c>
      <c r="AB1065" s="3">
        <f t="shared" si="133"/>
        <v>1</v>
      </c>
      <c r="AC1065">
        <v>234.75</v>
      </c>
      <c r="AD1065" s="2">
        <v>234.75</v>
      </c>
      <c r="AE1065" s="2">
        <v>94.84</v>
      </c>
      <c r="AF1065" s="2">
        <v>2.13</v>
      </c>
      <c r="AG1065" s="2">
        <v>331.72</v>
      </c>
      <c r="AH1065">
        <v>0</v>
      </c>
      <c r="AI1065">
        <v>331.72</v>
      </c>
      <c r="AJ1065">
        <v>1.6586000000000001</v>
      </c>
      <c r="AK1065" t="s">
        <v>54</v>
      </c>
      <c r="AL1065">
        <v>3.11</v>
      </c>
      <c r="AM1065" s="4">
        <f t="shared" si="134"/>
        <v>331.72</v>
      </c>
      <c r="AN1065" s="4">
        <f t="shared" si="135"/>
        <v>440.15625</v>
      </c>
      <c r="AO1065" s="4">
        <f t="shared" si="136"/>
        <v>489.01359374999998</v>
      </c>
      <c r="AP1065" s="4">
        <f t="shared" si="137"/>
        <v>713.00910937499998</v>
      </c>
      <c r="AQ1065" s="10">
        <f t="shared" si="138"/>
        <v>576.89425200000005</v>
      </c>
      <c r="AR1065" s="10">
        <f t="shared" si="139"/>
        <v>640.98720339720001</v>
      </c>
      <c r="AS1065" s="10">
        <f t="shared" si="140"/>
        <v>898.10897151360007</v>
      </c>
    </row>
    <row r="1066" spans="1:45" x14ac:dyDescent="0.3">
      <c r="A1066">
        <v>2025</v>
      </c>
      <c r="B1066">
        <v>11</v>
      </c>
      <c r="C1066" t="s">
        <v>55</v>
      </c>
      <c r="D1066">
        <v>10</v>
      </c>
      <c r="E1066" t="s">
        <v>36</v>
      </c>
      <c r="F1066" t="s">
        <v>37</v>
      </c>
      <c r="G1066" t="s">
        <v>38</v>
      </c>
      <c r="H1066" t="s">
        <v>83</v>
      </c>
      <c r="I1066" t="s">
        <v>190</v>
      </c>
      <c r="J1066" t="s">
        <v>58</v>
      </c>
      <c r="K1066" t="s">
        <v>59</v>
      </c>
      <c r="L1066" t="s">
        <v>1629</v>
      </c>
      <c r="M1066" t="s">
        <v>1630</v>
      </c>
      <c r="N1066" t="s">
        <v>1485</v>
      </c>
      <c r="O1066" t="s">
        <v>1197</v>
      </c>
      <c r="Q1066" t="s">
        <v>62</v>
      </c>
      <c r="R1066" t="s">
        <v>1631</v>
      </c>
      <c r="S1066" t="s">
        <v>1631</v>
      </c>
      <c r="T1066" t="s">
        <v>47</v>
      </c>
      <c r="U1066" t="s">
        <v>167</v>
      </c>
      <c r="V1066" t="s">
        <v>49</v>
      </c>
      <c r="W1066" t="s">
        <v>168</v>
      </c>
      <c r="X1066" t="s">
        <v>1578</v>
      </c>
      <c r="Y1066" t="s">
        <v>1600</v>
      </c>
      <c r="Z1066" t="s">
        <v>1600</v>
      </c>
      <c r="AA1066" t="s">
        <v>170</v>
      </c>
      <c r="AB1066" s="3">
        <f t="shared" si="133"/>
        <v>8</v>
      </c>
      <c r="AC1066">
        <v>1911.85</v>
      </c>
      <c r="AD1066" s="2">
        <v>238.98124999999999</v>
      </c>
      <c r="AE1066" s="2">
        <v>873.89</v>
      </c>
      <c r="AF1066" s="2">
        <v>17.5</v>
      </c>
      <c r="AG1066" s="2">
        <v>2802.79</v>
      </c>
      <c r="AH1066">
        <v>0</v>
      </c>
      <c r="AI1066">
        <v>350.34875</v>
      </c>
      <c r="AJ1066">
        <v>14.013949999999999</v>
      </c>
      <c r="AK1066" t="s">
        <v>54</v>
      </c>
      <c r="AL1066">
        <v>39.57</v>
      </c>
      <c r="AM1066" s="4">
        <f t="shared" si="134"/>
        <v>350.34875</v>
      </c>
      <c r="AN1066" s="4">
        <f t="shared" si="135"/>
        <v>448.08984375</v>
      </c>
      <c r="AO1066" s="4">
        <f t="shared" si="136"/>
        <v>497.82781640625001</v>
      </c>
      <c r="AP1066" s="4">
        <f t="shared" si="137"/>
        <v>725.86073789062493</v>
      </c>
      <c r="AQ1066" s="10">
        <f t="shared" si="138"/>
        <v>609.29151112500006</v>
      </c>
      <c r="AR1066" s="10">
        <f t="shared" si="139"/>
        <v>676.98379801098758</v>
      </c>
      <c r="AS1066" s="10">
        <f t="shared" si="140"/>
        <v>948.54502451940004</v>
      </c>
    </row>
    <row r="1067" spans="1:45" x14ac:dyDescent="0.3">
      <c r="A1067">
        <v>2025</v>
      </c>
      <c r="B1067">
        <v>12</v>
      </c>
      <c r="C1067" t="s">
        <v>55</v>
      </c>
      <c r="D1067">
        <v>10</v>
      </c>
      <c r="E1067" t="s">
        <v>36</v>
      </c>
      <c r="F1067" t="s">
        <v>37</v>
      </c>
      <c r="G1067" t="s">
        <v>38</v>
      </c>
      <c r="H1067" t="s">
        <v>83</v>
      </c>
      <c r="I1067" t="s">
        <v>57</v>
      </c>
      <c r="J1067" t="s">
        <v>58</v>
      </c>
      <c r="K1067" t="s">
        <v>59</v>
      </c>
      <c r="L1067" t="s">
        <v>1769</v>
      </c>
      <c r="M1067" t="s">
        <v>1770</v>
      </c>
      <c r="N1067" t="s">
        <v>1771</v>
      </c>
      <c r="O1067" t="s">
        <v>1197</v>
      </c>
      <c r="Q1067" t="s">
        <v>62</v>
      </c>
      <c r="R1067" t="s">
        <v>1772</v>
      </c>
      <c r="S1067" t="s">
        <v>1772</v>
      </c>
      <c r="T1067" t="s">
        <v>47</v>
      </c>
      <c r="U1067" t="s">
        <v>167</v>
      </c>
      <c r="V1067" t="s">
        <v>49</v>
      </c>
      <c r="W1067" t="s">
        <v>168</v>
      </c>
      <c r="X1067" t="s">
        <v>51</v>
      </c>
      <c r="Y1067" t="s">
        <v>1735</v>
      </c>
      <c r="Z1067" t="s">
        <v>1735</v>
      </c>
      <c r="AA1067" t="s">
        <v>170</v>
      </c>
      <c r="AB1067" s="3">
        <f t="shared" si="133"/>
        <v>1</v>
      </c>
      <c r="AC1067">
        <v>242.34</v>
      </c>
      <c r="AD1067" s="2">
        <v>242.34</v>
      </c>
      <c r="AE1067" s="2">
        <v>63.1</v>
      </c>
      <c r="AF1067" s="2">
        <v>1.87</v>
      </c>
      <c r="AG1067" s="2">
        <v>307.31</v>
      </c>
      <c r="AH1067">
        <v>0</v>
      </c>
      <c r="AI1067">
        <v>307.31</v>
      </c>
      <c r="AJ1067">
        <v>1.5365500000000001</v>
      </c>
      <c r="AK1067" t="s">
        <v>54</v>
      </c>
      <c r="AL1067">
        <v>3.5</v>
      </c>
      <c r="AM1067" s="4">
        <f t="shared" si="134"/>
        <v>307.31</v>
      </c>
      <c r="AN1067" s="4">
        <f t="shared" si="135"/>
        <v>454.38749999999999</v>
      </c>
      <c r="AO1067" s="4">
        <f t="shared" si="136"/>
        <v>504.82451249999997</v>
      </c>
      <c r="AP1067" s="4">
        <f t="shared" si="137"/>
        <v>736.06231124999988</v>
      </c>
      <c r="AQ1067" s="10">
        <f t="shared" si="138"/>
        <v>534.44282099999998</v>
      </c>
      <c r="AR1067" s="10">
        <f t="shared" si="139"/>
        <v>593.81941841309992</v>
      </c>
      <c r="AS1067" s="10">
        <f t="shared" si="140"/>
        <v>832.02058373279999</v>
      </c>
    </row>
    <row r="1068" spans="1:45" x14ac:dyDescent="0.3">
      <c r="A1068">
        <v>2025</v>
      </c>
      <c r="B1068">
        <v>12</v>
      </c>
      <c r="C1068" t="s">
        <v>55</v>
      </c>
      <c r="D1068">
        <v>10</v>
      </c>
      <c r="E1068" t="s">
        <v>36</v>
      </c>
      <c r="F1068" t="s">
        <v>37</v>
      </c>
      <c r="G1068" t="s">
        <v>38</v>
      </c>
      <c r="H1068" t="s">
        <v>83</v>
      </c>
      <c r="I1068" t="s">
        <v>57</v>
      </c>
      <c r="J1068" t="s">
        <v>58</v>
      </c>
      <c r="K1068" t="s">
        <v>59</v>
      </c>
      <c r="L1068" t="s">
        <v>1769</v>
      </c>
      <c r="M1068" t="s">
        <v>1770</v>
      </c>
      <c r="N1068" t="s">
        <v>1771</v>
      </c>
      <c r="O1068" t="s">
        <v>1197</v>
      </c>
      <c r="Q1068" t="s">
        <v>62</v>
      </c>
      <c r="R1068" t="s">
        <v>1772</v>
      </c>
      <c r="S1068" t="s">
        <v>1772</v>
      </c>
      <c r="T1068" t="s">
        <v>47</v>
      </c>
      <c r="U1068" t="s">
        <v>356</v>
      </c>
      <c r="V1068" t="s">
        <v>49</v>
      </c>
      <c r="W1068" t="s">
        <v>357</v>
      </c>
      <c r="X1068" t="s">
        <v>51</v>
      </c>
      <c r="Y1068" t="s">
        <v>1888</v>
      </c>
      <c r="Z1068" t="s">
        <v>1888</v>
      </c>
      <c r="AA1068" t="s">
        <v>1889</v>
      </c>
      <c r="AB1068" s="3">
        <f t="shared" si="133"/>
        <v>1</v>
      </c>
      <c r="AC1068">
        <v>204.66</v>
      </c>
      <c r="AD1068" s="2">
        <v>204.66</v>
      </c>
      <c r="AE1068" s="2">
        <v>60.76</v>
      </c>
      <c r="AF1068" s="2">
        <v>1.54</v>
      </c>
      <c r="AG1068" s="2">
        <v>266.95</v>
      </c>
      <c r="AH1068">
        <v>0</v>
      </c>
      <c r="AI1068">
        <v>266.95</v>
      </c>
      <c r="AJ1068">
        <v>1.3347500000000001</v>
      </c>
      <c r="AK1068" t="s">
        <v>54</v>
      </c>
      <c r="AL1068">
        <v>1.52</v>
      </c>
      <c r="AM1068" s="4">
        <f t="shared" si="134"/>
        <v>266.95</v>
      </c>
      <c r="AN1068" s="4">
        <f t="shared" si="135"/>
        <v>383.73750000000001</v>
      </c>
      <c r="AO1068" s="4">
        <f t="shared" si="136"/>
        <v>426.33236249999999</v>
      </c>
      <c r="AP1068" s="4">
        <f t="shared" si="137"/>
        <v>621.61637625000003</v>
      </c>
      <c r="AQ1068" s="10">
        <f t="shared" si="138"/>
        <v>464.252745</v>
      </c>
      <c r="AR1068" s="10">
        <f t="shared" si="139"/>
        <v>515.8312249695</v>
      </c>
      <c r="AS1068" s="10">
        <f t="shared" si="140"/>
        <v>722.74867341599997</v>
      </c>
    </row>
    <row r="1069" spans="1:45" x14ac:dyDescent="0.3">
      <c r="A1069">
        <v>2025</v>
      </c>
      <c r="B1069">
        <v>12</v>
      </c>
      <c r="C1069" t="s">
        <v>55</v>
      </c>
      <c r="D1069">
        <v>10</v>
      </c>
      <c r="E1069" t="s">
        <v>36</v>
      </c>
      <c r="F1069" t="s">
        <v>37</v>
      </c>
      <c r="G1069" t="s">
        <v>38</v>
      </c>
      <c r="H1069" t="s">
        <v>83</v>
      </c>
      <c r="I1069" t="s">
        <v>57</v>
      </c>
      <c r="J1069" t="s">
        <v>58</v>
      </c>
      <c r="K1069" t="s">
        <v>59</v>
      </c>
      <c r="L1069" t="s">
        <v>1769</v>
      </c>
      <c r="M1069" t="s">
        <v>1770</v>
      </c>
      <c r="N1069" t="s">
        <v>1771</v>
      </c>
      <c r="O1069" t="s">
        <v>1197</v>
      </c>
      <c r="Q1069" t="s">
        <v>62</v>
      </c>
      <c r="R1069" t="s">
        <v>1772</v>
      </c>
      <c r="S1069" t="s">
        <v>1772</v>
      </c>
      <c r="T1069" t="s">
        <v>47</v>
      </c>
      <c r="U1069" t="s">
        <v>356</v>
      </c>
      <c r="V1069" t="s">
        <v>49</v>
      </c>
      <c r="W1069" t="s">
        <v>357</v>
      </c>
      <c r="X1069" t="s">
        <v>51</v>
      </c>
      <c r="Y1069" t="s">
        <v>1429</v>
      </c>
      <c r="Z1069" t="s">
        <v>1429</v>
      </c>
      <c r="AA1069" t="s">
        <v>1911</v>
      </c>
      <c r="AB1069" s="3">
        <f t="shared" si="133"/>
        <v>2</v>
      </c>
      <c r="AC1069">
        <v>961.89</v>
      </c>
      <c r="AD1069" s="2">
        <v>480.94499999999999</v>
      </c>
      <c r="AE1069" s="2">
        <v>285.55</v>
      </c>
      <c r="AF1069" s="2">
        <v>7.22</v>
      </c>
      <c r="AG1069" s="2">
        <v>1254.6500000000001</v>
      </c>
      <c r="AH1069">
        <v>0</v>
      </c>
      <c r="AI1069">
        <v>627.32500000000005</v>
      </c>
      <c r="AJ1069">
        <v>6.27325</v>
      </c>
      <c r="AK1069" t="s">
        <v>54</v>
      </c>
      <c r="AL1069">
        <v>7.15</v>
      </c>
      <c r="AM1069" s="4">
        <f t="shared" si="134"/>
        <v>627.32500000000005</v>
      </c>
      <c r="AN1069" s="4">
        <f t="shared" si="135"/>
        <v>901.77187500000002</v>
      </c>
      <c r="AO1069" s="4">
        <f t="shared" si="136"/>
        <v>1001.8685531250001</v>
      </c>
      <c r="AP1069" s="4">
        <f t="shared" si="137"/>
        <v>1460.7802603124999</v>
      </c>
      <c r="AQ1069" s="10">
        <f t="shared" si="138"/>
        <v>1090.9809075000001</v>
      </c>
      <c r="AR1069" s="10">
        <f t="shared" si="139"/>
        <v>1212.18888632325</v>
      </c>
      <c r="AS1069" s="10">
        <f t="shared" si="140"/>
        <v>1698.4390767960001</v>
      </c>
    </row>
    <row r="1070" spans="1:45" x14ac:dyDescent="0.3">
      <c r="A1070">
        <v>2025</v>
      </c>
      <c r="B1070">
        <v>8</v>
      </c>
      <c r="C1070" t="s">
        <v>55</v>
      </c>
      <c r="D1070">
        <v>10</v>
      </c>
      <c r="E1070" t="s">
        <v>36</v>
      </c>
      <c r="F1070" t="s">
        <v>37</v>
      </c>
      <c r="G1070" t="s">
        <v>38</v>
      </c>
      <c r="H1070" t="s">
        <v>83</v>
      </c>
      <c r="I1070" t="s">
        <v>190</v>
      </c>
      <c r="J1070" t="s">
        <v>58</v>
      </c>
      <c r="K1070" t="s">
        <v>59</v>
      </c>
      <c r="L1070" t="s">
        <v>1194</v>
      </c>
      <c r="M1070" t="s">
        <v>1195</v>
      </c>
      <c r="N1070" t="s">
        <v>1196</v>
      </c>
      <c r="O1070" t="s">
        <v>1197</v>
      </c>
      <c r="Q1070" t="s">
        <v>62</v>
      </c>
      <c r="R1070" t="s">
        <v>1198</v>
      </c>
      <c r="S1070" t="s">
        <v>1198</v>
      </c>
      <c r="T1070" t="s">
        <v>47</v>
      </c>
      <c r="U1070" t="s">
        <v>244</v>
      </c>
      <c r="V1070" t="s">
        <v>49</v>
      </c>
      <c r="W1070" t="s">
        <v>90</v>
      </c>
      <c r="X1070" t="s">
        <v>388</v>
      </c>
      <c r="Y1070" t="s">
        <v>610</v>
      </c>
      <c r="Z1070" t="s">
        <v>610</v>
      </c>
      <c r="AA1070" t="s">
        <v>1912</v>
      </c>
      <c r="AB1070" s="3">
        <f t="shared" si="133"/>
        <v>2</v>
      </c>
      <c r="AC1070">
        <v>1128.44</v>
      </c>
      <c r="AD1070" s="2">
        <v>564.22</v>
      </c>
      <c r="AE1070" s="2">
        <v>334.99</v>
      </c>
      <c r="AF1070" s="2">
        <v>8.4700000000000006</v>
      </c>
      <c r="AG1070" s="2">
        <v>1471.91</v>
      </c>
      <c r="AH1070">
        <v>0</v>
      </c>
      <c r="AI1070">
        <v>735.95500000000004</v>
      </c>
      <c r="AJ1070">
        <v>7.3595499999999996</v>
      </c>
      <c r="AK1070" t="s">
        <v>54</v>
      </c>
      <c r="AL1070">
        <v>8.39</v>
      </c>
      <c r="AM1070" s="4">
        <f t="shared" si="134"/>
        <v>735.95500000000004</v>
      </c>
      <c r="AN1070" s="4">
        <f t="shared" si="135"/>
        <v>1057.9125000000001</v>
      </c>
      <c r="AO1070" s="4">
        <f t="shared" si="136"/>
        <v>1175.3407875</v>
      </c>
      <c r="AP1070" s="4">
        <f t="shared" si="137"/>
        <v>1713.7124587500002</v>
      </c>
      <c r="AQ1070" s="10">
        <f t="shared" si="138"/>
        <v>1279.8993405000001</v>
      </c>
      <c r="AR1070" s="10">
        <f t="shared" si="139"/>
        <v>1422.09615722955</v>
      </c>
      <c r="AS1070" s="10">
        <f t="shared" si="140"/>
        <v>1992.5472932904001</v>
      </c>
    </row>
    <row r="1071" spans="1:45" x14ac:dyDescent="0.3">
      <c r="A1071">
        <v>2025</v>
      </c>
      <c r="B1071">
        <v>12</v>
      </c>
      <c r="C1071" t="s">
        <v>55</v>
      </c>
      <c r="D1071">
        <v>10</v>
      </c>
      <c r="E1071" t="s">
        <v>36</v>
      </c>
      <c r="F1071" t="s">
        <v>37</v>
      </c>
      <c r="G1071" t="s">
        <v>38</v>
      </c>
      <c r="H1071" t="s">
        <v>83</v>
      </c>
      <c r="I1071" t="s">
        <v>57</v>
      </c>
      <c r="J1071" t="s">
        <v>58</v>
      </c>
      <c r="K1071" t="s">
        <v>59</v>
      </c>
      <c r="L1071" t="s">
        <v>1769</v>
      </c>
      <c r="M1071" t="s">
        <v>1770</v>
      </c>
      <c r="N1071" t="s">
        <v>1771</v>
      </c>
      <c r="O1071" t="s">
        <v>1197</v>
      </c>
      <c r="Q1071" t="s">
        <v>62</v>
      </c>
      <c r="R1071" t="s">
        <v>1772</v>
      </c>
      <c r="S1071" t="s">
        <v>1772</v>
      </c>
      <c r="T1071" t="s">
        <v>47</v>
      </c>
      <c r="U1071" t="s">
        <v>244</v>
      </c>
      <c r="V1071" t="s">
        <v>49</v>
      </c>
      <c r="W1071" t="s">
        <v>90</v>
      </c>
      <c r="X1071" t="s">
        <v>51</v>
      </c>
      <c r="Y1071" t="s">
        <v>1271</v>
      </c>
      <c r="Z1071" t="s">
        <v>1271</v>
      </c>
      <c r="AA1071" t="s">
        <v>1273</v>
      </c>
      <c r="AB1071" s="3">
        <f t="shared" si="133"/>
        <v>1</v>
      </c>
      <c r="AC1071">
        <v>53.23</v>
      </c>
      <c r="AD1071" s="2">
        <v>53.23</v>
      </c>
      <c r="AE1071" s="2">
        <v>3.82</v>
      </c>
      <c r="AF1071" s="2">
        <v>0.34</v>
      </c>
      <c r="AG1071" s="2">
        <v>57.39</v>
      </c>
      <c r="AH1071">
        <v>0</v>
      </c>
      <c r="AI1071">
        <v>57.39</v>
      </c>
      <c r="AJ1071">
        <v>0.28694999999999998</v>
      </c>
      <c r="AK1071" t="s">
        <v>54</v>
      </c>
      <c r="AL1071">
        <v>0.45</v>
      </c>
      <c r="AM1071" s="4">
        <f t="shared" si="134"/>
        <v>57.39</v>
      </c>
      <c r="AN1071" s="4">
        <f t="shared" si="135"/>
        <v>99.806249999999991</v>
      </c>
      <c r="AO1071" s="4">
        <f t="shared" si="136"/>
        <v>110.88474374999998</v>
      </c>
      <c r="AP1071" s="4">
        <f t="shared" si="137"/>
        <v>161.67614437499998</v>
      </c>
      <c r="AQ1071" s="10">
        <f t="shared" si="138"/>
        <v>99.806949000000003</v>
      </c>
      <c r="AR1071" s="10">
        <f t="shared" si="139"/>
        <v>110.8955010339</v>
      </c>
      <c r="AS1071" s="10">
        <f t="shared" si="140"/>
        <v>155.37945820319999</v>
      </c>
    </row>
    <row r="1072" spans="1:45" x14ac:dyDescent="0.3">
      <c r="A1072">
        <v>2025</v>
      </c>
      <c r="B1072">
        <v>3</v>
      </c>
      <c r="C1072" t="s">
        <v>55</v>
      </c>
      <c r="D1072">
        <v>10</v>
      </c>
      <c r="E1072" t="s">
        <v>36</v>
      </c>
      <c r="F1072" t="s">
        <v>37</v>
      </c>
      <c r="G1072" t="s">
        <v>38</v>
      </c>
      <c r="H1072" t="s">
        <v>78</v>
      </c>
      <c r="I1072" t="s">
        <v>190</v>
      </c>
      <c r="J1072" t="s">
        <v>58</v>
      </c>
      <c r="K1072" t="s">
        <v>59</v>
      </c>
      <c r="M1072" t="s">
        <v>209</v>
      </c>
      <c r="N1072" t="s">
        <v>61</v>
      </c>
      <c r="O1072" t="s">
        <v>43</v>
      </c>
      <c r="Q1072" t="s">
        <v>62</v>
      </c>
      <c r="R1072" t="s">
        <v>210</v>
      </c>
      <c r="S1072" t="s">
        <v>211</v>
      </c>
      <c r="T1072" t="s">
        <v>47</v>
      </c>
      <c r="U1072" t="s">
        <v>118</v>
      </c>
      <c r="V1072" t="s">
        <v>49</v>
      </c>
      <c r="W1072" t="s">
        <v>119</v>
      </c>
      <c r="X1072" t="s">
        <v>51</v>
      </c>
      <c r="Y1072" t="s">
        <v>1271</v>
      </c>
      <c r="Z1072" t="s">
        <v>1271</v>
      </c>
      <c r="AA1072" t="s">
        <v>1273</v>
      </c>
      <c r="AB1072" s="3">
        <f t="shared" si="133"/>
        <v>5.9999999999999627</v>
      </c>
      <c r="AC1072">
        <v>321.94</v>
      </c>
      <c r="AD1072" s="2">
        <v>53.656666666667</v>
      </c>
      <c r="AE1072" s="2">
        <v>95.57</v>
      </c>
      <c r="AF1072" s="2">
        <v>2.42</v>
      </c>
      <c r="AG1072" s="2">
        <v>419.92</v>
      </c>
      <c r="AH1072">
        <v>0</v>
      </c>
      <c r="AI1072">
        <v>69.986666666667006</v>
      </c>
      <c r="AJ1072">
        <v>2.0996000000000001</v>
      </c>
      <c r="AK1072" t="s">
        <v>54</v>
      </c>
      <c r="AL1072">
        <v>2.39</v>
      </c>
      <c r="AM1072" s="4">
        <f t="shared" si="134"/>
        <v>69.986666666667105</v>
      </c>
      <c r="AN1072" s="4">
        <f t="shared" si="135"/>
        <v>100.60625000000063</v>
      </c>
      <c r="AO1072" s="4">
        <f t="shared" si="136"/>
        <v>111.7735437500007</v>
      </c>
      <c r="AP1072" s="4">
        <f t="shared" si="137"/>
        <v>162.972064375001</v>
      </c>
      <c r="AQ1072" s="10">
        <f t="shared" si="138"/>
        <v>121.71381200000077</v>
      </c>
      <c r="AR1072" s="10">
        <f t="shared" si="139"/>
        <v>135.23621651320084</v>
      </c>
      <c r="AS1072" s="10">
        <f t="shared" si="140"/>
        <v>189.4840625216012</v>
      </c>
    </row>
    <row r="1073" spans="1:45" x14ac:dyDescent="0.3">
      <c r="A1073">
        <v>2025</v>
      </c>
      <c r="B1073">
        <v>11</v>
      </c>
      <c r="C1073" t="s">
        <v>55</v>
      </c>
      <c r="D1073">
        <v>10</v>
      </c>
      <c r="E1073" t="s">
        <v>36</v>
      </c>
      <c r="F1073" t="s">
        <v>37</v>
      </c>
      <c r="G1073" t="s">
        <v>38</v>
      </c>
      <c r="H1073" t="s">
        <v>78</v>
      </c>
      <c r="I1073" t="s">
        <v>375</v>
      </c>
      <c r="J1073" t="s">
        <v>376</v>
      </c>
      <c r="K1073" t="s">
        <v>51</v>
      </c>
      <c r="L1073" t="s">
        <v>1622</v>
      </c>
      <c r="M1073" t="s">
        <v>1623</v>
      </c>
      <c r="N1073" t="s">
        <v>1485</v>
      </c>
      <c r="O1073" t="s">
        <v>1197</v>
      </c>
      <c r="Q1073" t="s">
        <v>62</v>
      </c>
      <c r="R1073" t="s">
        <v>1624</v>
      </c>
      <c r="S1073" t="s">
        <v>1624</v>
      </c>
      <c r="T1073" t="s">
        <v>47</v>
      </c>
      <c r="U1073" t="s">
        <v>118</v>
      </c>
      <c r="V1073" t="s">
        <v>49</v>
      </c>
      <c r="W1073" t="s">
        <v>714</v>
      </c>
      <c r="X1073" t="s">
        <v>51</v>
      </c>
      <c r="Y1073" t="s">
        <v>122</v>
      </c>
      <c r="Z1073" t="s">
        <v>64</v>
      </c>
      <c r="AA1073" t="s">
        <v>307</v>
      </c>
      <c r="AB1073" s="3">
        <f t="shared" si="133"/>
        <v>6</v>
      </c>
      <c r="AC1073">
        <v>729</v>
      </c>
      <c r="AD1073" s="2">
        <v>121.5</v>
      </c>
      <c r="AE1073" s="2">
        <v>162.83000000000001</v>
      </c>
      <c r="AF1073" s="2">
        <v>5.34</v>
      </c>
      <c r="AG1073" s="2">
        <v>897.17</v>
      </c>
      <c r="AH1073">
        <v>0</v>
      </c>
      <c r="AI1073">
        <v>149.52833333333001</v>
      </c>
      <c r="AJ1073">
        <v>4.4858500000000001</v>
      </c>
      <c r="AK1073" t="s">
        <v>54</v>
      </c>
      <c r="AL1073">
        <v>13.21</v>
      </c>
      <c r="AM1073" s="4">
        <f t="shared" si="134"/>
        <v>149.52833333333334</v>
      </c>
      <c r="AN1073" s="4">
        <f t="shared" si="135"/>
        <v>227.8125</v>
      </c>
      <c r="AO1073" s="4">
        <f t="shared" si="136"/>
        <v>253.09968749999999</v>
      </c>
      <c r="AP1073" s="4">
        <f t="shared" si="137"/>
        <v>369.03346875</v>
      </c>
      <c r="AQ1073" s="10">
        <f t="shared" si="138"/>
        <v>260.04472450000003</v>
      </c>
      <c r="AR1073" s="10">
        <f t="shared" si="139"/>
        <v>288.93569339195005</v>
      </c>
      <c r="AS1073" s="10">
        <f t="shared" si="140"/>
        <v>404.83762710160005</v>
      </c>
    </row>
    <row r="1074" spans="1:45" x14ac:dyDescent="0.3">
      <c r="A1074">
        <v>2025</v>
      </c>
      <c r="B1074">
        <v>12</v>
      </c>
      <c r="C1074" t="s">
        <v>55</v>
      </c>
      <c r="D1074">
        <v>10</v>
      </c>
      <c r="E1074" t="s">
        <v>36</v>
      </c>
      <c r="F1074" t="s">
        <v>37</v>
      </c>
      <c r="G1074" t="s">
        <v>38</v>
      </c>
      <c r="H1074" t="s">
        <v>78</v>
      </c>
      <c r="I1074" t="s">
        <v>57</v>
      </c>
      <c r="J1074" t="s">
        <v>58</v>
      </c>
      <c r="K1074" t="s">
        <v>59</v>
      </c>
      <c r="L1074" t="s">
        <v>1769</v>
      </c>
      <c r="M1074" t="s">
        <v>1770</v>
      </c>
      <c r="N1074" t="s">
        <v>1771</v>
      </c>
      <c r="O1074" t="s">
        <v>1197</v>
      </c>
      <c r="Q1074" t="s">
        <v>62</v>
      </c>
      <c r="R1074" t="s">
        <v>1772</v>
      </c>
      <c r="S1074" t="s">
        <v>1772</v>
      </c>
      <c r="T1074" t="s">
        <v>47</v>
      </c>
      <c r="U1074" t="s">
        <v>118</v>
      </c>
      <c r="V1074" t="s">
        <v>49</v>
      </c>
      <c r="W1074" t="s">
        <v>714</v>
      </c>
      <c r="X1074" t="s">
        <v>51</v>
      </c>
      <c r="Y1074" t="s">
        <v>1349</v>
      </c>
      <c r="Z1074" t="s">
        <v>1349</v>
      </c>
      <c r="AA1074" t="s">
        <v>307</v>
      </c>
      <c r="AB1074" s="3">
        <f t="shared" si="133"/>
        <v>4</v>
      </c>
      <c r="AC1074">
        <v>364.29</v>
      </c>
      <c r="AD1074" s="2">
        <v>91.072500000000005</v>
      </c>
      <c r="AE1074" s="2">
        <v>51.1</v>
      </c>
      <c r="AF1074" s="2">
        <v>2.52</v>
      </c>
      <c r="AG1074" s="2">
        <v>417.82</v>
      </c>
      <c r="AH1074">
        <v>0</v>
      </c>
      <c r="AI1074">
        <v>104.455</v>
      </c>
      <c r="AJ1074">
        <v>2.0891000000000002</v>
      </c>
      <c r="AK1074" t="s">
        <v>54</v>
      </c>
      <c r="AL1074">
        <v>2.78</v>
      </c>
      <c r="AM1074" s="4">
        <f t="shared" si="134"/>
        <v>104.455</v>
      </c>
      <c r="AN1074" s="4">
        <f t="shared" si="135"/>
        <v>170.76093750000001</v>
      </c>
      <c r="AO1074" s="4">
        <f t="shared" si="136"/>
        <v>189.71540156250001</v>
      </c>
      <c r="AP1074" s="4">
        <f t="shared" si="137"/>
        <v>276.61564265624997</v>
      </c>
      <c r="AQ1074" s="10">
        <f t="shared" si="138"/>
        <v>181.6576905</v>
      </c>
      <c r="AR1074" s="10">
        <f t="shared" si="139"/>
        <v>201.83985991455</v>
      </c>
      <c r="AS1074" s="10">
        <f t="shared" si="140"/>
        <v>282.80469257039999</v>
      </c>
    </row>
    <row r="1075" spans="1:45" x14ac:dyDescent="0.3">
      <c r="A1075">
        <v>2025</v>
      </c>
      <c r="B1075">
        <v>3</v>
      </c>
      <c r="C1075" t="s">
        <v>55</v>
      </c>
      <c r="D1075">
        <v>10</v>
      </c>
      <c r="E1075" t="s">
        <v>36</v>
      </c>
      <c r="F1075" t="s">
        <v>37</v>
      </c>
      <c r="G1075" t="s">
        <v>38</v>
      </c>
      <c r="H1075" t="s">
        <v>78</v>
      </c>
      <c r="I1075" t="s">
        <v>190</v>
      </c>
      <c r="J1075" t="s">
        <v>58</v>
      </c>
      <c r="K1075" t="s">
        <v>59</v>
      </c>
      <c r="M1075" t="s">
        <v>209</v>
      </c>
      <c r="N1075" t="s">
        <v>61</v>
      </c>
      <c r="O1075" t="s">
        <v>43</v>
      </c>
      <c r="Q1075" t="s">
        <v>62</v>
      </c>
      <c r="R1075" t="s">
        <v>210</v>
      </c>
      <c r="S1075" t="s">
        <v>211</v>
      </c>
      <c r="T1075" t="s">
        <v>47</v>
      </c>
      <c r="U1075" t="s">
        <v>118</v>
      </c>
      <c r="V1075" t="s">
        <v>49</v>
      </c>
      <c r="W1075" t="s">
        <v>119</v>
      </c>
      <c r="X1075" t="s">
        <v>51</v>
      </c>
      <c r="Y1075" t="s">
        <v>1854</v>
      </c>
      <c r="Z1075" t="s">
        <v>1854</v>
      </c>
      <c r="AA1075" t="s">
        <v>307</v>
      </c>
      <c r="AB1075" s="3">
        <f t="shared" si="133"/>
        <v>5</v>
      </c>
      <c r="AC1075">
        <v>476.31</v>
      </c>
      <c r="AD1075" s="2">
        <v>95.262</v>
      </c>
      <c r="AE1075" s="2">
        <v>141.4</v>
      </c>
      <c r="AF1075" s="2">
        <v>3.58</v>
      </c>
      <c r="AG1075" s="2">
        <v>621.29</v>
      </c>
      <c r="AH1075">
        <v>0</v>
      </c>
      <c r="AI1075">
        <v>124.258</v>
      </c>
      <c r="AJ1075">
        <v>3.1064500000000002</v>
      </c>
      <c r="AK1075" t="s">
        <v>54</v>
      </c>
      <c r="AL1075">
        <v>3.54</v>
      </c>
      <c r="AM1075" s="4">
        <f t="shared" si="134"/>
        <v>124.258</v>
      </c>
      <c r="AN1075" s="4">
        <f t="shared" si="135"/>
        <v>178.61625000000001</v>
      </c>
      <c r="AO1075" s="4">
        <f t="shared" si="136"/>
        <v>198.44265375000001</v>
      </c>
      <c r="AP1075" s="4">
        <f t="shared" si="137"/>
        <v>289.34046337500001</v>
      </c>
      <c r="AQ1075" s="10">
        <f t="shared" si="138"/>
        <v>216.0970878</v>
      </c>
      <c r="AR1075" s="10">
        <f t="shared" si="139"/>
        <v>240.10547425458</v>
      </c>
      <c r="AS1075" s="10">
        <f t="shared" si="140"/>
        <v>336.41994628703998</v>
      </c>
    </row>
    <row r="1076" spans="1:45" x14ac:dyDescent="0.3">
      <c r="A1076">
        <v>2025</v>
      </c>
      <c r="B1076">
        <v>5</v>
      </c>
      <c r="C1076" t="s">
        <v>55</v>
      </c>
      <c r="D1076">
        <v>10</v>
      </c>
      <c r="E1076" t="s">
        <v>36</v>
      </c>
      <c r="F1076" t="s">
        <v>37</v>
      </c>
      <c r="G1076" t="s">
        <v>38</v>
      </c>
      <c r="H1076" t="s">
        <v>78</v>
      </c>
      <c r="I1076" t="s">
        <v>190</v>
      </c>
      <c r="J1076" t="s">
        <v>58</v>
      </c>
      <c r="K1076" t="s">
        <v>59</v>
      </c>
      <c r="M1076" t="s">
        <v>682</v>
      </c>
      <c r="N1076" t="s">
        <v>384</v>
      </c>
      <c r="O1076" t="s">
        <v>36</v>
      </c>
      <c r="Q1076" t="s">
        <v>62</v>
      </c>
      <c r="R1076" t="s">
        <v>683</v>
      </c>
      <c r="S1076" t="s">
        <v>683</v>
      </c>
      <c r="T1076" t="s">
        <v>47</v>
      </c>
      <c r="U1076" t="s">
        <v>118</v>
      </c>
      <c r="V1076" t="s">
        <v>49</v>
      </c>
      <c r="W1076" t="s">
        <v>714</v>
      </c>
      <c r="X1076" t="s">
        <v>686</v>
      </c>
      <c r="Y1076" t="s">
        <v>122</v>
      </c>
      <c r="Z1076" t="s">
        <v>64</v>
      </c>
      <c r="AA1076" t="s">
        <v>306</v>
      </c>
      <c r="AB1076" s="3">
        <f t="shared" si="133"/>
        <v>8</v>
      </c>
      <c r="AC1076">
        <v>1278.7</v>
      </c>
      <c r="AD1076" s="2">
        <v>159.83750000000001</v>
      </c>
      <c r="AE1076" s="2">
        <v>285.62</v>
      </c>
      <c r="AF1076" s="2">
        <v>9.3699999999999992</v>
      </c>
      <c r="AG1076" s="2">
        <v>1573.68</v>
      </c>
      <c r="AH1076">
        <v>0</v>
      </c>
      <c r="AI1076">
        <v>196.71</v>
      </c>
      <c r="AJ1076">
        <v>7.8684000000000003</v>
      </c>
      <c r="AK1076" t="s">
        <v>54</v>
      </c>
      <c r="AL1076">
        <v>17.62</v>
      </c>
      <c r="AM1076" s="4">
        <f t="shared" si="134"/>
        <v>196.71</v>
      </c>
      <c r="AN1076" s="4">
        <f t="shared" si="135"/>
        <v>299.6953125</v>
      </c>
      <c r="AO1076" s="4">
        <f t="shared" si="136"/>
        <v>332.96149218749997</v>
      </c>
      <c r="AP1076" s="4">
        <f t="shared" si="137"/>
        <v>485.47643671874999</v>
      </c>
      <c r="AQ1076" s="10">
        <f t="shared" si="138"/>
        <v>342.09836100000001</v>
      </c>
      <c r="AR1076" s="10">
        <f t="shared" si="139"/>
        <v>380.10548890709998</v>
      </c>
      <c r="AS1076" s="10">
        <f t="shared" si="140"/>
        <v>532.57872840480002</v>
      </c>
    </row>
    <row r="1077" spans="1:45" x14ac:dyDescent="0.3">
      <c r="A1077">
        <v>2025</v>
      </c>
      <c r="B1077">
        <v>7</v>
      </c>
      <c r="C1077" t="s">
        <v>55</v>
      </c>
      <c r="D1077">
        <v>10</v>
      </c>
      <c r="E1077" t="s">
        <v>36</v>
      </c>
      <c r="F1077" t="s">
        <v>37</v>
      </c>
      <c r="G1077" t="s">
        <v>38</v>
      </c>
      <c r="H1077" t="s">
        <v>78</v>
      </c>
      <c r="I1077" t="s">
        <v>190</v>
      </c>
      <c r="J1077" t="s">
        <v>58</v>
      </c>
      <c r="K1077" t="s">
        <v>41</v>
      </c>
      <c r="L1077" t="s">
        <v>953</v>
      </c>
      <c r="M1077" t="s">
        <v>954</v>
      </c>
      <c r="N1077" t="s">
        <v>731</v>
      </c>
      <c r="O1077" t="s">
        <v>36</v>
      </c>
      <c r="Q1077" t="s">
        <v>62</v>
      </c>
      <c r="R1077" t="s">
        <v>955</v>
      </c>
      <c r="S1077" t="s">
        <v>956</v>
      </c>
      <c r="T1077" t="s">
        <v>47</v>
      </c>
      <c r="U1077" t="s">
        <v>118</v>
      </c>
      <c r="V1077" t="s">
        <v>49</v>
      </c>
      <c r="W1077" t="s">
        <v>714</v>
      </c>
      <c r="X1077" t="s">
        <v>51</v>
      </c>
      <c r="Y1077" t="s">
        <v>515</v>
      </c>
      <c r="Z1077" t="s">
        <v>515</v>
      </c>
      <c r="AA1077" t="s">
        <v>306</v>
      </c>
      <c r="AB1077" s="3">
        <f t="shared" si="133"/>
        <v>11.999999999999671</v>
      </c>
      <c r="AC1077">
        <v>1460.33</v>
      </c>
      <c r="AD1077" s="2">
        <v>121.69416666667</v>
      </c>
      <c r="AE1077" s="2">
        <v>1137.8699999999999</v>
      </c>
      <c r="AF1077" s="2">
        <v>12.46</v>
      </c>
      <c r="AG1077" s="2">
        <v>2610.66</v>
      </c>
      <c r="AH1077">
        <v>0</v>
      </c>
      <c r="AI1077">
        <v>217.55500000000001</v>
      </c>
      <c r="AJ1077">
        <v>13.0533</v>
      </c>
      <c r="AK1077" t="s">
        <v>54</v>
      </c>
      <c r="AL1077">
        <v>37.340000000000003</v>
      </c>
      <c r="AM1077" s="4">
        <f t="shared" si="134"/>
        <v>217.55500000000595</v>
      </c>
      <c r="AN1077" s="4">
        <f t="shared" si="135"/>
        <v>228.17656250000624</v>
      </c>
      <c r="AO1077" s="4">
        <f t="shared" si="136"/>
        <v>253.50416093750692</v>
      </c>
      <c r="AP1077" s="4">
        <f t="shared" si="137"/>
        <v>369.62321359376011</v>
      </c>
      <c r="AQ1077" s="10">
        <f t="shared" si="138"/>
        <v>378.34990050001034</v>
      </c>
      <c r="AR1077" s="10">
        <f t="shared" si="139"/>
        <v>420.3845744455615</v>
      </c>
      <c r="AS1077" s="10">
        <f t="shared" si="140"/>
        <v>589.01512509841609</v>
      </c>
    </row>
    <row r="1078" spans="1:45" x14ac:dyDescent="0.3">
      <c r="A1078">
        <v>2025</v>
      </c>
      <c r="B1078">
        <v>3</v>
      </c>
      <c r="C1078" t="s">
        <v>55</v>
      </c>
      <c r="D1078">
        <v>10</v>
      </c>
      <c r="E1078" t="s">
        <v>36</v>
      </c>
      <c r="F1078" t="s">
        <v>37</v>
      </c>
      <c r="G1078" t="s">
        <v>38</v>
      </c>
      <c r="H1078" t="s">
        <v>78</v>
      </c>
      <c r="I1078" t="s">
        <v>190</v>
      </c>
      <c r="J1078" t="s">
        <v>58</v>
      </c>
      <c r="K1078" t="s">
        <v>59</v>
      </c>
      <c r="M1078" t="s">
        <v>209</v>
      </c>
      <c r="N1078" t="s">
        <v>61</v>
      </c>
      <c r="O1078" t="s">
        <v>43</v>
      </c>
      <c r="Q1078" t="s">
        <v>62</v>
      </c>
      <c r="R1078" t="s">
        <v>210</v>
      </c>
      <c r="S1078" t="s">
        <v>211</v>
      </c>
      <c r="T1078" t="s">
        <v>47</v>
      </c>
      <c r="U1078" t="s">
        <v>118</v>
      </c>
      <c r="V1078" t="s">
        <v>49</v>
      </c>
      <c r="W1078" t="s">
        <v>119</v>
      </c>
      <c r="X1078" t="s">
        <v>51</v>
      </c>
      <c r="Y1078" t="s">
        <v>1103</v>
      </c>
      <c r="Z1078" t="s">
        <v>1103</v>
      </c>
      <c r="AA1078" t="s">
        <v>306</v>
      </c>
      <c r="AB1078" s="3">
        <f t="shared" si="133"/>
        <v>5.9999999999998215</v>
      </c>
      <c r="AC1078">
        <v>670.33</v>
      </c>
      <c r="AD1078" s="2">
        <v>111.72166666667</v>
      </c>
      <c r="AE1078" s="2">
        <v>174.25</v>
      </c>
      <c r="AF1078" s="2">
        <v>4.5999999999999996</v>
      </c>
      <c r="AG1078" s="2">
        <v>849.18</v>
      </c>
      <c r="AH1078">
        <v>0</v>
      </c>
      <c r="AI1078">
        <v>141.53</v>
      </c>
      <c r="AJ1078">
        <v>4.2458999999999998</v>
      </c>
      <c r="AK1078" t="s">
        <v>54</v>
      </c>
      <c r="AL1078">
        <v>13.4</v>
      </c>
      <c r="AM1078" s="4">
        <f t="shared" si="134"/>
        <v>141.53000000000421</v>
      </c>
      <c r="AN1078" s="4">
        <f t="shared" si="135"/>
        <v>209.47812500000626</v>
      </c>
      <c r="AO1078" s="4">
        <f t="shared" si="136"/>
        <v>232.73019687500695</v>
      </c>
      <c r="AP1078" s="4">
        <f t="shared" si="137"/>
        <v>339.33361468751013</v>
      </c>
      <c r="AQ1078" s="10">
        <f t="shared" si="138"/>
        <v>246.13482300000734</v>
      </c>
      <c r="AR1078" s="10">
        <f t="shared" si="139"/>
        <v>273.48040183530816</v>
      </c>
      <c r="AS1078" s="10">
        <f t="shared" si="140"/>
        <v>383.18269244641141</v>
      </c>
    </row>
    <row r="1079" spans="1:45" x14ac:dyDescent="0.3">
      <c r="A1079">
        <v>2025</v>
      </c>
      <c r="B1079">
        <v>3</v>
      </c>
      <c r="C1079" t="s">
        <v>55</v>
      </c>
      <c r="D1079">
        <v>10</v>
      </c>
      <c r="E1079" t="s">
        <v>36</v>
      </c>
      <c r="F1079" t="s">
        <v>37</v>
      </c>
      <c r="G1079" t="s">
        <v>38</v>
      </c>
      <c r="H1079" t="s">
        <v>78</v>
      </c>
      <c r="I1079" t="s">
        <v>190</v>
      </c>
      <c r="J1079" t="s">
        <v>58</v>
      </c>
      <c r="K1079" t="s">
        <v>59</v>
      </c>
      <c r="M1079" t="s">
        <v>209</v>
      </c>
      <c r="N1079" t="s">
        <v>61</v>
      </c>
      <c r="O1079" t="s">
        <v>43</v>
      </c>
      <c r="Q1079" t="s">
        <v>62</v>
      </c>
      <c r="R1079" t="s">
        <v>210</v>
      </c>
      <c r="S1079" t="s">
        <v>211</v>
      </c>
      <c r="T1079" t="s">
        <v>47</v>
      </c>
      <c r="U1079" t="s">
        <v>118</v>
      </c>
      <c r="V1079" t="s">
        <v>49</v>
      </c>
      <c r="W1079" t="s">
        <v>119</v>
      </c>
      <c r="X1079" t="s">
        <v>51</v>
      </c>
      <c r="Y1079" t="s">
        <v>122</v>
      </c>
      <c r="Z1079" t="s">
        <v>64</v>
      </c>
      <c r="AA1079" t="s">
        <v>305</v>
      </c>
      <c r="AB1079" s="3">
        <f t="shared" si="133"/>
        <v>1</v>
      </c>
      <c r="AC1079">
        <v>178.33</v>
      </c>
      <c r="AD1079" s="2">
        <v>178.33</v>
      </c>
      <c r="AE1079" s="2">
        <v>39.83</v>
      </c>
      <c r="AF1079" s="2">
        <v>1.31</v>
      </c>
      <c r="AG1079" s="2">
        <v>219.47</v>
      </c>
      <c r="AH1079">
        <v>0</v>
      </c>
      <c r="AI1079">
        <v>219.47</v>
      </c>
      <c r="AJ1079">
        <v>1.09735</v>
      </c>
      <c r="AK1079" t="s">
        <v>54</v>
      </c>
      <c r="AL1079">
        <v>2.2000000000000002</v>
      </c>
      <c r="AM1079" s="4">
        <f t="shared" si="134"/>
        <v>219.47</v>
      </c>
      <c r="AN1079" s="4">
        <f t="shared" si="135"/>
        <v>334.36875000000003</v>
      </c>
      <c r="AO1079" s="4">
        <f t="shared" si="136"/>
        <v>371.48368125000002</v>
      </c>
      <c r="AP1079" s="4">
        <f t="shared" si="137"/>
        <v>541.64393812499998</v>
      </c>
      <c r="AQ1079" s="10">
        <f t="shared" si="138"/>
        <v>381.68027699999999</v>
      </c>
      <c r="AR1079" s="10">
        <f t="shared" si="139"/>
        <v>424.08495577470001</v>
      </c>
      <c r="AS1079" s="10">
        <f t="shared" si="140"/>
        <v>594.19985523359992</v>
      </c>
    </row>
    <row r="1080" spans="1:45" x14ac:dyDescent="0.3">
      <c r="A1080">
        <v>2025</v>
      </c>
      <c r="B1080">
        <v>4</v>
      </c>
      <c r="C1080" t="s">
        <v>55</v>
      </c>
      <c r="D1080">
        <v>10</v>
      </c>
      <c r="E1080" t="s">
        <v>36</v>
      </c>
      <c r="F1080" t="s">
        <v>37</v>
      </c>
      <c r="G1080" t="s">
        <v>38</v>
      </c>
      <c r="H1080" t="s">
        <v>78</v>
      </c>
      <c r="I1080" t="s">
        <v>375</v>
      </c>
      <c r="J1080" t="s">
        <v>376</v>
      </c>
      <c r="K1080" t="s">
        <v>59</v>
      </c>
      <c r="M1080">
        <v>2503061</v>
      </c>
      <c r="N1080" t="s">
        <v>377</v>
      </c>
      <c r="O1080" t="s">
        <v>36</v>
      </c>
      <c r="Q1080" t="s">
        <v>62</v>
      </c>
      <c r="R1080" t="s">
        <v>378</v>
      </c>
      <c r="S1080" t="s">
        <v>378</v>
      </c>
      <c r="T1080" t="s">
        <v>47</v>
      </c>
      <c r="U1080" t="s">
        <v>118</v>
      </c>
      <c r="V1080" t="s">
        <v>49</v>
      </c>
      <c r="W1080" t="s">
        <v>119</v>
      </c>
      <c r="X1080" t="s">
        <v>51</v>
      </c>
      <c r="Y1080" t="s">
        <v>303</v>
      </c>
      <c r="Z1080" t="s">
        <v>64</v>
      </c>
      <c r="AA1080" t="s">
        <v>304</v>
      </c>
      <c r="AB1080" s="3">
        <f t="shared" si="133"/>
        <v>4</v>
      </c>
      <c r="AC1080">
        <v>1248.23</v>
      </c>
      <c r="AD1080" s="2">
        <v>312.0575</v>
      </c>
      <c r="AE1080" s="2">
        <v>278.81</v>
      </c>
      <c r="AF1080" s="2">
        <v>9.15</v>
      </c>
      <c r="AG1080" s="2">
        <v>1536.19</v>
      </c>
      <c r="AH1080">
        <v>0</v>
      </c>
      <c r="AI1080">
        <v>384.04750000000001</v>
      </c>
      <c r="AJ1080">
        <v>7.6809500000000002</v>
      </c>
      <c r="AK1080" t="s">
        <v>54</v>
      </c>
      <c r="AL1080">
        <v>8.81</v>
      </c>
      <c r="AM1080" s="4">
        <f t="shared" si="134"/>
        <v>384.04750000000001</v>
      </c>
      <c r="AN1080" s="4">
        <f t="shared" si="135"/>
        <v>585.10781250000002</v>
      </c>
      <c r="AO1080" s="4">
        <f t="shared" si="136"/>
        <v>650.05477968750006</v>
      </c>
      <c r="AP1080" s="4">
        <f t="shared" si="137"/>
        <v>947.81614546874994</v>
      </c>
      <c r="AQ1080" s="10">
        <f t="shared" si="138"/>
        <v>667.89700725000012</v>
      </c>
      <c r="AR1080" s="10">
        <f t="shared" si="139"/>
        <v>742.10036475547508</v>
      </c>
      <c r="AS1080" s="10">
        <f t="shared" si="140"/>
        <v>1039.7820608868001</v>
      </c>
    </row>
    <row r="1081" spans="1:45" x14ac:dyDescent="0.3">
      <c r="A1081">
        <v>2025</v>
      </c>
      <c r="B1081">
        <v>5</v>
      </c>
      <c r="C1081" t="s">
        <v>55</v>
      </c>
      <c r="D1081">
        <v>10</v>
      </c>
      <c r="E1081" t="s">
        <v>36</v>
      </c>
      <c r="F1081" t="s">
        <v>37</v>
      </c>
      <c r="G1081" t="s">
        <v>38</v>
      </c>
      <c r="H1081" t="s">
        <v>78</v>
      </c>
      <c r="I1081" t="s">
        <v>190</v>
      </c>
      <c r="J1081" t="s">
        <v>58</v>
      </c>
      <c r="K1081" t="s">
        <v>59</v>
      </c>
      <c r="M1081" t="s">
        <v>682</v>
      </c>
      <c r="N1081" t="s">
        <v>384</v>
      </c>
      <c r="O1081" t="s">
        <v>36</v>
      </c>
      <c r="Q1081" t="s">
        <v>62</v>
      </c>
      <c r="R1081" t="s">
        <v>683</v>
      </c>
      <c r="S1081" t="s">
        <v>683</v>
      </c>
      <c r="T1081" t="s">
        <v>47</v>
      </c>
      <c r="U1081" t="s">
        <v>118</v>
      </c>
      <c r="V1081" t="s">
        <v>49</v>
      </c>
      <c r="W1081" t="s">
        <v>714</v>
      </c>
      <c r="X1081" t="s">
        <v>686</v>
      </c>
      <c r="Y1081" t="s">
        <v>125</v>
      </c>
      <c r="Z1081" t="s">
        <v>125</v>
      </c>
      <c r="AA1081" t="s">
        <v>304</v>
      </c>
      <c r="AB1081" s="3">
        <f t="shared" si="133"/>
        <v>6</v>
      </c>
      <c r="AC1081">
        <v>1835.97</v>
      </c>
      <c r="AD1081" s="2">
        <v>305.995</v>
      </c>
      <c r="AE1081" s="2">
        <v>90.52</v>
      </c>
      <c r="AF1081" s="2">
        <v>13.07</v>
      </c>
      <c r="AG1081" s="2">
        <v>1939.57</v>
      </c>
      <c r="AH1081">
        <v>0</v>
      </c>
      <c r="AI1081">
        <v>323.26166666667001</v>
      </c>
      <c r="AJ1081">
        <v>9.6978500000000007</v>
      </c>
      <c r="AK1081" t="s">
        <v>54</v>
      </c>
      <c r="AL1081">
        <v>4.32</v>
      </c>
      <c r="AM1081" s="4">
        <f t="shared" si="134"/>
        <v>323.26166666666666</v>
      </c>
      <c r="AN1081" s="4">
        <f t="shared" si="135"/>
        <v>573.74062500000002</v>
      </c>
      <c r="AO1081" s="4">
        <f t="shared" si="136"/>
        <v>637.42583437500002</v>
      </c>
      <c r="AP1081" s="4">
        <f t="shared" si="137"/>
        <v>929.4024384375</v>
      </c>
      <c r="AQ1081" s="10">
        <f t="shared" si="138"/>
        <v>562.18436450000002</v>
      </c>
      <c r="AR1081" s="10">
        <f t="shared" si="139"/>
        <v>624.64304739595002</v>
      </c>
      <c r="AS1081" s="10">
        <f t="shared" si="140"/>
        <v>875.20861865359996</v>
      </c>
    </row>
    <row r="1082" spans="1:45" x14ac:dyDescent="0.3">
      <c r="A1082">
        <v>2025</v>
      </c>
      <c r="B1082">
        <v>7</v>
      </c>
      <c r="C1082" t="s">
        <v>55</v>
      </c>
      <c r="D1082">
        <v>10</v>
      </c>
      <c r="E1082" t="s">
        <v>36</v>
      </c>
      <c r="F1082" t="s">
        <v>37</v>
      </c>
      <c r="G1082" t="s">
        <v>38</v>
      </c>
      <c r="H1082" t="s">
        <v>78</v>
      </c>
      <c r="I1082" t="s">
        <v>190</v>
      </c>
      <c r="J1082" t="s">
        <v>58</v>
      </c>
      <c r="K1082" t="s">
        <v>41</v>
      </c>
      <c r="L1082" t="s">
        <v>953</v>
      </c>
      <c r="M1082" t="s">
        <v>954</v>
      </c>
      <c r="N1082" t="s">
        <v>731</v>
      </c>
      <c r="O1082" t="s">
        <v>36</v>
      </c>
      <c r="Q1082" t="s">
        <v>62</v>
      </c>
      <c r="R1082" t="s">
        <v>955</v>
      </c>
      <c r="S1082" t="s">
        <v>956</v>
      </c>
      <c r="T1082" t="s">
        <v>47</v>
      </c>
      <c r="U1082" t="s">
        <v>118</v>
      </c>
      <c r="V1082" t="s">
        <v>49</v>
      </c>
      <c r="W1082" t="s">
        <v>714</v>
      </c>
      <c r="X1082" t="s">
        <v>51</v>
      </c>
      <c r="Y1082" t="s">
        <v>492</v>
      </c>
      <c r="Z1082" t="s">
        <v>492</v>
      </c>
      <c r="AA1082" t="s">
        <v>304</v>
      </c>
      <c r="AB1082" s="3">
        <f t="shared" si="133"/>
        <v>3.0000000000000413</v>
      </c>
      <c r="AC1082">
        <v>728.5</v>
      </c>
      <c r="AD1082" s="2">
        <v>242.83333333332999</v>
      </c>
      <c r="AE1082" s="2">
        <v>284.48</v>
      </c>
      <c r="AF1082" s="2">
        <v>6.62</v>
      </c>
      <c r="AG1082" s="2">
        <v>1019.15</v>
      </c>
      <c r="AH1082">
        <v>0</v>
      </c>
      <c r="AI1082">
        <v>339.71666666666999</v>
      </c>
      <c r="AJ1082">
        <v>5.0957499999999998</v>
      </c>
      <c r="AK1082" t="s">
        <v>54</v>
      </c>
      <c r="AL1082">
        <v>9.34</v>
      </c>
      <c r="AM1082" s="4">
        <f t="shared" si="134"/>
        <v>339.71666666666198</v>
      </c>
      <c r="AN1082" s="4">
        <f t="shared" si="135"/>
        <v>455.31249999999375</v>
      </c>
      <c r="AO1082" s="4">
        <f t="shared" si="136"/>
        <v>505.85218749999302</v>
      </c>
      <c r="AP1082" s="4">
        <f t="shared" si="137"/>
        <v>737.56071874998986</v>
      </c>
      <c r="AQ1082" s="10">
        <f t="shared" si="138"/>
        <v>590.8012549999919</v>
      </c>
      <c r="AR1082" s="10">
        <f t="shared" si="139"/>
        <v>656.43927443049097</v>
      </c>
      <c r="AS1082" s="10">
        <f t="shared" si="140"/>
        <v>919.75939378398732</v>
      </c>
    </row>
    <row r="1083" spans="1:45" x14ac:dyDescent="0.3">
      <c r="A1083">
        <v>2025</v>
      </c>
      <c r="B1083">
        <v>11</v>
      </c>
      <c r="C1083" t="s">
        <v>55</v>
      </c>
      <c r="D1083">
        <v>10</v>
      </c>
      <c r="E1083" t="s">
        <v>36</v>
      </c>
      <c r="F1083" t="s">
        <v>37</v>
      </c>
      <c r="G1083" t="s">
        <v>38</v>
      </c>
      <c r="H1083" t="s">
        <v>78</v>
      </c>
      <c r="I1083" t="s">
        <v>375</v>
      </c>
      <c r="J1083" t="s">
        <v>376</v>
      </c>
      <c r="K1083" t="s">
        <v>59</v>
      </c>
      <c r="L1083" t="s">
        <v>1647</v>
      </c>
      <c r="M1083" t="s">
        <v>1633</v>
      </c>
      <c r="N1083" t="s">
        <v>1485</v>
      </c>
      <c r="O1083" t="s">
        <v>1197</v>
      </c>
      <c r="Q1083" t="s">
        <v>62</v>
      </c>
      <c r="R1083" t="s">
        <v>1648</v>
      </c>
      <c r="S1083" t="s">
        <v>1648</v>
      </c>
      <c r="T1083" t="s">
        <v>47</v>
      </c>
      <c r="U1083" t="s">
        <v>118</v>
      </c>
      <c r="V1083" t="s">
        <v>49</v>
      </c>
      <c r="W1083" t="s">
        <v>714</v>
      </c>
      <c r="X1083" t="s">
        <v>51</v>
      </c>
      <c r="Y1083" t="s">
        <v>1101</v>
      </c>
      <c r="Z1083" t="s">
        <v>1101</v>
      </c>
      <c r="AA1083" t="s">
        <v>304</v>
      </c>
      <c r="AB1083" s="3">
        <f t="shared" si="133"/>
        <v>6.0000000000000009</v>
      </c>
      <c r="AC1083">
        <v>1400.7</v>
      </c>
      <c r="AD1083" s="2">
        <v>233.45</v>
      </c>
      <c r="AE1083" s="2">
        <v>174.25</v>
      </c>
      <c r="AF1083" s="2">
        <v>9.7799999999999994</v>
      </c>
      <c r="AG1083" s="2">
        <v>1584.73</v>
      </c>
      <c r="AH1083">
        <v>0</v>
      </c>
      <c r="AI1083">
        <v>264.12166666667002</v>
      </c>
      <c r="AJ1083">
        <v>7.9236500000000003</v>
      </c>
      <c r="AK1083" t="s">
        <v>54</v>
      </c>
      <c r="AL1083">
        <v>13.4</v>
      </c>
      <c r="AM1083" s="4">
        <f t="shared" si="134"/>
        <v>264.12166666666661</v>
      </c>
      <c r="AN1083" s="4">
        <f t="shared" si="135"/>
        <v>437.71875</v>
      </c>
      <c r="AO1083" s="4">
        <f t="shared" si="136"/>
        <v>486.30553125</v>
      </c>
      <c r="AP1083" s="4">
        <f t="shared" si="137"/>
        <v>709.06060312499994</v>
      </c>
      <c r="AQ1083" s="10">
        <f t="shared" si="138"/>
        <v>459.33399049999991</v>
      </c>
      <c r="AR1083" s="10">
        <f t="shared" si="139"/>
        <v>510.3659968445499</v>
      </c>
      <c r="AS1083" s="10">
        <f t="shared" si="140"/>
        <v>715.09115641039989</v>
      </c>
    </row>
    <row r="1084" spans="1:45" x14ac:dyDescent="0.3">
      <c r="A1084">
        <v>2025</v>
      </c>
      <c r="B1084">
        <v>8</v>
      </c>
      <c r="C1084" t="s">
        <v>55</v>
      </c>
      <c r="D1084">
        <v>10</v>
      </c>
      <c r="E1084" t="s">
        <v>36</v>
      </c>
      <c r="F1084" t="s">
        <v>37</v>
      </c>
      <c r="G1084" t="s">
        <v>38</v>
      </c>
      <c r="H1084" t="s">
        <v>78</v>
      </c>
      <c r="I1084" t="s">
        <v>190</v>
      </c>
      <c r="J1084" t="s">
        <v>58</v>
      </c>
      <c r="K1084" t="s">
        <v>59</v>
      </c>
      <c r="L1084" t="s">
        <v>1194</v>
      </c>
      <c r="M1084" t="s">
        <v>1195</v>
      </c>
      <c r="N1084" t="s">
        <v>1196</v>
      </c>
      <c r="O1084" t="s">
        <v>1197</v>
      </c>
      <c r="Q1084" t="s">
        <v>62</v>
      </c>
      <c r="R1084" t="s">
        <v>1198</v>
      </c>
      <c r="S1084" t="s">
        <v>1198</v>
      </c>
      <c r="T1084" t="s">
        <v>47</v>
      </c>
      <c r="U1084" t="s">
        <v>118</v>
      </c>
      <c r="V1084" t="s">
        <v>49</v>
      </c>
      <c r="W1084" t="s">
        <v>714</v>
      </c>
      <c r="X1084" t="s">
        <v>388</v>
      </c>
      <c r="Y1084" t="s">
        <v>824</v>
      </c>
      <c r="Z1084" t="s">
        <v>824</v>
      </c>
      <c r="AA1084" t="s">
        <v>304</v>
      </c>
      <c r="AB1084" s="3">
        <f t="shared" si="133"/>
        <v>8</v>
      </c>
      <c r="AC1084">
        <v>1916.2</v>
      </c>
      <c r="AD1084" s="2">
        <v>239.52500000000001</v>
      </c>
      <c r="AE1084" s="2">
        <v>676.7</v>
      </c>
      <c r="AF1084" s="2">
        <v>25.93</v>
      </c>
      <c r="AG1084" s="2">
        <v>2618.1</v>
      </c>
      <c r="AH1084">
        <v>0</v>
      </c>
      <c r="AI1084">
        <v>327.26249999999999</v>
      </c>
      <c r="AJ1084">
        <v>13.0905</v>
      </c>
      <c r="AK1084" t="s">
        <v>54</v>
      </c>
      <c r="AL1084">
        <v>17.39</v>
      </c>
      <c r="AM1084" s="4">
        <f t="shared" si="134"/>
        <v>327.26249999999999</v>
      </c>
      <c r="AN1084" s="4">
        <f t="shared" si="135"/>
        <v>449.109375</v>
      </c>
      <c r="AO1084" s="4">
        <f t="shared" si="136"/>
        <v>498.96051562499997</v>
      </c>
      <c r="AP1084" s="4">
        <f t="shared" si="137"/>
        <v>727.51227656250001</v>
      </c>
      <c r="AQ1084" s="10">
        <f t="shared" si="138"/>
        <v>569.14221375</v>
      </c>
      <c r="AR1084" s="10">
        <f t="shared" si="139"/>
        <v>632.37391369762497</v>
      </c>
      <c r="AS1084" s="10">
        <f t="shared" si="140"/>
        <v>886.04059836599993</v>
      </c>
    </row>
    <row r="1085" spans="1:45" x14ac:dyDescent="0.3">
      <c r="A1085">
        <v>2025</v>
      </c>
      <c r="B1085">
        <v>8</v>
      </c>
      <c r="C1085" t="s">
        <v>55</v>
      </c>
      <c r="D1085">
        <v>10</v>
      </c>
      <c r="E1085" t="s">
        <v>36</v>
      </c>
      <c r="F1085" t="s">
        <v>37</v>
      </c>
      <c r="G1085" t="s">
        <v>38</v>
      </c>
      <c r="H1085" t="s">
        <v>206</v>
      </c>
      <c r="I1085" t="s">
        <v>190</v>
      </c>
      <c r="J1085" t="s">
        <v>58</v>
      </c>
      <c r="K1085" t="s">
        <v>59</v>
      </c>
      <c r="L1085" t="s">
        <v>1194</v>
      </c>
      <c r="M1085" t="s">
        <v>1195</v>
      </c>
      <c r="N1085" t="s">
        <v>1196</v>
      </c>
      <c r="O1085" t="s">
        <v>1197</v>
      </c>
      <c r="Q1085" t="s">
        <v>62</v>
      </c>
      <c r="R1085" t="s">
        <v>1198</v>
      </c>
      <c r="S1085" t="s">
        <v>1198</v>
      </c>
      <c r="T1085" t="s">
        <v>47</v>
      </c>
      <c r="U1085" t="s">
        <v>118</v>
      </c>
      <c r="V1085" t="s">
        <v>49</v>
      </c>
      <c r="W1085" t="s">
        <v>714</v>
      </c>
      <c r="X1085" t="s">
        <v>388</v>
      </c>
      <c r="Y1085" t="s">
        <v>1327</v>
      </c>
      <c r="Z1085" t="s">
        <v>1327</v>
      </c>
      <c r="AA1085" t="s">
        <v>1328</v>
      </c>
      <c r="AB1085" s="3">
        <f t="shared" si="133"/>
        <v>2</v>
      </c>
      <c r="AC1085">
        <v>582.46</v>
      </c>
      <c r="AD1085" s="2">
        <v>291.23</v>
      </c>
      <c r="AE1085" s="2">
        <v>41.74</v>
      </c>
      <c r="AF1085" s="2">
        <v>3.77</v>
      </c>
      <c r="AG1085" s="2">
        <v>627.97</v>
      </c>
      <c r="AH1085">
        <v>0</v>
      </c>
      <c r="AI1085">
        <v>313.98500000000001</v>
      </c>
      <c r="AJ1085">
        <v>3.13985</v>
      </c>
      <c r="AK1085" t="s">
        <v>54</v>
      </c>
      <c r="AL1085">
        <v>4.9000000000000004</v>
      </c>
      <c r="AM1085" s="4">
        <f t="shared" si="134"/>
        <v>313.98500000000001</v>
      </c>
      <c r="AN1085" s="4">
        <f t="shared" si="135"/>
        <v>546.05625000000009</v>
      </c>
      <c r="AO1085" s="4">
        <f t="shared" si="136"/>
        <v>606.66849375000004</v>
      </c>
      <c r="AP1085" s="4">
        <f t="shared" si="137"/>
        <v>884.55651937500011</v>
      </c>
      <c r="AQ1085" s="10">
        <f t="shared" si="138"/>
        <v>546.05131350000011</v>
      </c>
      <c r="AR1085" s="10">
        <f t="shared" si="139"/>
        <v>606.71761442985007</v>
      </c>
      <c r="AS1085" s="10">
        <f t="shared" si="140"/>
        <v>850.09268485680013</v>
      </c>
    </row>
    <row r="1086" spans="1:45" x14ac:dyDescent="0.3">
      <c r="A1086">
        <v>2025</v>
      </c>
      <c r="B1086">
        <v>8</v>
      </c>
      <c r="C1086" t="s">
        <v>55</v>
      </c>
      <c r="D1086">
        <v>10</v>
      </c>
      <c r="E1086" t="s">
        <v>36</v>
      </c>
      <c r="F1086" t="s">
        <v>37</v>
      </c>
      <c r="G1086" t="s">
        <v>38</v>
      </c>
      <c r="H1086" t="s">
        <v>206</v>
      </c>
      <c r="I1086" t="s">
        <v>190</v>
      </c>
      <c r="J1086" t="s">
        <v>58</v>
      </c>
      <c r="K1086" t="s">
        <v>59</v>
      </c>
      <c r="L1086" t="s">
        <v>1194</v>
      </c>
      <c r="M1086" t="s">
        <v>1195</v>
      </c>
      <c r="N1086" t="s">
        <v>1196</v>
      </c>
      <c r="O1086" t="s">
        <v>1197</v>
      </c>
      <c r="Q1086" t="s">
        <v>62</v>
      </c>
      <c r="R1086" t="s">
        <v>1198</v>
      </c>
      <c r="S1086" t="s">
        <v>1198</v>
      </c>
      <c r="T1086" t="s">
        <v>47</v>
      </c>
      <c r="U1086" t="s">
        <v>118</v>
      </c>
      <c r="V1086" t="s">
        <v>49</v>
      </c>
      <c r="W1086" t="s">
        <v>714</v>
      </c>
      <c r="X1086" t="s">
        <v>388</v>
      </c>
      <c r="Y1086" t="s">
        <v>1354</v>
      </c>
      <c r="Z1086" t="s">
        <v>1354</v>
      </c>
      <c r="AA1086" t="s">
        <v>1355</v>
      </c>
      <c r="AB1086" s="3">
        <f t="shared" si="133"/>
        <v>2</v>
      </c>
      <c r="AC1086">
        <v>141.9</v>
      </c>
      <c r="AD1086" s="2">
        <v>70.95</v>
      </c>
      <c r="AE1086" s="2">
        <v>10.17</v>
      </c>
      <c r="AF1086" s="2">
        <v>0.92</v>
      </c>
      <c r="AG1086" s="2">
        <v>152.99</v>
      </c>
      <c r="AH1086">
        <v>0</v>
      </c>
      <c r="AI1086">
        <v>76.495000000000005</v>
      </c>
      <c r="AJ1086">
        <v>0.76495000000000002</v>
      </c>
      <c r="AK1086" t="s">
        <v>54</v>
      </c>
      <c r="AL1086">
        <v>1.2</v>
      </c>
      <c r="AM1086" s="4">
        <f t="shared" si="134"/>
        <v>76.495000000000005</v>
      </c>
      <c r="AN1086" s="4">
        <f t="shared" si="135"/>
        <v>133.03125</v>
      </c>
      <c r="AO1086" s="4">
        <f t="shared" si="136"/>
        <v>147.79771875</v>
      </c>
      <c r="AP1086" s="4">
        <f t="shared" si="137"/>
        <v>215.49732187499998</v>
      </c>
      <c r="AQ1086" s="10">
        <f t="shared" si="138"/>
        <v>133.03245450000003</v>
      </c>
      <c r="AR1086" s="10">
        <f t="shared" si="139"/>
        <v>147.81236019495003</v>
      </c>
      <c r="AS1086" s="10">
        <f t="shared" si="140"/>
        <v>207.10492516560004</v>
      </c>
    </row>
    <row r="1087" spans="1:45" x14ac:dyDescent="0.3">
      <c r="A1087">
        <v>2025</v>
      </c>
      <c r="B1087">
        <v>8</v>
      </c>
      <c r="C1087" t="s">
        <v>55</v>
      </c>
      <c r="D1087">
        <v>10</v>
      </c>
      <c r="E1087" t="s">
        <v>36</v>
      </c>
      <c r="F1087" t="s">
        <v>37</v>
      </c>
      <c r="G1087" t="s">
        <v>38</v>
      </c>
      <c r="H1087" t="s">
        <v>206</v>
      </c>
      <c r="I1087" t="s">
        <v>190</v>
      </c>
      <c r="J1087" t="s">
        <v>58</v>
      </c>
      <c r="K1087" t="s">
        <v>59</v>
      </c>
      <c r="L1087" t="s">
        <v>1194</v>
      </c>
      <c r="M1087" t="s">
        <v>1195</v>
      </c>
      <c r="N1087" t="s">
        <v>1196</v>
      </c>
      <c r="O1087" t="s">
        <v>1197</v>
      </c>
      <c r="Q1087" t="s">
        <v>62</v>
      </c>
      <c r="R1087" t="s">
        <v>1198</v>
      </c>
      <c r="S1087" t="s">
        <v>1198</v>
      </c>
      <c r="T1087" t="s">
        <v>47</v>
      </c>
      <c r="U1087" t="s">
        <v>118</v>
      </c>
      <c r="V1087" t="s">
        <v>49</v>
      </c>
      <c r="W1087" t="s">
        <v>714</v>
      </c>
      <c r="X1087" t="s">
        <v>388</v>
      </c>
      <c r="Y1087" t="s">
        <v>1323</v>
      </c>
      <c r="Z1087" t="s">
        <v>1323</v>
      </c>
      <c r="AA1087" t="s">
        <v>1324</v>
      </c>
      <c r="AB1087" s="3">
        <f t="shared" si="133"/>
        <v>5.0000000000000009</v>
      </c>
      <c r="AC1087">
        <v>768.47</v>
      </c>
      <c r="AD1087" s="2">
        <v>153.69399999999999</v>
      </c>
      <c r="AE1087" s="2">
        <v>55.7</v>
      </c>
      <c r="AF1087" s="2">
        <v>4.97</v>
      </c>
      <c r="AG1087" s="2">
        <v>828.52</v>
      </c>
      <c r="AH1087">
        <v>0</v>
      </c>
      <c r="AI1087">
        <v>165.70400000000001</v>
      </c>
      <c r="AJ1087">
        <v>4.1425999999999998</v>
      </c>
      <c r="AK1087" t="s">
        <v>54</v>
      </c>
      <c r="AL1087">
        <v>6.47</v>
      </c>
      <c r="AM1087" s="4">
        <f t="shared" si="134"/>
        <v>165.70399999999998</v>
      </c>
      <c r="AN1087" s="4">
        <f t="shared" si="135"/>
        <v>288.17624999999998</v>
      </c>
      <c r="AO1087" s="4">
        <f t="shared" si="136"/>
        <v>320.16381374999997</v>
      </c>
      <c r="AP1087" s="4">
        <f t="shared" si="137"/>
        <v>466.81670737499996</v>
      </c>
      <c r="AQ1087" s="10">
        <f t="shared" si="138"/>
        <v>288.17582640000001</v>
      </c>
      <c r="AR1087" s="10">
        <f t="shared" si="139"/>
        <v>320.19216071303998</v>
      </c>
      <c r="AS1087" s="10">
        <f t="shared" si="140"/>
        <v>448.63212653952002</v>
      </c>
    </row>
    <row r="1088" spans="1:45" x14ac:dyDescent="0.3">
      <c r="A1088">
        <v>2025</v>
      </c>
      <c r="B1088">
        <v>8</v>
      </c>
      <c r="C1088" t="s">
        <v>55</v>
      </c>
      <c r="D1088">
        <v>10</v>
      </c>
      <c r="E1088" t="s">
        <v>36</v>
      </c>
      <c r="F1088" t="s">
        <v>37</v>
      </c>
      <c r="G1088" t="s">
        <v>38</v>
      </c>
      <c r="H1088" t="s">
        <v>206</v>
      </c>
      <c r="I1088" t="s">
        <v>190</v>
      </c>
      <c r="J1088" t="s">
        <v>58</v>
      </c>
      <c r="K1088" t="s">
        <v>59</v>
      </c>
      <c r="L1088" t="s">
        <v>1194</v>
      </c>
      <c r="M1088" t="s">
        <v>1195</v>
      </c>
      <c r="N1088" t="s">
        <v>1196</v>
      </c>
      <c r="O1088" t="s">
        <v>1197</v>
      </c>
      <c r="Q1088" t="s">
        <v>62</v>
      </c>
      <c r="R1088" t="s">
        <v>1198</v>
      </c>
      <c r="S1088" t="s">
        <v>1198</v>
      </c>
      <c r="T1088" t="s">
        <v>47</v>
      </c>
      <c r="U1088" t="s">
        <v>118</v>
      </c>
      <c r="V1088" t="s">
        <v>49</v>
      </c>
      <c r="W1088" t="s">
        <v>714</v>
      </c>
      <c r="X1088" t="s">
        <v>388</v>
      </c>
      <c r="Y1088" t="s">
        <v>1352</v>
      </c>
      <c r="Z1088" t="s">
        <v>1352</v>
      </c>
      <c r="AA1088" t="s">
        <v>1353</v>
      </c>
      <c r="AB1088" s="3">
        <f t="shared" si="133"/>
        <v>1</v>
      </c>
      <c r="AC1088">
        <v>278.87</v>
      </c>
      <c r="AD1088" s="2">
        <v>278.87</v>
      </c>
      <c r="AE1088" s="2">
        <v>19.989999999999998</v>
      </c>
      <c r="AF1088" s="2">
        <v>1.8</v>
      </c>
      <c r="AG1088" s="2">
        <v>300.66000000000003</v>
      </c>
      <c r="AH1088">
        <v>0</v>
      </c>
      <c r="AI1088">
        <v>300.66000000000003</v>
      </c>
      <c r="AJ1088">
        <v>1.5033000000000001</v>
      </c>
      <c r="AK1088" t="s">
        <v>54</v>
      </c>
      <c r="AL1088">
        <v>2.35</v>
      </c>
      <c r="AM1088" s="4">
        <f t="shared" si="134"/>
        <v>300.66000000000003</v>
      </c>
      <c r="AN1088" s="4">
        <f t="shared" si="135"/>
        <v>522.88125000000002</v>
      </c>
      <c r="AO1088" s="4">
        <f t="shared" si="136"/>
        <v>580.92106875000002</v>
      </c>
      <c r="AP1088" s="4">
        <f t="shared" si="137"/>
        <v>847.015336875</v>
      </c>
      <c r="AQ1088" s="10">
        <f t="shared" si="138"/>
        <v>522.87780600000008</v>
      </c>
      <c r="AR1088" s="10">
        <f t="shared" si="139"/>
        <v>580.96953024660013</v>
      </c>
      <c r="AS1088" s="10">
        <f t="shared" si="140"/>
        <v>814.01616838080008</v>
      </c>
    </row>
    <row r="1089" spans="1:45" x14ac:dyDescent="0.3">
      <c r="A1089">
        <v>2025</v>
      </c>
      <c r="B1089">
        <v>11</v>
      </c>
      <c r="C1089" t="s">
        <v>55</v>
      </c>
      <c r="D1089">
        <v>10</v>
      </c>
      <c r="E1089" t="s">
        <v>36</v>
      </c>
      <c r="F1089" t="s">
        <v>37</v>
      </c>
      <c r="G1089" t="s">
        <v>38</v>
      </c>
      <c r="H1089" t="s">
        <v>206</v>
      </c>
      <c r="I1089" t="s">
        <v>375</v>
      </c>
      <c r="J1089" t="s">
        <v>376</v>
      </c>
      <c r="K1089" t="s">
        <v>59</v>
      </c>
      <c r="L1089" t="s">
        <v>1647</v>
      </c>
      <c r="M1089" t="s">
        <v>1633</v>
      </c>
      <c r="N1089" t="s">
        <v>1485</v>
      </c>
      <c r="O1089" t="s">
        <v>1197</v>
      </c>
      <c r="Q1089" t="s">
        <v>62</v>
      </c>
      <c r="R1089" t="s">
        <v>1648</v>
      </c>
      <c r="S1089" t="s">
        <v>1648</v>
      </c>
      <c r="T1089" t="s">
        <v>47</v>
      </c>
      <c r="U1089" t="s">
        <v>118</v>
      </c>
      <c r="V1089" t="s">
        <v>49</v>
      </c>
      <c r="W1089" t="s">
        <v>714</v>
      </c>
      <c r="X1089" t="s">
        <v>51</v>
      </c>
      <c r="Y1089" t="s">
        <v>1343</v>
      </c>
      <c r="Z1089" t="s">
        <v>1343</v>
      </c>
      <c r="AA1089" t="s">
        <v>1344</v>
      </c>
      <c r="AB1089" s="3">
        <f t="shared" si="133"/>
        <v>1</v>
      </c>
      <c r="AC1089">
        <v>389.81</v>
      </c>
      <c r="AD1089" s="2">
        <v>389.81</v>
      </c>
      <c r="AE1089" s="2">
        <v>27.94</v>
      </c>
      <c r="AF1089" s="2">
        <v>2.52</v>
      </c>
      <c r="AG1089" s="2">
        <v>420.26</v>
      </c>
      <c r="AH1089">
        <v>0</v>
      </c>
      <c r="AI1089">
        <v>420.26</v>
      </c>
      <c r="AJ1089">
        <v>2.1013000000000002</v>
      </c>
      <c r="AK1089" t="s">
        <v>54</v>
      </c>
      <c r="AL1089">
        <v>3.28</v>
      </c>
      <c r="AM1089" s="4">
        <f t="shared" si="134"/>
        <v>420.26</v>
      </c>
      <c r="AN1089" s="4">
        <f t="shared" si="135"/>
        <v>730.89374999999995</v>
      </c>
      <c r="AO1089" s="4">
        <f t="shared" si="136"/>
        <v>812.02295624999999</v>
      </c>
      <c r="AP1089" s="4">
        <f t="shared" si="137"/>
        <v>1183.9747856249999</v>
      </c>
      <c r="AQ1089" s="10">
        <f t="shared" si="138"/>
        <v>730.87416600000006</v>
      </c>
      <c r="AR1089" s="10">
        <f t="shared" si="139"/>
        <v>812.07428584260003</v>
      </c>
      <c r="AS1089" s="10">
        <f t="shared" si="140"/>
        <v>1137.8249016288</v>
      </c>
    </row>
    <row r="1090" spans="1:45" x14ac:dyDescent="0.3">
      <c r="A1090">
        <v>2025</v>
      </c>
      <c r="B1090">
        <v>4</v>
      </c>
      <c r="C1090" t="s">
        <v>55</v>
      </c>
      <c r="D1090">
        <v>10</v>
      </c>
      <c r="E1090" t="s">
        <v>36</v>
      </c>
      <c r="F1090" t="s">
        <v>37</v>
      </c>
      <c r="G1090" t="s">
        <v>38</v>
      </c>
      <c r="H1090" t="s">
        <v>206</v>
      </c>
      <c r="I1090" t="s">
        <v>190</v>
      </c>
      <c r="J1090" t="s">
        <v>58</v>
      </c>
      <c r="K1090" t="s">
        <v>59</v>
      </c>
      <c r="M1090" t="s">
        <v>383</v>
      </c>
      <c r="N1090" t="s">
        <v>384</v>
      </c>
      <c r="O1090" t="s">
        <v>36</v>
      </c>
      <c r="Q1090" t="s">
        <v>62</v>
      </c>
      <c r="R1090" t="s">
        <v>385</v>
      </c>
      <c r="S1090" t="s">
        <v>385</v>
      </c>
      <c r="T1090" t="s">
        <v>47</v>
      </c>
      <c r="U1090" t="s">
        <v>118</v>
      </c>
      <c r="V1090" t="s">
        <v>49</v>
      </c>
      <c r="W1090" t="s">
        <v>119</v>
      </c>
      <c r="X1090" t="s">
        <v>388</v>
      </c>
      <c r="Y1090" t="s">
        <v>1717</v>
      </c>
      <c r="Z1090" t="s">
        <v>1717</v>
      </c>
      <c r="AA1090" t="s">
        <v>1718</v>
      </c>
      <c r="AB1090" s="3">
        <f t="shared" si="133"/>
        <v>1</v>
      </c>
      <c r="AC1090">
        <v>154.47</v>
      </c>
      <c r="AD1090" s="2">
        <v>154.47</v>
      </c>
      <c r="AE1090" s="2">
        <v>52.1</v>
      </c>
      <c r="AF1090" s="2">
        <v>1.22</v>
      </c>
      <c r="AG1090" s="2">
        <v>207.79</v>
      </c>
      <c r="AH1090">
        <v>0</v>
      </c>
      <c r="AI1090">
        <v>207.79</v>
      </c>
      <c r="AJ1090">
        <v>1.03895</v>
      </c>
      <c r="AK1090" t="s">
        <v>54</v>
      </c>
      <c r="AL1090">
        <v>1.34</v>
      </c>
      <c r="AM1090" s="4">
        <f t="shared" si="134"/>
        <v>207.79</v>
      </c>
      <c r="AN1090" s="4">
        <f t="shared" si="135"/>
        <v>289.63125000000002</v>
      </c>
      <c r="AO1090" s="4">
        <f t="shared" si="136"/>
        <v>321.78031875000005</v>
      </c>
      <c r="AP1090" s="4">
        <f t="shared" si="137"/>
        <v>469.17366187499999</v>
      </c>
      <c r="AQ1090" s="10">
        <f t="shared" si="138"/>
        <v>361.36758900000001</v>
      </c>
      <c r="AR1090" s="10">
        <f t="shared" si="139"/>
        <v>401.51552813789999</v>
      </c>
      <c r="AS1090" s="10">
        <f t="shared" si="140"/>
        <v>562.57706255519997</v>
      </c>
    </row>
    <row r="1091" spans="1:45" x14ac:dyDescent="0.3">
      <c r="A1091">
        <v>2025</v>
      </c>
      <c r="B1091">
        <v>7</v>
      </c>
      <c r="C1091" t="s">
        <v>55</v>
      </c>
      <c r="D1091">
        <v>10</v>
      </c>
      <c r="E1091" t="s">
        <v>36</v>
      </c>
      <c r="F1091" t="s">
        <v>37</v>
      </c>
      <c r="G1091" t="s">
        <v>38</v>
      </c>
      <c r="H1091" t="s">
        <v>206</v>
      </c>
      <c r="I1091" t="s">
        <v>190</v>
      </c>
      <c r="J1091" t="s">
        <v>58</v>
      </c>
      <c r="K1091" t="s">
        <v>41</v>
      </c>
      <c r="L1091" t="s">
        <v>953</v>
      </c>
      <c r="M1091" t="s">
        <v>954</v>
      </c>
      <c r="N1091" t="s">
        <v>731</v>
      </c>
      <c r="O1091" t="s">
        <v>36</v>
      </c>
      <c r="Q1091" t="s">
        <v>62</v>
      </c>
      <c r="R1091" t="s">
        <v>955</v>
      </c>
      <c r="S1091" t="s">
        <v>956</v>
      </c>
      <c r="T1091" t="s">
        <v>47</v>
      </c>
      <c r="U1091" t="s">
        <v>118</v>
      </c>
      <c r="V1091" t="s">
        <v>49</v>
      </c>
      <c r="W1091" t="s">
        <v>714</v>
      </c>
      <c r="X1091" t="s">
        <v>51</v>
      </c>
      <c r="Y1091" t="s">
        <v>505</v>
      </c>
      <c r="Z1091" t="s">
        <v>505</v>
      </c>
      <c r="AA1091" t="s">
        <v>506</v>
      </c>
      <c r="AB1091" s="3">
        <f t="shared" ref="AB1091:AB1154" si="141">SUM(AC1091/AD1091)</f>
        <v>1</v>
      </c>
      <c r="AC1091">
        <v>228.38</v>
      </c>
      <c r="AD1091" s="2">
        <v>228.38</v>
      </c>
      <c r="AE1091" s="2">
        <v>15.32</v>
      </c>
      <c r="AF1091" s="2">
        <v>1.54</v>
      </c>
      <c r="AG1091" s="2">
        <v>245.24</v>
      </c>
      <c r="AH1091">
        <v>0</v>
      </c>
      <c r="AI1091">
        <v>245.24</v>
      </c>
      <c r="AJ1091">
        <v>1.2262</v>
      </c>
      <c r="AK1091" t="s">
        <v>54</v>
      </c>
      <c r="AL1091">
        <v>0.78</v>
      </c>
      <c r="AM1091" s="4">
        <f t="shared" ref="AM1091:AM1154" si="142">SUM(AG1091/AB1091)</f>
        <v>245.24</v>
      </c>
      <c r="AN1091" s="4">
        <f t="shared" ref="AN1091:AN1154" si="143">SUM(AD1091*1.875)</f>
        <v>428.21249999999998</v>
      </c>
      <c r="AO1091" s="4">
        <f t="shared" si="136"/>
        <v>475.74408749999998</v>
      </c>
      <c r="AP1091" s="4">
        <f t="shared" si="137"/>
        <v>693.66142874999991</v>
      </c>
      <c r="AQ1091" s="10">
        <f t="shared" si="138"/>
        <v>426.49688400000002</v>
      </c>
      <c r="AR1091" s="10">
        <f t="shared" si="139"/>
        <v>473.88068781240003</v>
      </c>
      <c r="AS1091" s="10">
        <f t="shared" si="140"/>
        <v>663.97034901120003</v>
      </c>
    </row>
    <row r="1092" spans="1:45" x14ac:dyDescent="0.3">
      <c r="A1092">
        <v>2025</v>
      </c>
      <c r="B1092">
        <v>8</v>
      </c>
      <c r="C1092" t="s">
        <v>55</v>
      </c>
      <c r="D1092">
        <v>10</v>
      </c>
      <c r="E1092" t="s">
        <v>36</v>
      </c>
      <c r="F1092" t="s">
        <v>37</v>
      </c>
      <c r="G1092" t="s">
        <v>38</v>
      </c>
      <c r="H1092" t="s">
        <v>206</v>
      </c>
      <c r="I1092" t="s">
        <v>190</v>
      </c>
      <c r="J1092" t="s">
        <v>58</v>
      </c>
      <c r="K1092" t="s">
        <v>59</v>
      </c>
      <c r="L1092" t="s">
        <v>1194</v>
      </c>
      <c r="M1092" t="s">
        <v>1195</v>
      </c>
      <c r="N1092" t="s">
        <v>1196</v>
      </c>
      <c r="O1092" t="s">
        <v>1197</v>
      </c>
      <c r="Q1092" t="s">
        <v>62</v>
      </c>
      <c r="R1092" t="s">
        <v>1198</v>
      </c>
      <c r="S1092" t="s">
        <v>1198</v>
      </c>
      <c r="T1092" t="s">
        <v>47</v>
      </c>
      <c r="U1092" t="s">
        <v>118</v>
      </c>
      <c r="V1092" t="s">
        <v>49</v>
      </c>
      <c r="W1092" t="s">
        <v>714</v>
      </c>
      <c r="X1092" t="s">
        <v>388</v>
      </c>
      <c r="Y1092" t="s">
        <v>1082</v>
      </c>
      <c r="Z1092" t="s">
        <v>1082</v>
      </c>
      <c r="AA1092" t="s">
        <v>506</v>
      </c>
      <c r="AB1092" s="3">
        <f t="shared" si="141"/>
        <v>1</v>
      </c>
      <c r="AC1092">
        <v>189.48</v>
      </c>
      <c r="AD1092" s="2">
        <v>189.48</v>
      </c>
      <c r="AE1092" s="2">
        <v>29.4</v>
      </c>
      <c r="AF1092" s="2">
        <v>1.3</v>
      </c>
      <c r="AG1092" s="2">
        <v>219.82</v>
      </c>
      <c r="AH1092">
        <v>0</v>
      </c>
      <c r="AI1092">
        <v>219.82</v>
      </c>
      <c r="AJ1092">
        <v>1.0991</v>
      </c>
      <c r="AK1092" t="s">
        <v>54</v>
      </c>
      <c r="AL1092">
        <v>2.17</v>
      </c>
      <c r="AM1092" s="4">
        <f t="shared" si="142"/>
        <v>219.82</v>
      </c>
      <c r="AN1092" s="4">
        <f t="shared" si="143"/>
        <v>355.27499999999998</v>
      </c>
      <c r="AO1092" s="4">
        <f t="shared" ref="AO1092:AO1155" si="144">SUM(AN1092)*1.111</f>
        <v>394.71052499999996</v>
      </c>
      <c r="AP1092" s="4">
        <f t="shared" ref="AP1092:AP1155" si="145">SUM(AN1092)*1.6199</f>
        <v>575.50997249999989</v>
      </c>
      <c r="AQ1092" s="10">
        <f t="shared" si="138"/>
        <v>382.28896200000003</v>
      </c>
      <c r="AR1092" s="10">
        <f t="shared" si="139"/>
        <v>424.7612656782</v>
      </c>
      <c r="AS1092" s="10">
        <f t="shared" si="140"/>
        <v>595.14745604159998</v>
      </c>
    </row>
    <row r="1093" spans="1:45" x14ac:dyDescent="0.3">
      <c r="A1093">
        <v>2025</v>
      </c>
      <c r="B1093">
        <v>8</v>
      </c>
      <c r="C1093" t="s">
        <v>55</v>
      </c>
      <c r="D1093">
        <v>10</v>
      </c>
      <c r="E1093" t="s">
        <v>36</v>
      </c>
      <c r="F1093" t="s">
        <v>37</v>
      </c>
      <c r="G1093" t="s">
        <v>38</v>
      </c>
      <c r="H1093" t="s">
        <v>206</v>
      </c>
      <c r="I1093" t="s">
        <v>190</v>
      </c>
      <c r="J1093" t="s">
        <v>58</v>
      </c>
      <c r="K1093" t="s">
        <v>59</v>
      </c>
      <c r="L1093" t="s">
        <v>1194</v>
      </c>
      <c r="M1093" t="s">
        <v>1195</v>
      </c>
      <c r="N1093" t="s">
        <v>1196</v>
      </c>
      <c r="O1093" t="s">
        <v>1197</v>
      </c>
      <c r="Q1093" t="s">
        <v>62</v>
      </c>
      <c r="R1093" t="s">
        <v>1198</v>
      </c>
      <c r="S1093" t="s">
        <v>1198</v>
      </c>
      <c r="T1093" t="s">
        <v>47</v>
      </c>
      <c r="U1093" t="s">
        <v>118</v>
      </c>
      <c r="V1093" t="s">
        <v>49</v>
      </c>
      <c r="W1093" t="s">
        <v>714</v>
      </c>
      <c r="X1093" t="s">
        <v>388</v>
      </c>
      <c r="Y1093" t="s">
        <v>1339</v>
      </c>
      <c r="Z1093" t="s">
        <v>1339</v>
      </c>
      <c r="AA1093" t="s">
        <v>506</v>
      </c>
      <c r="AB1093" s="3">
        <f t="shared" si="141"/>
        <v>1</v>
      </c>
      <c r="AC1093">
        <v>202.9</v>
      </c>
      <c r="AD1093" s="2">
        <v>202.9</v>
      </c>
      <c r="AE1093" s="2">
        <v>14.48</v>
      </c>
      <c r="AF1093" s="2">
        <v>1.31</v>
      </c>
      <c r="AG1093" s="2">
        <v>217.88</v>
      </c>
      <c r="AH1093">
        <v>0</v>
      </c>
      <c r="AI1093">
        <v>217.88</v>
      </c>
      <c r="AJ1093">
        <v>1.0893999999999999</v>
      </c>
      <c r="AK1093" t="s">
        <v>54</v>
      </c>
      <c r="AL1093">
        <v>1.7</v>
      </c>
      <c r="AM1093" s="4">
        <f t="shared" si="142"/>
        <v>217.88</v>
      </c>
      <c r="AN1093" s="4">
        <f t="shared" si="143"/>
        <v>380.4375</v>
      </c>
      <c r="AO1093" s="4">
        <f t="shared" si="144"/>
        <v>422.66606250000001</v>
      </c>
      <c r="AP1093" s="4">
        <f t="shared" si="145"/>
        <v>616.27070624999999</v>
      </c>
      <c r="AQ1093" s="10">
        <f t="shared" si="138"/>
        <v>378.91510800000003</v>
      </c>
      <c r="AR1093" s="10">
        <f t="shared" si="139"/>
        <v>421.0125764988</v>
      </c>
      <c r="AS1093" s="10">
        <f t="shared" si="140"/>
        <v>589.89504013440001</v>
      </c>
    </row>
    <row r="1094" spans="1:45" x14ac:dyDescent="0.3">
      <c r="A1094">
        <v>2025</v>
      </c>
      <c r="B1094">
        <v>8</v>
      </c>
      <c r="C1094" t="s">
        <v>55</v>
      </c>
      <c r="D1094">
        <v>10</v>
      </c>
      <c r="E1094" t="s">
        <v>36</v>
      </c>
      <c r="F1094" t="s">
        <v>37</v>
      </c>
      <c r="G1094" t="s">
        <v>38</v>
      </c>
      <c r="H1094" t="s">
        <v>206</v>
      </c>
      <c r="I1094" t="s">
        <v>190</v>
      </c>
      <c r="J1094" t="s">
        <v>58</v>
      </c>
      <c r="K1094" t="s">
        <v>59</v>
      </c>
      <c r="L1094" t="s">
        <v>1194</v>
      </c>
      <c r="M1094" t="s">
        <v>1195</v>
      </c>
      <c r="N1094" t="s">
        <v>1196</v>
      </c>
      <c r="O1094" t="s">
        <v>1197</v>
      </c>
      <c r="Q1094" t="s">
        <v>62</v>
      </c>
      <c r="R1094" t="s">
        <v>1198</v>
      </c>
      <c r="S1094" t="s">
        <v>1198</v>
      </c>
      <c r="T1094" t="s">
        <v>47</v>
      </c>
      <c r="U1094" t="s">
        <v>118</v>
      </c>
      <c r="V1094" t="s">
        <v>49</v>
      </c>
      <c r="W1094" t="s">
        <v>714</v>
      </c>
      <c r="X1094" t="s">
        <v>388</v>
      </c>
      <c r="Y1094" t="s">
        <v>1350</v>
      </c>
      <c r="Z1094" t="s">
        <v>1350</v>
      </c>
      <c r="AA1094" t="s">
        <v>1351</v>
      </c>
      <c r="AB1094" s="3">
        <f t="shared" si="141"/>
        <v>1</v>
      </c>
      <c r="AC1094">
        <v>278.87</v>
      </c>
      <c r="AD1094" s="2">
        <v>278.87</v>
      </c>
      <c r="AE1094" s="2">
        <v>19.989999999999998</v>
      </c>
      <c r="AF1094" s="2">
        <v>1.8</v>
      </c>
      <c r="AG1094" s="2">
        <v>300.66000000000003</v>
      </c>
      <c r="AH1094">
        <v>0</v>
      </c>
      <c r="AI1094">
        <v>300.66000000000003</v>
      </c>
      <c r="AJ1094">
        <v>1.5033000000000001</v>
      </c>
      <c r="AK1094" t="s">
        <v>54</v>
      </c>
      <c r="AL1094">
        <v>2.35</v>
      </c>
      <c r="AM1094" s="4">
        <f t="shared" si="142"/>
        <v>300.66000000000003</v>
      </c>
      <c r="AN1094" s="4">
        <f t="shared" si="143"/>
        <v>522.88125000000002</v>
      </c>
      <c r="AO1094" s="4">
        <f t="shared" si="144"/>
        <v>580.92106875000002</v>
      </c>
      <c r="AP1094" s="4">
        <f t="shared" si="145"/>
        <v>847.015336875</v>
      </c>
      <c r="AQ1094" s="10">
        <f t="shared" si="138"/>
        <v>522.87780600000008</v>
      </c>
      <c r="AR1094" s="10">
        <f t="shared" si="139"/>
        <v>580.96953024660013</v>
      </c>
      <c r="AS1094" s="10">
        <f t="shared" si="140"/>
        <v>814.01616838080008</v>
      </c>
    </row>
    <row r="1095" spans="1:45" x14ac:dyDescent="0.3">
      <c r="A1095">
        <v>2025</v>
      </c>
      <c r="B1095">
        <v>7</v>
      </c>
      <c r="C1095" t="s">
        <v>55</v>
      </c>
      <c r="D1095">
        <v>10</v>
      </c>
      <c r="E1095" t="s">
        <v>36</v>
      </c>
      <c r="F1095" t="s">
        <v>37</v>
      </c>
      <c r="G1095" t="s">
        <v>38</v>
      </c>
      <c r="H1095" t="s">
        <v>206</v>
      </c>
      <c r="I1095" t="s">
        <v>190</v>
      </c>
      <c r="J1095" t="s">
        <v>58</v>
      </c>
      <c r="K1095" t="s">
        <v>41</v>
      </c>
      <c r="L1095" t="s">
        <v>953</v>
      </c>
      <c r="M1095" t="s">
        <v>954</v>
      </c>
      <c r="N1095" t="s">
        <v>731</v>
      </c>
      <c r="O1095" t="s">
        <v>36</v>
      </c>
      <c r="Q1095" t="s">
        <v>62</v>
      </c>
      <c r="R1095" t="s">
        <v>955</v>
      </c>
      <c r="S1095" t="s">
        <v>956</v>
      </c>
      <c r="T1095" t="s">
        <v>47</v>
      </c>
      <c r="U1095" t="s">
        <v>118</v>
      </c>
      <c r="V1095" t="s">
        <v>49</v>
      </c>
      <c r="W1095" t="s">
        <v>714</v>
      </c>
      <c r="X1095" t="s">
        <v>51</v>
      </c>
      <c r="Y1095" t="s">
        <v>1340</v>
      </c>
      <c r="Z1095" t="s">
        <v>1340</v>
      </c>
      <c r="AA1095" t="s">
        <v>1341</v>
      </c>
      <c r="AB1095" s="3">
        <f t="shared" si="141"/>
        <v>1</v>
      </c>
      <c r="AC1095">
        <v>389.81</v>
      </c>
      <c r="AD1095" s="2">
        <v>389.81</v>
      </c>
      <c r="AE1095" s="2">
        <v>27.94</v>
      </c>
      <c r="AF1095" s="2">
        <v>2.52</v>
      </c>
      <c r="AG1095" s="2">
        <v>420.26</v>
      </c>
      <c r="AH1095">
        <v>0</v>
      </c>
      <c r="AI1095">
        <v>420.26</v>
      </c>
      <c r="AJ1095">
        <v>2.1013000000000002</v>
      </c>
      <c r="AK1095" t="s">
        <v>54</v>
      </c>
      <c r="AL1095">
        <v>3.28</v>
      </c>
      <c r="AM1095" s="4">
        <f t="shared" si="142"/>
        <v>420.26</v>
      </c>
      <c r="AN1095" s="4">
        <f t="shared" si="143"/>
        <v>730.89374999999995</v>
      </c>
      <c r="AO1095" s="4">
        <f t="shared" si="144"/>
        <v>812.02295624999999</v>
      </c>
      <c r="AP1095" s="4">
        <f t="shared" si="145"/>
        <v>1183.9747856249999</v>
      </c>
      <c r="AQ1095" s="10">
        <f t="shared" si="138"/>
        <v>730.87416600000006</v>
      </c>
      <c r="AR1095" s="10">
        <f t="shared" si="139"/>
        <v>812.07428584260003</v>
      </c>
      <c r="AS1095" s="10">
        <f t="shared" si="140"/>
        <v>1137.8249016288</v>
      </c>
    </row>
    <row r="1096" spans="1:45" x14ac:dyDescent="0.3">
      <c r="A1096">
        <v>2025</v>
      </c>
      <c r="B1096">
        <v>4</v>
      </c>
      <c r="C1096" t="s">
        <v>55</v>
      </c>
      <c r="D1096">
        <v>10</v>
      </c>
      <c r="E1096" t="s">
        <v>36</v>
      </c>
      <c r="F1096" t="s">
        <v>37</v>
      </c>
      <c r="G1096" t="s">
        <v>38</v>
      </c>
      <c r="H1096" t="s">
        <v>206</v>
      </c>
      <c r="I1096" t="s">
        <v>190</v>
      </c>
      <c r="J1096" t="s">
        <v>58</v>
      </c>
      <c r="K1096" t="s">
        <v>59</v>
      </c>
      <c r="M1096" t="s">
        <v>383</v>
      </c>
      <c r="N1096" t="s">
        <v>384</v>
      </c>
      <c r="O1096" t="s">
        <v>36</v>
      </c>
      <c r="Q1096" t="s">
        <v>62</v>
      </c>
      <c r="R1096" t="s">
        <v>385</v>
      </c>
      <c r="S1096" t="s">
        <v>385</v>
      </c>
      <c r="T1096" t="s">
        <v>47</v>
      </c>
      <c r="U1096" t="s">
        <v>118</v>
      </c>
      <c r="V1096" t="s">
        <v>49</v>
      </c>
      <c r="W1096" t="s">
        <v>119</v>
      </c>
      <c r="X1096" t="s">
        <v>388</v>
      </c>
      <c r="Y1096" t="s">
        <v>1091</v>
      </c>
      <c r="Z1096" t="s">
        <v>1091</v>
      </c>
      <c r="AA1096" t="s">
        <v>1092</v>
      </c>
      <c r="AB1096" s="3">
        <f t="shared" si="141"/>
        <v>1</v>
      </c>
      <c r="AC1096">
        <v>139.81</v>
      </c>
      <c r="AD1096" s="2">
        <v>139.81</v>
      </c>
      <c r="AE1096" s="2">
        <v>29.4</v>
      </c>
      <c r="AF1096" s="2">
        <v>0.97</v>
      </c>
      <c r="AG1096" s="2">
        <v>169.82</v>
      </c>
      <c r="AH1096">
        <v>0</v>
      </c>
      <c r="AI1096">
        <v>169.82</v>
      </c>
      <c r="AJ1096">
        <v>0.84909999999999997</v>
      </c>
      <c r="AK1096" t="s">
        <v>54</v>
      </c>
      <c r="AL1096">
        <v>2.17</v>
      </c>
      <c r="AM1096" s="4">
        <f t="shared" si="142"/>
        <v>169.82</v>
      </c>
      <c r="AN1096" s="4">
        <f t="shared" si="143"/>
        <v>262.14375000000001</v>
      </c>
      <c r="AO1096" s="4">
        <f t="shared" si="144"/>
        <v>291.24170624999999</v>
      </c>
      <c r="AP1096" s="4">
        <f t="shared" si="145"/>
        <v>424.64666062499998</v>
      </c>
      <c r="AQ1096" s="10">
        <f t="shared" si="138"/>
        <v>295.33396199999999</v>
      </c>
      <c r="AR1096" s="10">
        <f t="shared" si="139"/>
        <v>328.1455651782</v>
      </c>
      <c r="AS1096" s="10">
        <f t="shared" si="140"/>
        <v>459.77591204159995</v>
      </c>
    </row>
    <row r="1097" spans="1:45" x14ac:dyDescent="0.3">
      <c r="A1097">
        <v>2025</v>
      </c>
      <c r="B1097">
        <v>11</v>
      </c>
      <c r="C1097" t="s">
        <v>55</v>
      </c>
      <c r="D1097">
        <v>10</v>
      </c>
      <c r="E1097" t="s">
        <v>36</v>
      </c>
      <c r="F1097" t="s">
        <v>37</v>
      </c>
      <c r="G1097" t="s">
        <v>38</v>
      </c>
      <c r="H1097" t="s">
        <v>206</v>
      </c>
      <c r="I1097" t="s">
        <v>375</v>
      </c>
      <c r="J1097" t="s">
        <v>376</v>
      </c>
      <c r="K1097" t="s">
        <v>51</v>
      </c>
      <c r="L1097" t="s">
        <v>1622</v>
      </c>
      <c r="M1097" t="s">
        <v>1623</v>
      </c>
      <c r="N1097" t="s">
        <v>1485</v>
      </c>
      <c r="O1097" t="s">
        <v>1197</v>
      </c>
      <c r="Q1097" t="s">
        <v>62</v>
      </c>
      <c r="R1097" t="s">
        <v>1624</v>
      </c>
      <c r="S1097" t="s">
        <v>1624</v>
      </c>
      <c r="T1097" t="s">
        <v>47</v>
      </c>
      <c r="U1097" t="s">
        <v>118</v>
      </c>
      <c r="V1097" t="s">
        <v>49</v>
      </c>
      <c r="W1097" t="s">
        <v>714</v>
      </c>
      <c r="X1097" t="s">
        <v>51</v>
      </c>
      <c r="Y1097" t="s">
        <v>507</v>
      </c>
      <c r="Z1097" t="s">
        <v>507</v>
      </c>
      <c r="AA1097" t="s">
        <v>508</v>
      </c>
      <c r="AB1097" s="3">
        <f t="shared" si="141"/>
        <v>1</v>
      </c>
      <c r="AC1097">
        <v>190.6</v>
      </c>
      <c r="AD1097" s="2">
        <v>190.6</v>
      </c>
      <c r="AE1097" s="2">
        <v>15.32</v>
      </c>
      <c r="AF1097" s="2">
        <v>1.28</v>
      </c>
      <c r="AG1097" s="2">
        <v>207.2</v>
      </c>
      <c r="AH1097">
        <v>0</v>
      </c>
      <c r="AI1097">
        <v>207.2</v>
      </c>
      <c r="AJ1097">
        <v>1.036</v>
      </c>
      <c r="AK1097" t="s">
        <v>54</v>
      </c>
      <c r="AL1097">
        <v>0.78</v>
      </c>
      <c r="AM1097" s="4">
        <f t="shared" si="142"/>
        <v>207.2</v>
      </c>
      <c r="AN1097" s="4">
        <f t="shared" si="143"/>
        <v>357.375</v>
      </c>
      <c r="AO1097" s="4">
        <f t="shared" si="144"/>
        <v>397.04362500000002</v>
      </c>
      <c r="AP1097" s="4">
        <f t="shared" si="145"/>
        <v>578.91176250000001</v>
      </c>
      <c r="AQ1097" s="10">
        <f t="shared" si="138"/>
        <v>360.34152</v>
      </c>
      <c r="AR1097" s="10">
        <f t="shared" si="139"/>
        <v>400.37546287200001</v>
      </c>
      <c r="AS1097" s="10">
        <f t="shared" si="140"/>
        <v>560.97967833600001</v>
      </c>
    </row>
    <row r="1098" spans="1:45" x14ac:dyDescent="0.3">
      <c r="A1098">
        <v>2025</v>
      </c>
      <c r="B1098">
        <v>12</v>
      </c>
      <c r="C1098" t="s">
        <v>55</v>
      </c>
      <c r="D1098">
        <v>10</v>
      </c>
      <c r="E1098" t="s">
        <v>36</v>
      </c>
      <c r="F1098" t="s">
        <v>37</v>
      </c>
      <c r="G1098" t="s">
        <v>38</v>
      </c>
      <c r="H1098" t="s">
        <v>206</v>
      </c>
      <c r="I1098" t="s">
        <v>57</v>
      </c>
      <c r="J1098" t="s">
        <v>58</v>
      </c>
      <c r="K1098" t="s">
        <v>59</v>
      </c>
      <c r="L1098" t="s">
        <v>1769</v>
      </c>
      <c r="M1098" t="s">
        <v>1770</v>
      </c>
      <c r="N1098" t="s">
        <v>1771</v>
      </c>
      <c r="O1098" t="s">
        <v>1197</v>
      </c>
      <c r="Q1098" t="s">
        <v>62</v>
      </c>
      <c r="R1098" t="s">
        <v>1772</v>
      </c>
      <c r="S1098" t="s">
        <v>1772</v>
      </c>
      <c r="T1098" t="s">
        <v>47</v>
      </c>
      <c r="U1098" t="s">
        <v>118</v>
      </c>
      <c r="V1098" t="s">
        <v>49</v>
      </c>
      <c r="W1098" t="s">
        <v>714</v>
      </c>
      <c r="X1098" t="s">
        <v>51</v>
      </c>
      <c r="Y1098" t="s">
        <v>1349</v>
      </c>
      <c r="Z1098" t="s">
        <v>1349</v>
      </c>
      <c r="AA1098" t="s">
        <v>1698</v>
      </c>
      <c r="AB1098" s="3">
        <f t="shared" si="141"/>
        <v>1</v>
      </c>
      <c r="AC1098">
        <v>339.89</v>
      </c>
      <c r="AD1098" s="2">
        <v>339.89</v>
      </c>
      <c r="AE1098" s="2">
        <v>47.59</v>
      </c>
      <c r="AF1098" s="2">
        <v>2.35</v>
      </c>
      <c r="AG1098" s="2">
        <v>389.84</v>
      </c>
      <c r="AH1098">
        <v>0</v>
      </c>
      <c r="AI1098">
        <v>389.84</v>
      </c>
      <c r="AJ1098">
        <v>1.9492</v>
      </c>
      <c r="AK1098" t="s">
        <v>54</v>
      </c>
      <c r="AL1098">
        <v>1.79</v>
      </c>
      <c r="AM1098" s="4">
        <f t="shared" si="142"/>
        <v>389.84</v>
      </c>
      <c r="AN1098" s="4">
        <f t="shared" si="143"/>
        <v>637.29374999999993</v>
      </c>
      <c r="AO1098" s="4">
        <f t="shared" si="144"/>
        <v>708.03335624999988</v>
      </c>
      <c r="AP1098" s="4">
        <f t="shared" si="145"/>
        <v>1032.3521456249998</v>
      </c>
      <c r="AQ1098" s="10">
        <f t="shared" si="138"/>
        <v>677.97074399999997</v>
      </c>
      <c r="AR1098" s="10">
        <f t="shared" si="139"/>
        <v>753.29329365839999</v>
      </c>
      <c r="AS1098" s="10">
        <f t="shared" si="140"/>
        <v>1055.4648542591999</v>
      </c>
    </row>
    <row r="1099" spans="1:45" x14ac:dyDescent="0.3">
      <c r="A1099">
        <v>2025</v>
      </c>
      <c r="B1099">
        <v>12</v>
      </c>
      <c r="C1099" t="s">
        <v>55</v>
      </c>
      <c r="D1099">
        <v>10</v>
      </c>
      <c r="E1099" t="s">
        <v>36</v>
      </c>
      <c r="F1099" t="s">
        <v>37</v>
      </c>
      <c r="G1099" t="s">
        <v>38</v>
      </c>
      <c r="H1099" t="s">
        <v>206</v>
      </c>
      <c r="I1099" t="s">
        <v>57</v>
      </c>
      <c r="J1099" t="s">
        <v>58</v>
      </c>
      <c r="K1099" t="s">
        <v>59</v>
      </c>
      <c r="L1099" t="s">
        <v>1769</v>
      </c>
      <c r="M1099" t="s">
        <v>1770</v>
      </c>
      <c r="N1099" t="s">
        <v>1771</v>
      </c>
      <c r="O1099" t="s">
        <v>1197</v>
      </c>
      <c r="Q1099" t="s">
        <v>62</v>
      </c>
      <c r="R1099" t="s">
        <v>1772</v>
      </c>
      <c r="S1099" t="s">
        <v>1772</v>
      </c>
      <c r="T1099" t="s">
        <v>47</v>
      </c>
      <c r="U1099" t="s">
        <v>118</v>
      </c>
      <c r="V1099" t="s">
        <v>49</v>
      </c>
      <c r="W1099" t="s">
        <v>714</v>
      </c>
      <c r="X1099" t="s">
        <v>51</v>
      </c>
      <c r="Y1099" t="s">
        <v>1872</v>
      </c>
      <c r="Z1099" t="s">
        <v>1872</v>
      </c>
      <c r="AA1099" t="s">
        <v>1698</v>
      </c>
      <c r="AB1099" s="3">
        <f t="shared" si="141"/>
        <v>1</v>
      </c>
      <c r="AC1099">
        <v>356.45</v>
      </c>
      <c r="AD1099" s="2">
        <v>356.45</v>
      </c>
      <c r="AE1099" s="2">
        <v>105.82</v>
      </c>
      <c r="AF1099" s="2">
        <v>2.68</v>
      </c>
      <c r="AG1099" s="2">
        <v>464.94</v>
      </c>
      <c r="AH1099">
        <v>0</v>
      </c>
      <c r="AI1099">
        <v>464.94</v>
      </c>
      <c r="AJ1099">
        <v>2.3247</v>
      </c>
      <c r="AK1099" t="s">
        <v>54</v>
      </c>
      <c r="AL1099">
        <v>2.65</v>
      </c>
      <c r="AM1099" s="4">
        <f t="shared" si="142"/>
        <v>464.94</v>
      </c>
      <c r="AN1099" s="4">
        <f t="shared" si="143"/>
        <v>668.34375</v>
      </c>
      <c r="AO1099" s="4">
        <f t="shared" si="144"/>
        <v>742.52990624999995</v>
      </c>
      <c r="AP1099" s="4">
        <f t="shared" si="145"/>
        <v>1082.650040625</v>
      </c>
      <c r="AQ1099" s="10">
        <f t="shared" si="138"/>
        <v>808.57715400000006</v>
      </c>
      <c r="AR1099" s="10">
        <f t="shared" si="139"/>
        <v>898.41007580940004</v>
      </c>
      <c r="AS1099" s="10">
        <f t="shared" si="140"/>
        <v>1258.7929133472001</v>
      </c>
    </row>
    <row r="1100" spans="1:45" x14ac:dyDescent="0.3">
      <c r="A1100">
        <v>2025</v>
      </c>
      <c r="B1100">
        <v>10</v>
      </c>
      <c r="C1100" t="s">
        <v>55</v>
      </c>
      <c r="D1100">
        <v>10</v>
      </c>
      <c r="E1100" t="s">
        <v>36</v>
      </c>
      <c r="F1100" t="s">
        <v>37</v>
      </c>
      <c r="G1100" t="s">
        <v>38</v>
      </c>
      <c r="H1100" t="s">
        <v>206</v>
      </c>
      <c r="I1100" t="s">
        <v>375</v>
      </c>
      <c r="J1100" t="s">
        <v>376</v>
      </c>
      <c r="K1100" t="s">
        <v>59</v>
      </c>
      <c r="L1100" t="s">
        <v>1549</v>
      </c>
      <c r="M1100" t="s">
        <v>1550</v>
      </c>
      <c r="N1100" t="s">
        <v>1551</v>
      </c>
      <c r="O1100" t="s">
        <v>1197</v>
      </c>
      <c r="Q1100" t="s">
        <v>62</v>
      </c>
      <c r="R1100" t="s">
        <v>1552</v>
      </c>
      <c r="S1100" t="s">
        <v>1552</v>
      </c>
      <c r="T1100" t="s">
        <v>47</v>
      </c>
      <c r="U1100" t="s">
        <v>118</v>
      </c>
      <c r="V1100" t="s">
        <v>49</v>
      </c>
      <c r="W1100" t="s">
        <v>714</v>
      </c>
      <c r="X1100" t="s">
        <v>51</v>
      </c>
      <c r="Y1100" t="s">
        <v>1867</v>
      </c>
      <c r="Z1100" t="s">
        <v>1867</v>
      </c>
      <c r="AA1100" t="s">
        <v>1868</v>
      </c>
      <c r="AB1100" s="3">
        <f t="shared" si="141"/>
        <v>1</v>
      </c>
      <c r="AC1100">
        <v>441.81</v>
      </c>
      <c r="AD1100" s="2">
        <v>441.81</v>
      </c>
      <c r="AE1100" s="2">
        <v>131.16</v>
      </c>
      <c r="AF1100" s="2">
        <v>3.32</v>
      </c>
      <c r="AG1100" s="2">
        <v>576.28</v>
      </c>
      <c r="AH1100">
        <v>0</v>
      </c>
      <c r="AI1100">
        <v>576.28</v>
      </c>
      <c r="AJ1100">
        <v>2.8814000000000002</v>
      </c>
      <c r="AK1100" t="s">
        <v>54</v>
      </c>
      <c r="AL1100">
        <v>3.28</v>
      </c>
      <c r="AM1100" s="4">
        <f t="shared" si="142"/>
        <v>576.28</v>
      </c>
      <c r="AN1100" s="4">
        <f t="shared" si="143"/>
        <v>828.39374999999995</v>
      </c>
      <c r="AO1100" s="4">
        <f t="shared" si="144"/>
        <v>920.34545624999998</v>
      </c>
      <c r="AP1100" s="4">
        <f t="shared" si="145"/>
        <v>1341.9150356249997</v>
      </c>
      <c r="AQ1100" s="10">
        <f t="shared" si="138"/>
        <v>1002.208548</v>
      </c>
      <c r="AR1100" s="10">
        <f t="shared" si="139"/>
        <v>1113.5539176827999</v>
      </c>
      <c r="AS1100" s="10">
        <f t="shared" si="140"/>
        <v>1560.2382675263998</v>
      </c>
    </row>
    <row r="1101" spans="1:45" x14ac:dyDescent="0.3">
      <c r="A1101">
        <v>2025</v>
      </c>
      <c r="B1101">
        <v>8</v>
      </c>
      <c r="C1101" t="s">
        <v>55</v>
      </c>
      <c r="D1101">
        <v>10</v>
      </c>
      <c r="E1101" t="s">
        <v>36</v>
      </c>
      <c r="F1101" t="s">
        <v>37</v>
      </c>
      <c r="G1101" t="s">
        <v>38</v>
      </c>
      <c r="H1101" t="s">
        <v>206</v>
      </c>
      <c r="I1101" t="s">
        <v>190</v>
      </c>
      <c r="J1101" t="s">
        <v>58</v>
      </c>
      <c r="K1101" t="s">
        <v>59</v>
      </c>
      <c r="L1101" t="s">
        <v>1194</v>
      </c>
      <c r="M1101" t="s">
        <v>1195</v>
      </c>
      <c r="N1101" t="s">
        <v>1196</v>
      </c>
      <c r="O1101" t="s">
        <v>1197</v>
      </c>
      <c r="Q1101" t="s">
        <v>62</v>
      </c>
      <c r="R1101" t="s">
        <v>1198</v>
      </c>
      <c r="S1101" t="s">
        <v>1198</v>
      </c>
      <c r="T1101" t="s">
        <v>47</v>
      </c>
      <c r="U1101" t="s">
        <v>118</v>
      </c>
      <c r="V1101" t="s">
        <v>49</v>
      </c>
      <c r="W1101" t="s">
        <v>714</v>
      </c>
      <c r="X1101" t="s">
        <v>388</v>
      </c>
      <c r="Y1101" t="s">
        <v>1584</v>
      </c>
      <c r="Z1101" t="s">
        <v>1584</v>
      </c>
      <c r="AA1101" t="s">
        <v>1585</v>
      </c>
      <c r="AB1101" s="3">
        <f t="shared" si="141"/>
        <v>2</v>
      </c>
      <c r="AC1101">
        <v>1157.9100000000001</v>
      </c>
      <c r="AD1101" s="2">
        <v>578.95500000000004</v>
      </c>
      <c r="AE1101" s="2">
        <v>529.27</v>
      </c>
      <c r="AF1101" s="2">
        <v>10.33</v>
      </c>
      <c r="AG1101" s="2">
        <v>1697.5</v>
      </c>
      <c r="AH1101">
        <v>0</v>
      </c>
      <c r="AI1101">
        <v>848.75</v>
      </c>
      <c r="AJ1101">
        <v>8.4875000000000007</v>
      </c>
      <c r="AK1101" t="s">
        <v>54</v>
      </c>
      <c r="AL1101">
        <v>23.97</v>
      </c>
      <c r="AM1101" s="4">
        <f t="shared" si="142"/>
        <v>848.75</v>
      </c>
      <c r="AN1101" s="4">
        <f t="shared" si="143"/>
        <v>1085.5406250000001</v>
      </c>
      <c r="AO1101" s="4">
        <f t="shared" si="144"/>
        <v>1206.0356343750002</v>
      </c>
      <c r="AP1101" s="4">
        <f t="shared" si="145"/>
        <v>1758.4672584375</v>
      </c>
      <c r="AQ1101" s="10">
        <f t="shared" si="138"/>
        <v>1476.0611250000002</v>
      </c>
      <c r="AR1101" s="10">
        <f t="shared" si="139"/>
        <v>1640.0515159875001</v>
      </c>
      <c r="AS1101" s="10">
        <f t="shared" si="140"/>
        <v>2297.9319594000003</v>
      </c>
    </row>
    <row r="1102" spans="1:45" x14ac:dyDescent="0.3">
      <c r="A1102">
        <v>2025</v>
      </c>
      <c r="B1102">
        <v>11</v>
      </c>
      <c r="C1102" t="s">
        <v>55</v>
      </c>
      <c r="D1102">
        <v>10</v>
      </c>
      <c r="E1102" t="s">
        <v>36</v>
      </c>
      <c r="F1102" t="s">
        <v>37</v>
      </c>
      <c r="G1102" t="s">
        <v>38</v>
      </c>
      <c r="H1102" t="s">
        <v>206</v>
      </c>
      <c r="I1102" t="s">
        <v>375</v>
      </c>
      <c r="J1102" t="s">
        <v>376</v>
      </c>
      <c r="K1102" t="s">
        <v>51</v>
      </c>
      <c r="L1102" t="s">
        <v>1622</v>
      </c>
      <c r="M1102" t="s">
        <v>1623</v>
      </c>
      <c r="N1102" t="s">
        <v>1485</v>
      </c>
      <c r="O1102" t="s">
        <v>1197</v>
      </c>
      <c r="Q1102" t="s">
        <v>62</v>
      </c>
      <c r="R1102" t="s">
        <v>1624</v>
      </c>
      <c r="S1102" t="s">
        <v>1624</v>
      </c>
      <c r="T1102" t="s">
        <v>47</v>
      </c>
      <c r="U1102" t="s">
        <v>118</v>
      </c>
      <c r="V1102" t="s">
        <v>49</v>
      </c>
      <c r="W1102" t="s">
        <v>714</v>
      </c>
      <c r="X1102" t="s">
        <v>51</v>
      </c>
      <c r="Y1102" t="s">
        <v>1331</v>
      </c>
      <c r="Z1102" t="s">
        <v>1331</v>
      </c>
      <c r="AA1102" t="s">
        <v>1332</v>
      </c>
      <c r="AB1102" s="3">
        <f t="shared" si="141"/>
        <v>1</v>
      </c>
      <c r="AC1102">
        <v>682.16</v>
      </c>
      <c r="AD1102" s="2">
        <v>682.16</v>
      </c>
      <c r="AE1102" s="2">
        <v>48.89</v>
      </c>
      <c r="AF1102" s="2">
        <v>4.41</v>
      </c>
      <c r="AG1102" s="2">
        <v>735.46</v>
      </c>
      <c r="AH1102">
        <v>0</v>
      </c>
      <c r="AI1102">
        <v>735.46</v>
      </c>
      <c r="AJ1102">
        <v>3.6772999999999998</v>
      </c>
      <c r="AK1102" t="s">
        <v>54</v>
      </c>
      <c r="AL1102">
        <v>5.74</v>
      </c>
      <c r="AM1102" s="4">
        <f t="shared" si="142"/>
        <v>735.46</v>
      </c>
      <c r="AN1102" s="4">
        <f t="shared" si="143"/>
        <v>1279.05</v>
      </c>
      <c r="AO1102" s="4">
        <f t="shared" si="144"/>
        <v>1421.0245499999999</v>
      </c>
      <c r="AP1102" s="4">
        <f t="shared" si="145"/>
        <v>2071.9330949999999</v>
      </c>
      <c r="AQ1102" s="10">
        <f t="shared" si="138"/>
        <v>1279.0384860000001</v>
      </c>
      <c r="AR1102" s="10">
        <f t="shared" si="139"/>
        <v>1421.1396617946002</v>
      </c>
      <c r="AS1102" s="10">
        <f t="shared" si="140"/>
        <v>1991.2071150048002</v>
      </c>
    </row>
    <row r="1103" spans="1:45" x14ac:dyDescent="0.3">
      <c r="A1103">
        <v>2025</v>
      </c>
      <c r="B1103">
        <v>12</v>
      </c>
      <c r="C1103" t="s">
        <v>55</v>
      </c>
      <c r="D1103">
        <v>10</v>
      </c>
      <c r="E1103" t="s">
        <v>36</v>
      </c>
      <c r="F1103" t="s">
        <v>37</v>
      </c>
      <c r="G1103" t="s">
        <v>38</v>
      </c>
      <c r="H1103" t="s">
        <v>206</v>
      </c>
      <c r="I1103" t="s">
        <v>57</v>
      </c>
      <c r="J1103" t="s">
        <v>58</v>
      </c>
      <c r="K1103" t="s">
        <v>59</v>
      </c>
      <c r="L1103" t="s">
        <v>1769</v>
      </c>
      <c r="M1103" t="s">
        <v>1770</v>
      </c>
      <c r="N1103" t="s">
        <v>1771</v>
      </c>
      <c r="O1103" t="s">
        <v>1197</v>
      </c>
      <c r="Q1103" t="s">
        <v>62</v>
      </c>
      <c r="R1103" t="s">
        <v>1772</v>
      </c>
      <c r="S1103" t="s">
        <v>1772</v>
      </c>
      <c r="T1103" t="s">
        <v>47</v>
      </c>
      <c r="U1103" t="s">
        <v>118</v>
      </c>
      <c r="V1103" t="s">
        <v>49</v>
      </c>
      <c r="W1103" t="s">
        <v>714</v>
      </c>
      <c r="X1103" t="s">
        <v>51</v>
      </c>
      <c r="Y1103" t="s">
        <v>1349</v>
      </c>
      <c r="Z1103" t="s">
        <v>1349</v>
      </c>
      <c r="AA1103" t="s">
        <v>1699</v>
      </c>
      <c r="AB1103" s="3">
        <f t="shared" si="141"/>
        <v>1</v>
      </c>
      <c r="AC1103">
        <v>950.1</v>
      </c>
      <c r="AD1103" s="2">
        <v>950.1</v>
      </c>
      <c r="AE1103" s="2">
        <v>133.4</v>
      </c>
      <c r="AF1103" s="2">
        <v>6.58</v>
      </c>
      <c r="AG1103" s="2">
        <v>1089.72</v>
      </c>
      <c r="AH1103">
        <v>0</v>
      </c>
      <c r="AI1103">
        <v>1089.72</v>
      </c>
      <c r="AJ1103">
        <v>5.4485999999999999</v>
      </c>
      <c r="AK1103" t="s">
        <v>54</v>
      </c>
      <c r="AL1103">
        <v>5</v>
      </c>
      <c r="AM1103" s="4">
        <f t="shared" si="142"/>
        <v>1089.72</v>
      </c>
      <c r="AN1103" s="4">
        <f t="shared" si="143"/>
        <v>1781.4375</v>
      </c>
      <c r="AO1103" s="4">
        <f t="shared" si="144"/>
        <v>1979.1770624999999</v>
      </c>
      <c r="AP1103" s="4">
        <f t="shared" si="145"/>
        <v>2885.7506062499997</v>
      </c>
      <c r="AQ1103" s="10">
        <f t="shared" si="138"/>
        <v>1895.1320520000002</v>
      </c>
      <c r="AR1103" s="10">
        <f t="shared" si="139"/>
        <v>2105.6812229771999</v>
      </c>
      <c r="AS1103" s="10">
        <f t="shared" si="140"/>
        <v>2950.3415785536004</v>
      </c>
    </row>
    <row r="1104" spans="1:45" x14ac:dyDescent="0.3">
      <c r="A1104">
        <v>2025</v>
      </c>
      <c r="B1104">
        <v>11</v>
      </c>
      <c r="C1104" t="s">
        <v>55</v>
      </c>
      <c r="D1104">
        <v>10</v>
      </c>
      <c r="E1104" t="s">
        <v>36</v>
      </c>
      <c r="F1104" t="s">
        <v>37</v>
      </c>
      <c r="G1104" t="s">
        <v>38</v>
      </c>
      <c r="H1104" t="s">
        <v>206</v>
      </c>
      <c r="I1104" t="s">
        <v>375</v>
      </c>
      <c r="J1104" t="s">
        <v>376</v>
      </c>
      <c r="K1104" t="s">
        <v>59</v>
      </c>
      <c r="L1104" t="s">
        <v>1647</v>
      </c>
      <c r="M1104" t="s">
        <v>1633</v>
      </c>
      <c r="N1104" t="s">
        <v>1485</v>
      </c>
      <c r="O1104" t="s">
        <v>1197</v>
      </c>
      <c r="Q1104" t="s">
        <v>62</v>
      </c>
      <c r="R1104" t="s">
        <v>1648</v>
      </c>
      <c r="S1104" t="s">
        <v>1648</v>
      </c>
      <c r="T1104" t="s">
        <v>47</v>
      </c>
      <c r="U1104" t="s">
        <v>118</v>
      </c>
      <c r="V1104" t="s">
        <v>49</v>
      </c>
      <c r="W1104" t="s">
        <v>714</v>
      </c>
      <c r="X1104" t="s">
        <v>51</v>
      </c>
      <c r="Y1104" t="s">
        <v>1862</v>
      </c>
      <c r="Z1104" t="s">
        <v>1862</v>
      </c>
      <c r="AA1104" t="s">
        <v>1863</v>
      </c>
      <c r="AB1104" s="3">
        <f t="shared" si="141"/>
        <v>2</v>
      </c>
      <c r="AC1104">
        <v>309.82</v>
      </c>
      <c r="AD1104" s="2">
        <v>154.91</v>
      </c>
      <c r="AE1104" s="2">
        <v>91.97</v>
      </c>
      <c r="AF1104" s="2">
        <v>2.33</v>
      </c>
      <c r="AG1104" s="2">
        <v>404.12</v>
      </c>
      <c r="AH1104">
        <v>0</v>
      </c>
      <c r="AI1104">
        <v>202.06</v>
      </c>
      <c r="AJ1104">
        <v>2.0206</v>
      </c>
      <c r="AK1104" t="s">
        <v>54</v>
      </c>
      <c r="AL1104">
        <v>2.2999999999999998</v>
      </c>
      <c r="AM1104" s="4">
        <f t="shared" si="142"/>
        <v>202.06</v>
      </c>
      <c r="AN1104" s="4">
        <f t="shared" si="143"/>
        <v>290.45625000000001</v>
      </c>
      <c r="AO1104" s="4">
        <f t="shared" si="144"/>
        <v>322.69689375000002</v>
      </c>
      <c r="AP1104" s="4">
        <f t="shared" si="145"/>
        <v>470.51007937499998</v>
      </c>
      <c r="AQ1104" s="10">
        <f t="shared" si="138"/>
        <v>351.40254600000003</v>
      </c>
      <c r="AR1104" s="10">
        <f t="shared" si="139"/>
        <v>390.4433688606</v>
      </c>
      <c r="AS1104" s="10">
        <f t="shared" si="140"/>
        <v>547.06348361280004</v>
      </c>
    </row>
    <row r="1105" spans="1:45" x14ac:dyDescent="0.3">
      <c r="A1105">
        <v>2025</v>
      </c>
      <c r="B1105">
        <v>7</v>
      </c>
      <c r="C1105" t="s">
        <v>55</v>
      </c>
      <c r="D1105">
        <v>10</v>
      </c>
      <c r="E1105" t="s">
        <v>36</v>
      </c>
      <c r="F1105" t="s">
        <v>37</v>
      </c>
      <c r="G1105" t="s">
        <v>38</v>
      </c>
      <c r="H1105" t="s">
        <v>206</v>
      </c>
      <c r="I1105" t="s">
        <v>190</v>
      </c>
      <c r="J1105" t="s">
        <v>58</v>
      </c>
      <c r="K1105" t="s">
        <v>41</v>
      </c>
      <c r="L1105" t="s">
        <v>953</v>
      </c>
      <c r="M1105" t="s">
        <v>954</v>
      </c>
      <c r="N1105" t="s">
        <v>731</v>
      </c>
      <c r="O1105" t="s">
        <v>36</v>
      </c>
      <c r="Q1105" t="s">
        <v>62</v>
      </c>
      <c r="R1105" t="s">
        <v>955</v>
      </c>
      <c r="S1105" t="s">
        <v>956</v>
      </c>
      <c r="T1105" t="s">
        <v>47</v>
      </c>
      <c r="U1105" t="s">
        <v>118</v>
      </c>
      <c r="V1105" t="s">
        <v>49</v>
      </c>
      <c r="W1105" t="s">
        <v>714</v>
      </c>
      <c r="X1105" t="s">
        <v>51</v>
      </c>
      <c r="Y1105" t="s">
        <v>1713</v>
      </c>
      <c r="Z1105" t="s">
        <v>1713</v>
      </c>
      <c r="AA1105" t="s">
        <v>1714</v>
      </c>
      <c r="AB1105" s="3">
        <f t="shared" si="141"/>
        <v>1</v>
      </c>
      <c r="AC1105">
        <v>43.1</v>
      </c>
      <c r="AD1105" s="2">
        <v>43.1</v>
      </c>
      <c r="AE1105" s="2">
        <v>14.38</v>
      </c>
      <c r="AF1105" s="2">
        <v>0.34</v>
      </c>
      <c r="AG1105" s="2">
        <v>57.73</v>
      </c>
      <c r="AH1105">
        <v>0</v>
      </c>
      <c r="AI1105">
        <v>57.73</v>
      </c>
      <c r="AJ1105">
        <v>0.28865000000000002</v>
      </c>
      <c r="AK1105" t="s">
        <v>54</v>
      </c>
      <c r="AL1105">
        <v>0.37</v>
      </c>
      <c r="AM1105" s="4">
        <f t="shared" si="142"/>
        <v>57.73</v>
      </c>
      <c r="AN1105" s="4">
        <f t="shared" si="143"/>
        <v>80.8125</v>
      </c>
      <c r="AO1105" s="4">
        <f t="shared" si="144"/>
        <v>89.782687499999994</v>
      </c>
      <c r="AP1105" s="4">
        <f t="shared" si="145"/>
        <v>130.90816874999999</v>
      </c>
      <c r="AQ1105" s="10">
        <f t="shared" si="138"/>
        <v>100.39824299999999</v>
      </c>
      <c r="AR1105" s="10">
        <f t="shared" si="139"/>
        <v>111.55248779729999</v>
      </c>
      <c r="AS1105" s="10">
        <f t="shared" si="140"/>
        <v>156.2999847024</v>
      </c>
    </row>
    <row r="1106" spans="1:45" x14ac:dyDescent="0.3">
      <c r="A1106">
        <v>2025</v>
      </c>
      <c r="B1106">
        <v>11</v>
      </c>
      <c r="C1106" t="s">
        <v>55</v>
      </c>
      <c r="D1106">
        <v>10</v>
      </c>
      <c r="E1106" t="s">
        <v>36</v>
      </c>
      <c r="F1106" t="s">
        <v>37</v>
      </c>
      <c r="G1106" t="s">
        <v>38</v>
      </c>
      <c r="H1106" t="s">
        <v>206</v>
      </c>
      <c r="I1106" t="s">
        <v>375</v>
      </c>
      <c r="J1106" t="s">
        <v>376</v>
      </c>
      <c r="K1106" t="s">
        <v>59</v>
      </c>
      <c r="L1106" t="s">
        <v>1647</v>
      </c>
      <c r="M1106" t="s">
        <v>1633</v>
      </c>
      <c r="N1106" t="s">
        <v>1485</v>
      </c>
      <c r="O1106" t="s">
        <v>1197</v>
      </c>
      <c r="Q1106" t="s">
        <v>62</v>
      </c>
      <c r="R1106" t="s">
        <v>1648</v>
      </c>
      <c r="S1106" t="s">
        <v>1648</v>
      </c>
      <c r="T1106" t="s">
        <v>47</v>
      </c>
      <c r="U1106" t="s">
        <v>118</v>
      </c>
      <c r="V1106" t="s">
        <v>49</v>
      </c>
      <c r="W1106" t="s">
        <v>714</v>
      </c>
      <c r="X1106" t="s">
        <v>51</v>
      </c>
      <c r="Y1106" t="s">
        <v>1089</v>
      </c>
      <c r="Z1106" t="s">
        <v>1089</v>
      </c>
      <c r="AA1106" t="s">
        <v>1090</v>
      </c>
      <c r="AB1106" s="3">
        <f t="shared" si="141"/>
        <v>1</v>
      </c>
      <c r="AC1106">
        <v>81.400000000000006</v>
      </c>
      <c r="AD1106" s="2">
        <v>81.400000000000006</v>
      </c>
      <c r="AE1106" s="2">
        <v>29.4</v>
      </c>
      <c r="AF1106" s="2">
        <v>0.55000000000000004</v>
      </c>
      <c r="AG1106" s="2">
        <v>110.99</v>
      </c>
      <c r="AH1106">
        <v>0</v>
      </c>
      <c r="AI1106">
        <v>110.99</v>
      </c>
      <c r="AJ1106">
        <v>0.55495000000000005</v>
      </c>
      <c r="AK1106" t="s">
        <v>54</v>
      </c>
      <c r="AL1106">
        <v>2.17</v>
      </c>
      <c r="AM1106" s="4">
        <f t="shared" si="142"/>
        <v>110.99</v>
      </c>
      <c r="AN1106" s="4">
        <f t="shared" si="143"/>
        <v>152.625</v>
      </c>
      <c r="AO1106" s="4">
        <f t="shared" si="144"/>
        <v>169.56637499999999</v>
      </c>
      <c r="AP1106" s="4">
        <f t="shared" si="145"/>
        <v>247.23723749999999</v>
      </c>
      <c r="AQ1106" s="10">
        <f t="shared" si="138"/>
        <v>193.02270899999999</v>
      </c>
      <c r="AR1106" s="10">
        <f t="shared" si="139"/>
        <v>214.46753196989999</v>
      </c>
      <c r="AS1106" s="10">
        <f t="shared" si="140"/>
        <v>300.49775337119996</v>
      </c>
    </row>
    <row r="1107" spans="1:45" x14ac:dyDescent="0.3">
      <c r="A1107">
        <v>2025</v>
      </c>
      <c r="B1107">
        <v>4</v>
      </c>
      <c r="C1107" t="s">
        <v>55</v>
      </c>
      <c r="D1107">
        <v>10</v>
      </c>
      <c r="E1107" t="s">
        <v>36</v>
      </c>
      <c r="F1107" t="s">
        <v>37</v>
      </c>
      <c r="G1107" t="s">
        <v>38</v>
      </c>
      <c r="H1107" t="s">
        <v>206</v>
      </c>
      <c r="I1107" t="s">
        <v>190</v>
      </c>
      <c r="J1107" t="s">
        <v>58</v>
      </c>
      <c r="K1107" t="s">
        <v>59</v>
      </c>
      <c r="M1107" t="s">
        <v>383</v>
      </c>
      <c r="N1107" t="s">
        <v>384</v>
      </c>
      <c r="O1107" t="s">
        <v>36</v>
      </c>
      <c r="Q1107" t="s">
        <v>62</v>
      </c>
      <c r="R1107" t="s">
        <v>385</v>
      </c>
      <c r="S1107" t="s">
        <v>385</v>
      </c>
      <c r="T1107" t="s">
        <v>47</v>
      </c>
      <c r="U1107" t="s">
        <v>118</v>
      </c>
      <c r="V1107" t="s">
        <v>49</v>
      </c>
      <c r="W1107" t="s">
        <v>119</v>
      </c>
      <c r="X1107" t="s">
        <v>388</v>
      </c>
      <c r="Y1107" t="s">
        <v>1715</v>
      </c>
      <c r="Z1107" t="s">
        <v>1715</v>
      </c>
      <c r="AA1107" t="s">
        <v>1716</v>
      </c>
      <c r="AB1107" s="3">
        <f t="shared" si="141"/>
        <v>1</v>
      </c>
      <c r="AC1107">
        <v>112.79</v>
      </c>
      <c r="AD1107" s="2">
        <v>112.79</v>
      </c>
      <c r="AE1107" s="2">
        <v>37.71</v>
      </c>
      <c r="AF1107" s="2">
        <v>0.89</v>
      </c>
      <c r="AG1107" s="2">
        <v>151.38999999999999</v>
      </c>
      <c r="AH1107">
        <v>0</v>
      </c>
      <c r="AI1107">
        <v>151.38999999999999</v>
      </c>
      <c r="AJ1107">
        <v>0.75695000000000001</v>
      </c>
      <c r="AK1107" t="s">
        <v>54</v>
      </c>
      <c r="AL1107">
        <v>0.97</v>
      </c>
      <c r="AM1107" s="4">
        <f t="shared" si="142"/>
        <v>151.38999999999999</v>
      </c>
      <c r="AN1107" s="4">
        <f t="shared" si="143"/>
        <v>211.48125000000002</v>
      </c>
      <c r="AO1107" s="4">
        <f t="shared" si="144"/>
        <v>234.95566875000003</v>
      </c>
      <c r="AP1107" s="4">
        <f t="shared" si="145"/>
        <v>342.57847687499998</v>
      </c>
      <c r="AQ1107" s="10">
        <f t="shared" si="138"/>
        <v>263.28234900000001</v>
      </c>
      <c r="AR1107" s="10">
        <f t="shared" si="139"/>
        <v>292.53301797390003</v>
      </c>
      <c r="AS1107" s="10">
        <f t="shared" si="140"/>
        <v>409.87796092320002</v>
      </c>
    </row>
    <row r="1108" spans="1:45" x14ac:dyDescent="0.3">
      <c r="A1108">
        <v>2025</v>
      </c>
      <c r="B1108">
        <v>8</v>
      </c>
      <c r="C1108" t="s">
        <v>55</v>
      </c>
      <c r="D1108">
        <v>10</v>
      </c>
      <c r="E1108" t="s">
        <v>36</v>
      </c>
      <c r="F1108" t="s">
        <v>37</v>
      </c>
      <c r="G1108" t="s">
        <v>38</v>
      </c>
      <c r="H1108" t="s">
        <v>206</v>
      </c>
      <c r="I1108" t="s">
        <v>190</v>
      </c>
      <c r="J1108" t="s">
        <v>58</v>
      </c>
      <c r="K1108" t="s">
        <v>59</v>
      </c>
      <c r="L1108" t="s">
        <v>1194</v>
      </c>
      <c r="M1108" t="s">
        <v>1195</v>
      </c>
      <c r="N1108" t="s">
        <v>1196</v>
      </c>
      <c r="O1108" t="s">
        <v>1197</v>
      </c>
      <c r="Q1108" t="s">
        <v>62</v>
      </c>
      <c r="R1108" t="s">
        <v>1198</v>
      </c>
      <c r="S1108" t="s">
        <v>1198</v>
      </c>
      <c r="T1108" t="s">
        <v>47</v>
      </c>
      <c r="U1108" t="s">
        <v>118</v>
      </c>
      <c r="V1108" t="s">
        <v>49</v>
      </c>
      <c r="W1108" t="s">
        <v>714</v>
      </c>
      <c r="X1108" t="s">
        <v>388</v>
      </c>
      <c r="Y1108" t="s">
        <v>509</v>
      </c>
      <c r="Z1108" t="s">
        <v>509</v>
      </c>
      <c r="AA1108" t="s">
        <v>510</v>
      </c>
      <c r="AB1108" s="3">
        <f t="shared" si="141"/>
        <v>1</v>
      </c>
      <c r="AC1108">
        <v>176.64</v>
      </c>
      <c r="AD1108" s="2">
        <v>176.64</v>
      </c>
      <c r="AE1108" s="2">
        <v>15.32</v>
      </c>
      <c r="AF1108" s="2">
        <v>1.18</v>
      </c>
      <c r="AG1108" s="2">
        <v>193.14</v>
      </c>
      <c r="AH1108">
        <v>0</v>
      </c>
      <c r="AI1108">
        <v>193.14</v>
      </c>
      <c r="AJ1108">
        <v>0.9657</v>
      </c>
      <c r="AK1108" t="s">
        <v>54</v>
      </c>
      <c r="AL1108">
        <v>0.78</v>
      </c>
      <c r="AM1108" s="4">
        <f t="shared" si="142"/>
        <v>193.14</v>
      </c>
      <c r="AN1108" s="4">
        <f t="shared" si="143"/>
        <v>331.2</v>
      </c>
      <c r="AO1108" s="4">
        <f t="shared" si="144"/>
        <v>367.96319999999997</v>
      </c>
      <c r="AP1108" s="4">
        <f t="shared" si="145"/>
        <v>536.51087999999993</v>
      </c>
      <c r="AQ1108" s="10">
        <f t="shared" si="138"/>
        <v>335.88977399999999</v>
      </c>
      <c r="AR1108" s="10">
        <f t="shared" si="139"/>
        <v>373.20712789139998</v>
      </c>
      <c r="AS1108" s="10">
        <f t="shared" si="140"/>
        <v>522.91320016319992</v>
      </c>
    </row>
    <row r="1109" spans="1:45" x14ac:dyDescent="0.3">
      <c r="A1109">
        <v>2025</v>
      </c>
      <c r="B1109">
        <v>12</v>
      </c>
      <c r="C1109" t="s">
        <v>55</v>
      </c>
      <c r="D1109">
        <v>10</v>
      </c>
      <c r="E1109" t="s">
        <v>36</v>
      </c>
      <c r="F1109" t="s">
        <v>37</v>
      </c>
      <c r="G1109" t="s">
        <v>38</v>
      </c>
      <c r="H1109" t="s">
        <v>206</v>
      </c>
      <c r="I1109" t="s">
        <v>57</v>
      </c>
      <c r="J1109" t="s">
        <v>58</v>
      </c>
      <c r="K1109" t="s">
        <v>59</v>
      </c>
      <c r="L1109" t="s">
        <v>1769</v>
      </c>
      <c r="M1109" t="s">
        <v>1770</v>
      </c>
      <c r="N1109" t="s">
        <v>1771</v>
      </c>
      <c r="O1109" t="s">
        <v>1197</v>
      </c>
      <c r="Q1109" t="s">
        <v>62</v>
      </c>
      <c r="R1109" t="s">
        <v>1772</v>
      </c>
      <c r="S1109" t="s">
        <v>1772</v>
      </c>
      <c r="T1109" t="s">
        <v>47</v>
      </c>
      <c r="U1109" t="s">
        <v>118</v>
      </c>
      <c r="V1109" t="s">
        <v>49</v>
      </c>
      <c r="W1109" t="s">
        <v>714</v>
      </c>
      <c r="X1109" t="s">
        <v>51</v>
      </c>
      <c r="Y1109" t="s">
        <v>1337</v>
      </c>
      <c r="Z1109" t="s">
        <v>1337</v>
      </c>
      <c r="AA1109" t="s">
        <v>1338</v>
      </c>
      <c r="AB1109" s="3">
        <f t="shared" si="141"/>
        <v>1</v>
      </c>
      <c r="AC1109">
        <v>202.9</v>
      </c>
      <c r="AD1109" s="2">
        <v>202.9</v>
      </c>
      <c r="AE1109" s="2">
        <v>14.48</v>
      </c>
      <c r="AF1109" s="2">
        <v>1.31</v>
      </c>
      <c r="AG1109" s="2">
        <v>217.88</v>
      </c>
      <c r="AH1109">
        <v>0</v>
      </c>
      <c r="AI1109">
        <v>217.88</v>
      </c>
      <c r="AJ1109">
        <v>1.0893999999999999</v>
      </c>
      <c r="AK1109" t="s">
        <v>54</v>
      </c>
      <c r="AL1109">
        <v>1.7</v>
      </c>
      <c r="AM1109" s="4">
        <f t="shared" si="142"/>
        <v>217.88</v>
      </c>
      <c r="AN1109" s="4">
        <f t="shared" si="143"/>
        <v>380.4375</v>
      </c>
      <c r="AO1109" s="4">
        <f t="shared" si="144"/>
        <v>422.66606250000001</v>
      </c>
      <c r="AP1109" s="4">
        <f t="shared" si="145"/>
        <v>616.27070624999999</v>
      </c>
      <c r="AQ1109" s="10">
        <f t="shared" si="138"/>
        <v>378.91510800000003</v>
      </c>
      <c r="AR1109" s="10">
        <f t="shared" si="139"/>
        <v>421.0125764988</v>
      </c>
      <c r="AS1109" s="10">
        <f t="shared" si="140"/>
        <v>589.89504013440001</v>
      </c>
    </row>
    <row r="1110" spans="1:45" x14ac:dyDescent="0.3">
      <c r="A1110">
        <v>2025</v>
      </c>
      <c r="B1110">
        <v>10</v>
      </c>
      <c r="C1110" t="s">
        <v>55</v>
      </c>
      <c r="D1110">
        <v>10</v>
      </c>
      <c r="E1110" t="s">
        <v>36</v>
      </c>
      <c r="F1110" t="s">
        <v>37</v>
      </c>
      <c r="G1110" t="s">
        <v>38</v>
      </c>
      <c r="H1110" t="s">
        <v>206</v>
      </c>
      <c r="I1110" t="s">
        <v>375</v>
      </c>
      <c r="J1110" t="s">
        <v>376</v>
      </c>
      <c r="K1110" t="s">
        <v>59</v>
      </c>
      <c r="L1110" t="s">
        <v>1549</v>
      </c>
      <c r="M1110" t="s">
        <v>1550</v>
      </c>
      <c r="N1110" t="s">
        <v>1551</v>
      </c>
      <c r="O1110" t="s">
        <v>1197</v>
      </c>
      <c r="Q1110" t="s">
        <v>62</v>
      </c>
      <c r="R1110" t="s">
        <v>1552</v>
      </c>
      <c r="S1110" t="s">
        <v>1552</v>
      </c>
      <c r="T1110" t="s">
        <v>47</v>
      </c>
      <c r="U1110" t="s">
        <v>118</v>
      </c>
      <c r="V1110" t="s">
        <v>49</v>
      </c>
      <c r="W1110" t="s">
        <v>714</v>
      </c>
      <c r="X1110" t="s">
        <v>51</v>
      </c>
      <c r="Y1110" t="s">
        <v>1865</v>
      </c>
      <c r="Z1110" t="s">
        <v>1865</v>
      </c>
      <c r="AA1110" t="s">
        <v>1866</v>
      </c>
      <c r="AB1110" s="3">
        <f t="shared" si="141"/>
        <v>1</v>
      </c>
      <c r="AC1110">
        <v>252.46</v>
      </c>
      <c r="AD1110" s="2">
        <v>252.46</v>
      </c>
      <c r="AE1110" s="2">
        <v>74.95</v>
      </c>
      <c r="AF1110" s="2">
        <v>1.9</v>
      </c>
      <c r="AG1110" s="2">
        <v>329.3</v>
      </c>
      <c r="AH1110">
        <v>0</v>
      </c>
      <c r="AI1110">
        <v>329.3</v>
      </c>
      <c r="AJ1110">
        <v>1.6465000000000001</v>
      </c>
      <c r="AK1110" t="s">
        <v>54</v>
      </c>
      <c r="AL1110">
        <v>1.88</v>
      </c>
      <c r="AM1110" s="4">
        <f t="shared" si="142"/>
        <v>329.3</v>
      </c>
      <c r="AN1110" s="4">
        <f t="shared" si="143"/>
        <v>473.36250000000001</v>
      </c>
      <c r="AO1110" s="4">
        <f t="shared" si="144"/>
        <v>525.90573749999999</v>
      </c>
      <c r="AP1110" s="4">
        <f t="shared" si="145"/>
        <v>766.79991374999997</v>
      </c>
      <c r="AQ1110" s="10">
        <f t="shared" si="138"/>
        <v>572.68563000000006</v>
      </c>
      <c r="AR1110" s="10">
        <f t="shared" si="139"/>
        <v>636.31100349300004</v>
      </c>
      <c r="AS1110" s="10">
        <f t="shared" si="140"/>
        <v>891.55698878400005</v>
      </c>
    </row>
    <row r="1111" spans="1:45" x14ac:dyDescent="0.3">
      <c r="A1111">
        <v>2025</v>
      </c>
      <c r="B1111">
        <v>8</v>
      </c>
      <c r="C1111" t="s">
        <v>55</v>
      </c>
      <c r="D1111">
        <v>10</v>
      </c>
      <c r="E1111" t="s">
        <v>36</v>
      </c>
      <c r="F1111" t="s">
        <v>37</v>
      </c>
      <c r="G1111" t="s">
        <v>38</v>
      </c>
      <c r="H1111" t="s">
        <v>206</v>
      </c>
      <c r="I1111" t="s">
        <v>190</v>
      </c>
      <c r="J1111" t="s">
        <v>58</v>
      </c>
      <c r="K1111" t="s">
        <v>59</v>
      </c>
      <c r="L1111" t="s">
        <v>1194</v>
      </c>
      <c r="M1111" t="s">
        <v>1195</v>
      </c>
      <c r="N1111" t="s">
        <v>1196</v>
      </c>
      <c r="O1111" t="s">
        <v>1197</v>
      </c>
      <c r="Q1111" t="s">
        <v>62</v>
      </c>
      <c r="R1111" t="s">
        <v>1198</v>
      </c>
      <c r="S1111" t="s">
        <v>1198</v>
      </c>
      <c r="T1111" t="s">
        <v>47</v>
      </c>
      <c r="U1111" t="s">
        <v>118</v>
      </c>
      <c r="V1111" t="s">
        <v>49</v>
      </c>
      <c r="W1111" t="s">
        <v>714</v>
      </c>
      <c r="X1111" t="s">
        <v>388</v>
      </c>
      <c r="Y1111" t="s">
        <v>1586</v>
      </c>
      <c r="Z1111" t="s">
        <v>1586</v>
      </c>
      <c r="AA1111" t="s">
        <v>1587</v>
      </c>
      <c r="AB1111" s="3">
        <f t="shared" si="141"/>
        <v>2</v>
      </c>
      <c r="AC1111">
        <v>661.65</v>
      </c>
      <c r="AD1111" s="2">
        <v>330.82499999999999</v>
      </c>
      <c r="AE1111" s="2">
        <v>302.42</v>
      </c>
      <c r="AF1111" s="2">
        <v>5.9</v>
      </c>
      <c r="AG1111" s="2">
        <v>969.97</v>
      </c>
      <c r="AH1111">
        <v>0</v>
      </c>
      <c r="AI1111">
        <v>484.98500000000001</v>
      </c>
      <c r="AJ1111">
        <v>4.84985</v>
      </c>
      <c r="AK1111" t="s">
        <v>54</v>
      </c>
      <c r="AL1111">
        <v>13.7</v>
      </c>
      <c r="AM1111" s="4">
        <f t="shared" si="142"/>
        <v>484.98500000000001</v>
      </c>
      <c r="AN1111" s="4">
        <f t="shared" si="143"/>
        <v>620.296875</v>
      </c>
      <c r="AO1111" s="4">
        <f t="shared" si="144"/>
        <v>689.149828125</v>
      </c>
      <c r="AP1111" s="4">
        <f t="shared" si="145"/>
        <v>1004.8189078124999</v>
      </c>
      <c r="AQ1111" s="10">
        <f t="shared" si="138"/>
        <v>843.43741350000005</v>
      </c>
      <c r="AR1111" s="10">
        <f t="shared" si="139"/>
        <v>937.14331013985009</v>
      </c>
      <c r="AS1111" s="10">
        <f t="shared" si="140"/>
        <v>1313.0633653368</v>
      </c>
    </row>
    <row r="1112" spans="1:45" x14ac:dyDescent="0.3">
      <c r="A1112">
        <v>2025</v>
      </c>
      <c r="B1112">
        <v>3</v>
      </c>
      <c r="C1112" t="s">
        <v>55</v>
      </c>
      <c r="D1112">
        <v>10</v>
      </c>
      <c r="E1112" t="s">
        <v>36</v>
      </c>
      <c r="F1112" t="s">
        <v>37</v>
      </c>
      <c r="G1112" t="s">
        <v>38</v>
      </c>
      <c r="H1112" t="s">
        <v>101</v>
      </c>
      <c r="I1112" t="s">
        <v>190</v>
      </c>
      <c r="J1112" t="s">
        <v>58</v>
      </c>
      <c r="K1112" t="s">
        <v>59</v>
      </c>
      <c r="M1112" t="s">
        <v>213</v>
      </c>
      <c r="N1112" t="s">
        <v>61</v>
      </c>
      <c r="O1112" t="s">
        <v>43</v>
      </c>
      <c r="Q1112" t="s">
        <v>62</v>
      </c>
      <c r="R1112" t="s">
        <v>214</v>
      </c>
      <c r="S1112" t="s">
        <v>215</v>
      </c>
      <c r="T1112" t="s">
        <v>47</v>
      </c>
      <c r="U1112" t="s">
        <v>118</v>
      </c>
      <c r="V1112" t="s">
        <v>49</v>
      </c>
      <c r="W1112" t="s">
        <v>119</v>
      </c>
      <c r="X1112" t="s">
        <v>51</v>
      </c>
      <c r="Y1112" t="s">
        <v>1329</v>
      </c>
      <c r="Z1112" t="s">
        <v>1329</v>
      </c>
      <c r="AA1112" t="s">
        <v>1330</v>
      </c>
      <c r="AB1112" s="3">
        <f t="shared" si="141"/>
        <v>1</v>
      </c>
      <c r="AC1112">
        <v>389.81</v>
      </c>
      <c r="AD1112" s="2">
        <v>389.81</v>
      </c>
      <c r="AE1112" s="2">
        <v>27.94</v>
      </c>
      <c r="AF1112" s="2">
        <v>2.52</v>
      </c>
      <c r="AG1112" s="2">
        <v>420.26</v>
      </c>
      <c r="AH1112">
        <v>0</v>
      </c>
      <c r="AI1112">
        <v>420.26</v>
      </c>
      <c r="AJ1112">
        <v>2.1013000000000002</v>
      </c>
      <c r="AK1112" t="s">
        <v>54</v>
      </c>
      <c r="AL1112">
        <v>3.28</v>
      </c>
      <c r="AM1112" s="4">
        <f t="shared" si="142"/>
        <v>420.26</v>
      </c>
      <c r="AN1112" s="4">
        <f t="shared" si="143"/>
        <v>730.89374999999995</v>
      </c>
      <c r="AO1112" s="4">
        <f t="shared" si="144"/>
        <v>812.02295624999999</v>
      </c>
      <c r="AP1112" s="4">
        <f t="shared" si="145"/>
        <v>1183.9747856249999</v>
      </c>
      <c r="AQ1112" s="10">
        <f t="shared" si="138"/>
        <v>730.87416600000006</v>
      </c>
      <c r="AR1112" s="10">
        <f t="shared" si="139"/>
        <v>812.07428584260003</v>
      </c>
      <c r="AS1112" s="10">
        <f t="shared" si="140"/>
        <v>1137.8249016288</v>
      </c>
    </row>
    <row r="1113" spans="1:45" x14ac:dyDescent="0.3">
      <c r="A1113">
        <v>2025</v>
      </c>
      <c r="B1113">
        <v>4</v>
      </c>
      <c r="C1113" t="s">
        <v>55</v>
      </c>
      <c r="D1113">
        <v>10</v>
      </c>
      <c r="E1113" t="s">
        <v>36</v>
      </c>
      <c r="F1113" t="s">
        <v>37</v>
      </c>
      <c r="G1113" t="s">
        <v>38</v>
      </c>
      <c r="H1113" t="s">
        <v>101</v>
      </c>
      <c r="I1113" t="s">
        <v>375</v>
      </c>
      <c r="J1113" t="s">
        <v>376</v>
      </c>
      <c r="K1113" t="s">
        <v>59</v>
      </c>
      <c r="M1113">
        <v>2503061</v>
      </c>
      <c r="N1113" t="s">
        <v>377</v>
      </c>
      <c r="O1113" t="s">
        <v>36</v>
      </c>
      <c r="Q1113" t="s">
        <v>62</v>
      </c>
      <c r="R1113" t="s">
        <v>378</v>
      </c>
      <c r="S1113" t="s">
        <v>378</v>
      </c>
      <c r="T1113" t="s">
        <v>47</v>
      </c>
      <c r="U1113" t="s">
        <v>118</v>
      </c>
      <c r="V1113" t="s">
        <v>49</v>
      </c>
      <c r="W1113" t="s">
        <v>119</v>
      </c>
      <c r="X1113" t="s">
        <v>51</v>
      </c>
      <c r="Y1113" t="s">
        <v>138</v>
      </c>
      <c r="Z1113" t="s">
        <v>64</v>
      </c>
      <c r="AA1113" t="s">
        <v>336</v>
      </c>
      <c r="AB1113" s="3">
        <f t="shared" si="141"/>
        <v>2</v>
      </c>
      <c r="AC1113">
        <v>224.3</v>
      </c>
      <c r="AD1113" s="2">
        <v>112.15</v>
      </c>
      <c r="AE1113" s="2">
        <v>47.07</v>
      </c>
      <c r="AF1113" s="2">
        <v>1.66</v>
      </c>
      <c r="AG1113" s="2">
        <v>273.02999999999997</v>
      </c>
      <c r="AH1113">
        <v>0</v>
      </c>
      <c r="AI1113">
        <v>136.51499999999999</v>
      </c>
      <c r="AJ1113">
        <v>1.3651500000000001</v>
      </c>
      <c r="AK1113" t="s">
        <v>54</v>
      </c>
      <c r="AL1113">
        <v>3.89</v>
      </c>
      <c r="AM1113" s="4">
        <f t="shared" si="142"/>
        <v>136.51499999999999</v>
      </c>
      <c r="AN1113" s="4">
        <f t="shared" si="143"/>
        <v>210.28125</v>
      </c>
      <c r="AO1113" s="4">
        <f t="shared" si="144"/>
        <v>233.62246875</v>
      </c>
      <c r="AP1113" s="4">
        <f t="shared" si="145"/>
        <v>340.634596875</v>
      </c>
      <c r="AQ1113" s="10">
        <f t="shared" si="138"/>
        <v>237.41323649999998</v>
      </c>
      <c r="AR1113" s="10">
        <f t="shared" si="139"/>
        <v>263.78984707514996</v>
      </c>
      <c r="AS1113" s="10">
        <f t="shared" si="140"/>
        <v>369.60492658319998</v>
      </c>
    </row>
    <row r="1114" spans="1:45" x14ac:dyDescent="0.3">
      <c r="A1114">
        <v>2025</v>
      </c>
      <c r="B1114">
        <v>1</v>
      </c>
      <c r="C1114" t="s">
        <v>55</v>
      </c>
      <c r="D1114">
        <v>10</v>
      </c>
      <c r="E1114" t="s">
        <v>36</v>
      </c>
      <c r="F1114" t="s">
        <v>37</v>
      </c>
      <c r="G1114" t="s">
        <v>38</v>
      </c>
      <c r="H1114" t="s">
        <v>101</v>
      </c>
      <c r="I1114" t="s">
        <v>57</v>
      </c>
      <c r="J1114" t="s">
        <v>58</v>
      </c>
      <c r="K1114" t="s">
        <v>59</v>
      </c>
      <c r="M1114" t="s">
        <v>60</v>
      </c>
      <c r="N1114" t="s">
        <v>61</v>
      </c>
      <c r="O1114" t="s">
        <v>43</v>
      </c>
      <c r="Q1114" t="s">
        <v>62</v>
      </c>
      <c r="R1114" t="s">
        <v>63</v>
      </c>
      <c r="S1114" t="s">
        <v>63</v>
      </c>
      <c r="T1114" t="s">
        <v>47</v>
      </c>
      <c r="U1114" t="s">
        <v>118</v>
      </c>
      <c r="V1114" t="s">
        <v>49</v>
      </c>
      <c r="W1114" t="s">
        <v>119</v>
      </c>
      <c r="X1114" t="s">
        <v>51</v>
      </c>
      <c r="Y1114" t="s">
        <v>487</v>
      </c>
      <c r="Z1114" t="s">
        <v>487</v>
      </c>
      <c r="AA1114" t="s">
        <v>336</v>
      </c>
      <c r="AB1114" s="3">
        <f t="shared" si="141"/>
        <v>2</v>
      </c>
      <c r="AC1114">
        <v>221.33</v>
      </c>
      <c r="AD1114" s="2">
        <v>110.66500000000001</v>
      </c>
      <c r="AE1114" s="2">
        <v>47.15</v>
      </c>
      <c r="AF1114" s="2">
        <v>1.55</v>
      </c>
      <c r="AG1114" s="2">
        <v>270.02</v>
      </c>
      <c r="AH1114">
        <v>0</v>
      </c>
      <c r="AI1114">
        <v>135.01</v>
      </c>
      <c r="AJ1114">
        <v>1.3501000000000001</v>
      </c>
      <c r="AK1114" t="s">
        <v>54</v>
      </c>
      <c r="AL1114">
        <v>2.25</v>
      </c>
      <c r="AM1114" s="4">
        <f t="shared" si="142"/>
        <v>135.01</v>
      </c>
      <c r="AN1114" s="4">
        <f t="shared" si="143"/>
        <v>207.49687500000002</v>
      </c>
      <c r="AO1114" s="4">
        <f t="shared" si="144"/>
        <v>230.52902812500002</v>
      </c>
      <c r="AP1114" s="4">
        <f t="shared" si="145"/>
        <v>336.1241878125</v>
      </c>
      <c r="AQ1114" s="10">
        <f t="shared" si="138"/>
        <v>234.79589099999998</v>
      </c>
      <c r="AR1114" s="10">
        <f t="shared" si="139"/>
        <v>260.88171449009997</v>
      </c>
      <c r="AS1114" s="10">
        <f t="shared" si="140"/>
        <v>365.53024310879994</v>
      </c>
    </row>
    <row r="1115" spans="1:45" x14ac:dyDescent="0.3">
      <c r="A1115">
        <v>2025</v>
      </c>
      <c r="B1115">
        <v>3</v>
      </c>
      <c r="C1115" t="s">
        <v>55</v>
      </c>
      <c r="D1115">
        <v>10</v>
      </c>
      <c r="E1115" t="s">
        <v>36</v>
      </c>
      <c r="F1115" t="s">
        <v>37</v>
      </c>
      <c r="G1115" t="s">
        <v>38</v>
      </c>
      <c r="H1115" t="s">
        <v>101</v>
      </c>
      <c r="I1115" t="s">
        <v>190</v>
      </c>
      <c r="J1115" t="s">
        <v>58</v>
      </c>
      <c r="K1115" t="s">
        <v>59</v>
      </c>
      <c r="M1115" t="s">
        <v>209</v>
      </c>
      <c r="N1115" t="s">
        <v>61</v>
      </c>
      <c r="O1115" t="s">
        <v>43</v>
      </c>
      <c r="Q1115" t="s">
        <v>62</v>
      </c>
      <c r="R1115" t="s">
        <v>210</v>
      </c>
      <c r="S1115" t="s">
        <v>211</v>
      </c>
      <c r="T1115" t="s">
        <v>47</v>
      </c>
      <c r="U1115" t="s">
        <v>118</v>
      </c>
      <c r="V1115" t="s">
        <v>49</v>
      </c>
      <c r="W1115" t="s">
        <v>119</v>
      </c>
      <c r="X1115" t="s">
        <v>51</v>
      </c>
      <c r="Y1115" t="s">
        <v>138</v>
      </c>
      <c r="Z1115" t="s">
        <v>64</v>
      </c>
      <c r="AA1115" t="s">
        <v>140</v>
      </c>
      <c r="AB1115" s="3">
        <f t="shared" si="141"/>
        <v>4</v>
      </c>
      <c r="AC1115">
        <v>453.12</v>
      </c>
      <c r="AD1115" s="2">
        <v>113.28</v>
      </c>
      <c r="AE1115" s="2">
        <v>108.86</v>
      </c>
      <c r="AF1115" s="2">
        <v>3.13</v>
      </c>
      <c r="AG1115" s="2">
        <v>565.11</v>
      </c>
      <c r="AH1115">
        <v>0</v>
      </c>
      <c r="AI1115">
        <v>141.2775</v>
      </c>
      <c r="AJ1115">
        <v>2.8255499999999998</v>
      </c>
      <c r="AK1115" t="s">
        <v>54</v>
      </c>
      <c r="AL1115">
        <v>12.02</v>
      </c>
      <c r="AM1115" s="4">
        <f t="shared" si="142"/>
        <v>141.2775</v>
      </c>
      <c r="AN1115" s="4">
        <f t="shared" si="143"/>
        <v>212.4</v>
      </c>
      <c r="AO1115" s="4">
        <f t="shared" si="144"/>
        <v>235.97640000000001</v>
      </c>
      <c r="AP1115" s="4">
        <f t="shared" si="145"/>
        <v>344.06675999999999</v>
      </c>
      <c r="AQ1115" s="10">
        <f t="shared" si="138"/>
        <v>245.69570025000002</v>
      </c>
      <c r="AR1115" s="10">
        <f t="shared" si="139"/>
        <v>272.99249254777499</v>
      </c>
      <c r="AS1115" s="10">
        <f t="shared" si="140"/>
        <v>382.49906614920002</v>
      </c>
    </row>
    <row r="1116" spans="1:45" x14ac:dyDescent="0.3">
      <c r="A1116">
        <v>2025</v>
      </c>
      <c r="B1116">
        <v>11</v>
      </c>
      <c r="C1116" t="s">
        <v>55</v>
      </c>
      <c r="D1116">
        <v>10</v>
      </c>
      <c r="E1116" t="s">
        <v>36</v>
      </c>
      <c r="F1116" t="s">
        <v>37</v>
      </c>
      <c r="G1116" t="s">
        <v>38</v>
      </c>
      <c r="H1116" t="s">
        <v>101</v>
      </c>
      <c r="I1116" t="s">
        <v>375</v>
      </c>
      <c r="J1116" t="s">
        <v>376</v>
      </c>
      <c r="K1116" t="s">
        <v>51</v>
      </c>
      <c r="L1116" t="s">
        <v>1622</v>
      </c>
      <c r="M1116" t="s">
        <v>1623</v>
      </c>
      <c r="N1116" t="s">
        <v>1485</v>
      </c>
      <c r="O1116" t="s">
        <v>1197</v>
      </c>
      <c r="Q1116" t="s">
        <v>62</v>
      </c>
      <c r="R1116" t="s">
        <v>1624</v>
      </c>
      <c r="S1116" t="s">
        <v>1624</v>
      </c>
      <c r="T1116" t="s">
        <v>47</v>
      </c>
      <c r="U1116" t="s">
        <v>118</v>
      </c>
      <c r="V1116" t="s">
        <v>49</v>
      </c>
      <c r="W1116" t="s">
        <v>714</v>
      </c>
      <c r="X1116" t="s">
        <v>51</v>
      </c>
      <c r="Y1116" t="s">
        <v>138</v>
      </c>
      <c r="Z1116" t="s">
        <v>64</v>
      </c>
      <c r="AA1116" t="s">
        <v>140</v>
      </c>
      <c r="AB1116" s="3">
        <f t="shared" si="141"/>
        <v>4</v>
      </c>
      <c r="AC1116">
        <v>380.4</v>
      </c>
      <c r="AD1116" s="2">
        <v>95.1</v>
      </c>
      <c r="AE1116" s="2">
        <v>84.97</v>
      </c>
      <c r="AF1116" s="2">
        <v>2.79</v>
      </c>
      <c r="AG1116" s="2">
        <v>468.15</v>
      </c>
      <c r="AH1116">
        <v>0</v>
      </c>
      <c r="AI1116">
        <v>117.03749999999999</v>
      </c>
      <c r="AJ1116">
        <v>2.3407499999999999</v>
      </c>
      <c r="AK1116" t="s">
        <v>54</v>
      </c>
      <c r="AL1116">
        <v>8.81</v>
      </c>
      <c r="AM1116" s="4">
        <f t="shared" si="142"/>
        <v>117.03749999999999</v>
      </c>
      <c r="AN1116" s="4">
        <f t="shared" si="143"/>
        <v>178.3125</v>
      </c>
      <c r="AO1116" s="4">
        <f t="shared" si="144"/>
        <v>198.1051875</v>
      </c>
      <c r="AP1116" s="4">
        <f t="shared" si="145"/>
        <v>288.84841875000001</v>
      </c>
      <c r="AQ1116" s="10">
        <f t="shared" si="138"/>
        <v>203.53991625</v>
      </c>
      <c r="AR1116" s="10">
        <f t="shared" si="139"/>
        <v>226.153200945375</v>
      </c>
      <c r="AS1116" s="10">
        <f t="shared" si="140"/>
        <v>316.87094161800002</v>
      </c>
    </row>
    <row r="1117" spans="1:45" x14ac:dyDescent="0.3">
      <c r="A1117">
        <v>2025</v>
      </c>
      <c r="B1117">
        <v>11</v>
      </c>
      <c r="C1117" t="s">
        <v>55</v>
      </c>
      <c r="D1117">
        <v>10</v>
      </c>
      <c r="E1117" t="s">
        <v>36</v>
      </c>
      <c r="F1117" t="s">
        <v>37</v>
      </c>
      <c r="G1117" t="s">
        <v>38</v>
      </c>
      <c r="H1117" t="s">
        <v>101</v>
      </c>
      <c r="I1117" t="s">
        <v>375</v>
      </c>
      <c r="J1117" t="s">
        <v>376</v>
      </c>
      <c r="K1117" t="s">
        <v>51</v>
      </c>
      <c r="L1117" t="s">
        <v>1622</v>
      </c>
      <c r="M1117" t="s">
        <v>1623</v>
      </c>
      <c r="N1117" t="s">
        <v>1485</v>
      </c>
      <c r="O1117" t="s">
        <v>1197</v>
      </c>
      <c r="Q1117" t="s">
        <v>62</v>
      </c>
      <c r="R1117" t="s">
        <v>1624</v>
      </c>
      <c r="S1117" t="s">
        <v>1624</v>
      </c>
      <c r="T1117" t="s">
        <v>47</v>
      </c>
      <c r="U1117" t="s">
        <v>118</v>
      </c>
      <c r="V1117" t="s">
        <v>49</v>
      </c>
      <c r="W1117" t="s">
        <v>714</v>
      </c>
      <c r="X1117" t="s">
        <v>51</v>
      </c>
      <c r="Y1117" t="s">
        <v>1349</v>
      </c>
      <c r="Z1117" t="s">
        <v>1349</v>
      </c>
      <c r="AA1117" t="s">
        <v>140</v>
      </c>
      <c r="AB1117" s="3">
        <f t="shared" si="141"/>
        <v>5</v>
      </c>
      <c r="AC1117">
        <v>472.78</v>
      </c>
      <c r="AD1117" s="2">
        <v>94.555999999999997</v>
      </c>
      <c r="AE1117" s="2">
        <v>66.2</v>
      </c>
      <c r="AF1117" s="2">
        <v>3.27</v>
      </c>
      <c r="AG1117" s="2">
        <v>542.26</v>
      </c>
      <c r="AH1117">
        <v>0</v>
      </c>
      <c r="AI1117">
        <v>108.452</v>
      </c>
      <c r="AJ1117">
        <v>2.7113</v>
      </c>
      <c r="AK1117" t="s">
        <v>54</v>
      </c>
      <c r="AL1117">
        <v>2.4900000000000002</v>
      </c>
      <c r="AM1117" s="4">
        <f t="shared" si="142"/>
        <v>108.452</v>
      </c>
      <c r="AN1117" s="4">
        <f t="shared" si="143"/>
        <v>177.29249999999999</v>
      </c>
      <c r="AO1117" s="4">
        <f t="shared" si="144"/>
        <v>196.97196749999998</v>
      </c>
      <c r="AP1117" s="4">
        <f t="shared" si="145"/>
        <v>287.19612074999998</v>
      </c>
      <c r="AQ1117" s="10">
        <f t="shared" si="138"/>
        <v>188.6088732</v>
      </c>
      <c r="AR1117" s="10">
        <f t="shared" si="139"/>
        <v>209.56331901252</v>
      </c>
      <c r="AS1117" s="10">
        <f t="shared" si="140"/>
        <v>293.62629379776001</v>
      </c>
    </row>
    <row r="1118" spans="1:45" x14ac:dyDescent="0.3">
      <c r="A1118">
        <v>2025</v>
      </c>
      <c r="B1118">
        <v>11</v>
      </c>
      <c r="C1118" t="s">
        <v>55</v>
      </c>
      <c r="D1118">
        <v>10</v>
      </c>
      <c r="E1118" t="s">
        <v>36</v>
      </c>
      <c r="F1118" t="s">
        <v>37</v>
      </c>
      <c r="G1118" t="s">
        <v>38</v>
      </c>
      <c r="H1118" t="s">
        <v>101</v>
      </c>
      <c r="I1118" t="s">
        <v>375</v>
      </c>
      <c r="J1118" t="s">
        <v>376</v>
      </c>
      <c r="K1118" t="s">
        <v>59</v>
      </c>
      <c r="L1118" t="s">
        <v>1647</v>
      </c>
      <c r="M1118" t="s">
        <v>1633</v>
      </c>
      <c r="N1118" t="s">
        <v>1485</v>
      </c>
      <c r="O1118" t="s">
        <v>1197</v>
      </c>
      <c r="Q1118" t="s">
        <v>62</v>
      </c>
      <c r="R1118" t="s">
        <v>1648</v>
      </c>
      <c r="S1118" t="s">
        <v>1648</v>
      </c>
      <c r="T1118" t="s">
        <v>47</v>
      </c>
      <c r="U1118" t="s">
        <v>118</v>
      </c>
      <c r="V1118" t="s">
        <v>49</v>
      </c>
      <c r="W1118" t="s">
        <v>714</v>
      </c>
      <c r="X1118" t="s">
        <v>51</v>
      </c>
      <c r="Y1118" t="s">
        <v>1349</v>
      </c>
      <c r="Z1118" t="s">
        <v>1349</v>
      </c>
      <c r="AA1118" t="s">
        <v>140</v>
      </c>
      <c r="AB1118" s="3">
        <f t="shared" si="141"/>
        <v>5.9999999999999778</v>
      </c>
      <c r="AC1118">
        <v>568.80999999999995</v>
      </c>
      <c r="AD1118" s="2">
        <v>94.801666666667003</v>
      </c>
      <c r="AE1118" s="2">
        <v>79.650000000000006</v>
      </c>
      <c r="AF1118" s="2">
        <v>3.94</v>
      </c>
      <c r="AG1118" s="2">
        <v>652.39</v>
      </c>
      <c r="AH1118">
        <v>0</v>
      </c>
      <c r="AI1118">
        <v>108.73166666666999</v>
      </c>
      <c r="AJ1118">
        <v>3.2619500000000001</v>
      </c>
      <c r="AK1118" t="s">
        <v>54</v>
      </c>
      <c r="AL1118">
        <v>4.33</v>
      </c>
      <c r="AM1118" s="4">
        <f t="shared" si="142"/>
        <v>108.73166666666707</v>
      </c>
      <c r="AN1118" s="4">
        <f t="shared" si="143"/>
        <v>177.75312500000064</v>
      </c>
      <c r="AO1118" s="4">
        <f t="shared" si="144"/>
        <v>197.4837218750007</v>
      </c>
      <c r="AP1118" s="4">
        <f t="shared" si="145"/>
        <v>287.94228718750099</v>
      </c>
      <c r="AQ1118" s="10">
        <f t="shared" si="138"/>
        <v>189.0952415000007</v>
      </c>
      <c r="AR1118" s="10">
        <f t="shared" si="139"/>
        <v>210.10372283065078</v>
      </c>
      <c r="AS1118" s="10">
        <f t="shared" si="140"/>
        <v>294.3834719672011</v>
      </c>
    </row>
    <row r="1119" spans="1:45" x14ac:dyDescent="0.3">
      <c r="A1119">
        <v>2025</v>
      </c>
      <c r="B1119">
        <v>4</v>
      </c>
      <c r="C1119" t="s">
        <v>55</v>
      </c>
      <c r="D1119">
        <v>10</v>
      </c>
      <c r="E1119" t="s">
        <v>36</v>
      </c>
      <c r="F1119" t="s">
        <v>37</v>
      </c>
      <c r="G1119" t="s">
        <v>38</v>
      </c>
      <c r="H1119" t="s">
        <v>101</v>
      </c>
      <c r="I1119" t="s">
        <v>190</v>
      </c>
      <c r="J1119" t="s">
        <v>58</v>
      </c>
      <c r="K1119" t="s">
        <v>59</v>
      </c>
      <c r="M1119" t="s">
        <v>383</v>
      </c>
      <c r="N1119" t="s">
        <v>384</v>
      </c>
      <c r="O1119" t="s">
        <v>36</v>
      </c>
      <c r="Q1119" t="s">
        <v>62</v>
      </c>
      <c r="R1119" t="s">
        <v>385</v>
      </c>
      <c r="S1119" t="s">
        <v>385</v>
      </c>
      <c r="T1119" t="s">
        <v>47</v>
      </c>
      <c r="U1119" t="s">
        <v>118</v>
      </c>
      <c r="V1119" t="s">
        <v>49</v>
      </c>
      <c r="W1119" t="s">
        <v>119</v>
      </c>
      <c r="X1119" t="s">
        <v>388</v>
      </c>
      <c r="Y1119" t="s">
        <v>1322</v>
      </c>
      <c r="Z1119" t="s">
        <v>1322</v>
      </c>
      <c r="AA1119" t="s">
        <v>140</v>
      </c>
      <c r="AB1119" s="3">
        <f t="shared" si="141"/>
        <v>5</v>
      </c>
      <c r="AC1119">
        <v>494.39</v>
      </c>
      <c r="AD1119" s="2">
        <v>98.878</v>
      </c>
      <c r="AE1119" s="2">
        <v>166</v>
      </c>
      <c r="AF1119" s="2">
        <v>3.91</v>
      </c>
      <c r="AG1119" s="2">
        <v>664.31</v>
      </c>
      <c r="AH1119">
        <v>0</v>
      </c>
      <c r="AI1119">
        <v>132.86199999999999</v>
      </c>
      <c r="AJ1119">
        <v>3.3215499999999998</v>
      </c>
      <c r="AK1119" t="s">
        <v>54</v>
      </c>
      <c r="AL1119">
        <v>4.2699999999999996</v>
      </c>
      <c r="AM1119" s="4">
        <f t="shared" si="142"/>
        <v>132.86199999999999</v>
      </c>
      <c r="AN1119" s="4">
        <f t="shared" si="143"/>
        <v>185.39625000000001</v>
      </c>
      <c r="AO1119" s="4">
        <f t="shared" si="144"/>
        <v>205.97523375</v>
      </c>
      <c r="AP1119" s="4">
        <f t="shared" si="145"/>
        <v>300.32338537499999</v>
      </c>
      <c r="AQ1119" s="10">
        <f t="shared" si="138"/>
        <v>231.06030419999999</v>
      </c>
      <c r="AR1119" s="10">
        <f t="shared" si="139"/>
        <v>256.73110399661999</v>
      </c>
      <c r="AS1119" s="10">
        <f t="shared" si="140"/>
        <v>359.71468157855998</v>
      </c>
    </row>
    <row r="1120" spans="1:45" x14ac:dyDescent="0.3">
      <c r="A1120">
        <v>2025</v>
      </c>
      <c r="B1120">
        <v>1</v>
      </c>
      <c r="C1120" t="s">
        <v>55</v>
      </c>
      <c r="D1120">
        <v>10</v>
      </c>
      <c r="E1120" t="s">
        <v>36</v>
      </c>
      <c r="F1120" t="s">
        <v>37</v>
      </c>
      <c r="G1120" t="s">
        <v>38</v>
      </c>
      <c r="H1120" t="s">
        <v>101</v>
      </c>
      <c r="I1120" t="s">
        <v>57</v>
      </c>
      <c r="J1120" t="s">
        <v>58</v>
      </c>
      <c r="K1120" t="s">
        <v>59</v>
      </c>
      <c r="M1120" t="s">
        <v>60</v>
      </c>
      <c r="N1120" t="s">
        <v>61</v>
      </c>
      <c r="O1120" t="s">
        <v>43</v>
      </c>
      <c r="Q1120" t="s">
        <v>62</v>
      </c>
      <c r="R1120" t="s">
        <v>63</v>
      </c>
      <c r="S1120" t="s">
        <v>63</v>
      </c>
      <c r="T1120" t="s">
        <v>47</v>
      </c>
      <c r="U1120" t="s">
        <v>118</v>
      </c>
      <c r="V1120" t="s">
        <v>49</v>
      </c>
      <c r="W1120" t="s">
        <v>119</v>
      </c>
      <c r="X1120" t="s">
        <v>51</v>
      </c>
      <c r="Y1120" t="s">
        <v>511</v>
      </c>
      <c r="Z1120" t="s">
        <v>511</v>
      </c>
      <c r="AA1120" t="s">
        <v>512</v>
      </c>
      <c r="AB1120" s="3">
        <f t="shared" si="141"/>
        <v>2.9999999999999276</v>
      </c>
      <c r="AC1120">
        <v>412.7</v>
      </c>
      <c r="AD1120" s="2">
        <v>137.56666666666999</v>
      </c>
      <c r="AE1120" s="2">
        <v>45.97</v>
      </c>
      <c r="AF1120" s="2">
        <v>2.73</v>
      </c>
      <c r="AG1120" s="2">
        <v>461.41</v>
      </c>
      <c r="AH1120">
        <v>0</v>
      </c>
      <c r="AI1120">
        <v>153.80333333332999</v>
      </c>
      <c r="AJ1120">
        <v>2.3070499999999998</v>
      </c>
      <c r="AK1120" t="s">
        <v>54</v>
      </c>
      <c r="AL1120">
        <v>2.34</v>
      </c>
      <c r="AM1120" s="4">
        <f t="shared" si="142"/>
        <v>153.80333333333706</v>
      </c>
      <c r="AN1120" s="4">
        <f t="shared" si="143"/>
        <v>257.93750000000625</v>
      </c>
      <c r="AO1120" s="4">
        <f t="shared" si="144"/>
        <v>286.56856250000692</v>
      </c>
      <c r="AP1120" s="4">
        <f t="shared" si="145"/>
        <v>417.83295625001011</v>
      </c>
      <c r="AQ1120" s="10">
        <f t="shared" si="138"/>
        <v>267.47937700000648</v>
      </c>
      <c r="AR1120" s="10">
        <f t="shared" si="139"/>
        <v>297.19633578470717</v>
      </c>
      <c r="AS1120" s="10">
        <f t="shared" si="140"/>
        <v>416.41189411361006</v>
      </c>
    </row>
    <row r="1121" spans="1:45" x14ac:dyDescent="0.3">
      <c r="A1121">
        <v>2025</v>
      </c>
      <c r="B1121">
        <v>3</v>
      </c>
      <c r="C1121" t="s">
        <v>55</v>
      </c>
      <c r="D1121">
        <v>10</v>
      </c>
      <c r="E1121" t="s">
        <v>36</v>
      </c>
      <c r="F1121" t="s">
        <v>37</v>
      </c>
      <c r="G1121" t="s">
        <v>38</v>
      </c>
      <c r="H1121" t="s">
        <v>101</v>
      </c>
      <c r="I1121" t="s">
        <v>190</v>
      </c>
      <c r="J1121" t="s">
        <v>58</v>
      </c>
      <c r="K1121" t="s">
        <v>59</v>
      </c>
      <c r="M1121" t="s">
        <v>209</v>
      </c>
      <c r="N1121" t="s">
        <v>61</v>
      </c>
      <c r="O1121" t="s">
        <v>43</v>
      </c>
      <c r="Q1121" t="s">
        <v>62</v>
      </c>
      <c r="R1121" t="s">
        <v>210</v>
      </c>
      <c r="S1121" t="s">
        <v>211</v>
      </c>
      <c r="T1121" t="s">
        <v>47</v>
      </c>
      <c r="U1121" t="s">
        <v>118</v>
      </c>
      <c r="V1121" t="s">
        <v>49</v>
      </c>
      <c r="W1121" t="s">
        <v>119</v>
      </c>
      <c r="X1121" t="s">
        <v>51</v>
      </c>
      <c r="Y1121" t="s">
        <v>138</v>
      </c>
      <c r="Z1121" t="s">
        <v>64</v>
      </c>
      <c r="AA1121" t="s">
        <v>139</v>
      </c>
      <c r="AB1121" s="3">
        <f t="shared" si="141"/>
        <v>4</v>
      </c>
      <c r="AC1121">
        <v>676</v>
      </c>
      <c r="AD1121" s="2">
        <v>169</v>
      </c>
      <c r="AE1121" s="2">
        <v>162.41</v>
      </c>
      <c r="AF1121" s="2">
        <v>4.67</v>
      </c>
      <c r="AG1121" s="2">
        <v>843.08</v>
      </c>
      <c r="AH1121">
        <v>0</v>
      </c>
      <c r="AI1121">
        <v>210.77</v>
      </c>
      <c r="AJ1121">
        <v>4.2153999999999998</v>
      </c>
      <c r="AK1121" t="s">
        <v>54</v>
      </c>
      <c r="AL1121">
        <v>12.02</v>
      </c>
      <c r="AM1121" s="4">
        <f t="shared" si="142"/>
        <v>210.77</v>
      </c>
      <c r="AN1121" s="4">
        <f t="shared" si="143"/>
        <v>316.875</v>
      </c>
      <c r="AO1121" s="4">
        <f t="shared" si="144"/>
        <v>352.04812499999997</v>
      </c>
      <c r="AP1121" s="4">
        <f t="shared" si="145"/>
        <v>513.3058125</v>
      </c>
      <c r="AQ1121" s="10">
        <f t="shared" si="138"/>
        <v>366.55010700000003</v>
      </c>
      <c r="AR1121" s="10">
        <f t="shared" si="139"/>
        <v>407.27382388770002</v>
      </c>
      <c r="AS1121" s="10">
        <f t="shared" si="140"/>
        <v>570.64520657759999</v>
      </c>
    </row>
    <row r="1122" spans="1:45" x14ac:dyDescent="0.3">
      <c r="A1122">
        <v>2025</v>
      </c>
      <c r="B1122">
        <v>7</v>
      </c>
      <c r="C1122" t="s">
        <v>55</v>
      </c>
      <c r="D1122">
        <v>10</v>
      </c>
      <c r="E1122" t="s">
        <v>36</v>
      </c>
      <c r="F1122" t="s">
        <v>37</v>
      </c>
      <c r="G1122" t="s">
        <v>38</v>
      </c>
      <c r="H1122" t="s">
        <v>101</v>
      </c>
      <c r="I1122" t="s">
        <v>190</v>
      </c>
      <c r="J1122" t="s">
        <v>58</v>
      </c>
      <c r="K1122" t="s">
        <v>41</v>
      </c>
      <c r="L1122" t="s">
        <v>953</v>
      </c>
      <c r="M1122" t="s">
        <v>954</v>
      </c>
      <c r="N1122" t="s">
        <v>731</v>
      </c>
      <c r="O1122" t="s">
        <v>36</v>
      </c>
      <c r="Q1122" t="s">
        <v>62</v>
      </c>
      <c r="R1122" t="s">
        <v>955</v>
      </c>
      <c r="S1122" t="s">
        <v>956</v>
      </c>
      <c r="T1122" t="s">
        <v>47</v>
      </c>
      <c r="U1122" t="s">
        <v>118</v>
      </c>
      <c r="V1122" t="s">
        <v>49</v>
      </c>
      <c r="W1122" t="s">
        <v>714</v>
      </c>
      <c r="X1122" t="s">
        <v>51</v>
      </c>
      <c r="Y1122" t="s">
        <v>138</v>
      </c>
      <c r="Z1122" t="s">
        <v>64</v>
      </c>
      <c r="AA1122" t="s">
        <v>139</v>
      </c>
      <c r="AB1122" s="3">
        <f t="shared" si="141"/>
        <v>4</v>
      </c>
      <c r="AC1122">
        <v>551.16</v>
      </c>
      <c r="AD1122" s="2">
        <v>137.79</v>
      </c>
      <c r="AE1122" s="2">
        <v>123.11</v>
      </c>
      <c r="AF1122" s="2">
        <v>4.04</v>
      </c>
      <c r="AG1122" s="2">
        <v>678.3</v>
      </c>
      <c r="AH1122">
        <v>0</v>
      </c>
      <c r="AI1122">
        <v>169.57499999999999</v>
      </c>
      <c r="AJ1122">
        <v>3.3915000000000002</v>
      </c>
      <c r="AK1122" t="s">
        <v>54</v>
      </c>
      <c r="AL1122">
        <v>8.81</v>
      </c>
      <c r="AM1122" s="4">
        <f t="shared" si="142"/>
        <v>169.57499999999999</v>
      </c>
      <c r="AN1122" s="4">
        <f t="shared" si="143"/>
        <v>258.35624999999999</v>
      </c>
      <c r="AO1122" s="4">
        <f t="shared" si="144"/>
        <v>287.03379374999997</v>
      </c>
      <c r="AP1122" s="4">
        <f t="shared" si="145"/>
        <v>418.51128937499993</v>
      </c>
      <c r="AQ1122" s="10">
        <f t="shared" ref="AQ1122:AQ1185" si="146">SUM(AM1122)*1.7391</f>
        <v>294.90788249999997</v>
      </c>
      <c r="AR1122" s="10">
        <f t="shared" ref="AR1122:AR1185" si="147">SUM(AQ1122)*1.1111</f>
        <v>327.67214824574995</v>
      </c>
      <c r="AS1122" s="10">
        <f t="shared" ref="AS1122:AS1185" si="148">SUM(AQ1122)*1.5568</f>
        <v>459.11259147599992</v>
      </c>
    </row>
    <row r="1123" spans="1:45" x14ac:dyDescent="0.3">
      <c r="A1123">
        <v>2025</v>
      </c>
      <c r="B1123">
        <v>8</v>
      </c>
      <c r="C1123" t="s">
        <v>55</v>
      </c>
      <c r="D1123">
        <v>10</v>
      </c>
      <c r="E1123" t="s">
        <v>36</v>
      </c>
      <c r="F1123" t="s">
        <v>37</v>
      </c>
      <c r="G1123" t="s">
        <v>38</v>
      </c>
      <c r="H1123" t="s">
        <v>101</v>
      </c>
      <c r="I1123" t="s">
        <v>190</v>
      </c>
      <c r="J1123" t="s">
        <v>58</v>
      </c>
      <c r="K1123" t="s">
        <v>59</v>
      </c>
      <c r="L1123" t="s">
        <v>1194</v>
      </c>
      <c r="M1123" t="s">
        <v>1195</v>
      </c>
      <c r="N1123" t="s">
        <v>1196</v>
      </c>
      <c r="O1123" t="s">
        <v>1197</v>
      </c>
      <c r="Q1123" t="s">
        <v>62</v>
      </c>
      <c r="R1123" t="s">
        <v>1198</v>
      </c>
      <c r="S1123" t="s">
        <v>1198</v>
      </c>
      <c r="T1123" t="s">
        <v>47</v>
      </c>
      <c r="U1123" t="s">
        <v>118</v>
      </c>
      <c r="V1123" t="s">
        <v>49</v>
      </c>
      <c r="W1123" t="s">
        <v>714</v>
      </c>
      <c r="X1123" t="s">
        <v>388</v>
      </c>
      <c r="Y1123" t="s">
        <v>1100</v>
      </c>
      <c r="Z1123" t="s">
        <v>1100</v>
      </c>
      <c r="AA1123" t="s">
        <v>139</v>
      </c>
      <c r="AB1123" s="3">
        <f t="shared" si="141"/>
        <v>3</v>
      </c>
      <c r="AC1123">
        <v>416.13</v>
      </c>
      <c r="AD1123" s="2">
        <v>138.71</v>
      </c>
      <c r="AE1123" s="2">
        <v>87.12</v>
      </c>
      <c r="AF1123" s="2">
        <v>2.88</v>
      </c>
      <c r="AG1123" s="2">
        <v>506.13</v>
      </c>
      <c r="AH1123">
        <v>0</v>
      </c>
      <c r="AI1123">
        <v>168.71</v>
      </c>
      <c r="AJ1123">
        <v>2.5306500000000001</v>
      </c>
      <c r="AK1123" t="s">
        <v>54</v>
      </c>
      <c r="AL1123">
        <v>6.52</v>
      </c>
      <c r="AM1123" s="4">
        <f t="shared" si="142"/>
        <v>168.71</v>
      </c>
      <c r="AN1123" s="4">
        <f t="shared" si="143"/>
        <v>260.08125000000001</v>
      </c>
      <c r="AO1123" s="4">
        <f t="shared" si="144"/>
        <v>288.95026875000002</v>
      </c>
      <c r="AP1123" s="4">
        <f t="shared" si="145"/>
        <v>421.305616875</v>
      </c>
      <c r="AQ1123" s="10">
        <f t="shared" si="146"/>
        <v>293.40356100000002</v>
      </c>
      <c r="AR1123" s="10">
        <f t="shared" si="147"/>
        <v>326.00069662710001</v>
      </c>
      <c r="AS1123" s="10">
        <f t="shared" si="148"/>
        <v>456.77066376480002</v>
      </c>
    </row>
    <row r="1124" spans="1:45" x14ac:dyDescent="0.3">
      <c r="A1124">
        <v>2025</v>
      </c>
      <c r="B1124">
        <v>8</v>
      </c>
      <c r="C1124" t="s">
        <v>55</v>
      </c>
      <c r="D1124">
        <v>10</v>
      </c>
      <c r="E1124" t="s">
        <v>36</v>
      </c>
      <c r="F1124" t="s">
        <v>37</v>
      </c>
      <c r="G1124" t="s">
        <v>38</v>
      </c>
      <c r="H1124" t="s">
        <v>101</v>
      </c>
      <c r="I1124" t="s">
        <v>190</v>
      </c>
      <c r="J1124" t="s">
        <v>58</v>
      </c>
      <c r="K1124" t="s">
        <v>59</v>
      </c>
      <c r="L1124" t="s">
        <v>1194</v>
      </c>
      <c r="M1124" t="s">
        <v>1195</v>
      </c>
      <c r="N1124" t="s">
        <v>1196</v>
      </c>
      <c r="O1124" t="s">
        <v>1197</v>
      </c>
      <c r="Q1124" t="s">
        <v>62</v>
      </c>
      <c r="R1124" t="s">
        <v>1198</v>
      </c>
      <c r="S1124" t="s">
        <v>1198</v>
      </c>
      <c r="T1124" t="s">
        <v>47</v>
      </c>
      <c r="U1124" t="s">
        <v>118</v>
      </c>
      <c r="V1124" t="s">
        <v>49</v>
      </c>
      <c r="W1124" t="s">
        <v>714</v>
      </c>
      <c r="X1124" t="s">
        <v>388</v>
      </c>
      <c r="Y1124" t="s">
        <v>1322</v>
      </c>
      <c r="Z1124" t="s">
        <v>1322</v>
      </c>
      <c r="AA1124" t="s">
        <v>139</v>
      </c>
      <c r="AB1124" s="3">
        <f t="shared" si="141"/>
        <v>4</v>
      </c>
      <c r="AC1124">
        <v>587.11</v>
      </c>
      <c r="AD1124" s="2">
        <v>146.7775</v>
      </c>
      <c r="AE1124" s="2">
        <v>42.7</v>
      </c>
      <c r="AF1124" s="2">
        <v>3.8</v>
      </c>
      <c r="AG1124" s="2">
        <v>632.98</v>
      </c>
      <c r="AH1124">
        <v>0</v>
      </c>
      <c r="AI1124">
        <v>158.245</v>
      </c>
      <c r="AJ1124">
        <v>3.1648999999999998</v>
      </c>
      <c r="AK1124" t="s">
        <v>54</v>
      </c>
      <c r="AL1124">
        <v>4.9400000000000004</v>
      </c>
      <c r="AM1124" s="4">
        <f t="shared" si="142"/>
        <v>158.245</v>
      </c>
      <c r="AN1124" s="4">
        <f t="shared" si="143"/>
        <v>275.20781249999999</v>
      </c>
      <c r="AO1124" s="4">
        <f t="shared" si="144"/>
        <v>305.7558796875</v>
      </c>
      <c r="AP1124" s="4">
        <f t="shared" si="145"/>
        <v>445.80913546874996</v>
      </c>
      <c r="AQ1124" s="10">
        <f t="shared" si="146"/>
        <v>275.20387950000003</v>
      </c>
      <c r="AR1124" s="10">
        <f t="shared" si="147"/>
        <v>305.77903051245005</v>
      </c>
      <c r="AS1124" s="10">
        <f t="shared" si="148"/>
        <v>428.43739960560004</v>
      </c>
    </row>
    <row r="1125" spans="1:45" x14ac:dyDescent="0.3">
      <c r="A1125">
        <v>2025</v>
      </c>
      <c r="B1125">
        <v>8</v>
      </c>
      <c r="C1125" t="s">
        <v>55</v>
      </c>
      <c r="D1125">
        <v>10</v>
      </c>
      <c r="E1125" t="s">
        <v>36</v>
      </c>
      <c r="F1125" t="s">
        <v>37</v>
      </c>
      <c r="G1125" t="s">
        <v>38</v>
      </c>
      <c r="H1125" t="s">
        <v>101</v>
      </c>
      <c r="I1125" t="s">
        <v>190</v>
      </c>
      <c r="J1125" t="s">
        <v>58</v>
      </c>
      <c r="K1125" t="s">
        <v>59</v>
      </c>
      <c r="L1125" t="s">
        <v>1194</v>
      </c>
      <c r="M1125" t="s">
        <v>1195</v>
      </c>
      <c r="N1125" t="s">
        <v>1196</v>
      </c>
      <c r="O1125" t="s">
        <v>1197</v>
      </c>
      <c r="Q1125" t="s">
        <v>62</v>
      </c>
      <c r="R1125" t="s">
        <v>1198</v>
      </c>
      <c r="S1125" t="s">
        <v>1198</v>
      </c>
      <c r="T1125" t="s">
        <v>47</v>
      </c>
      <c r="U1125" t="s">
        <v>118</v>
      </c>
      <c r="V1125" t="s">
        <v>49</v>
      </c>
      <c r="W1125" t="s">
        <v>714</v>
      </c>
      <c r="X1125" t="s">
        <v>388</v>
      </c>
      <c r="Y1125" t="s">
        <v>1322</v>
      </c>
      <c r="Z1125" t="s">
        <v>1322</v>
      </c>
      <c r="AA1125" t="s">
        <v>139</v>
      </c>
      <c r="AB1125" s="3">
        <f t="shared" si="141"/>
        <v>4</v>
      </c>
      <c r="AC1125">
        <v>587.11</v>
      </c>
      <c r="AD1125" s="2">
        <v>146.7775</v>
      </c>
      <c r="AE1125" s="2">
        <v>42.7</v>
      </c>
      <c r="AF1125" s="2">
        <v>3.8</v>
      </c>
      <c r="AG1125" s="2">
        <v>632.98</v>
      </c>
      <c r="AH1125">
        <v>0</v>
      </c>
      <c r="AI1125">
        <v>158.245</v>
      </c>
      <c r="AJ1125">
        <v>3.1648999999999998</v>
      </c>
      <c r="AK1125" t="s">
        <v>54</v>
      </c>
      <c r="AL1125">
        <v>4.9400000000000004</v>
      </c>
      <c r="AM1125" s="4">
        <f t="shared" si="142"/>
        <v>158.245</v>
      </c>
      <c r="AN1125" s="4">
        <f t="shared" si="143"/>
        <v>275.20781249999999</v>
      </c>
      <c r="AO1125" s="4">
        <f t="shared" si="144"/>
        <v>305.7558796875</v>
      </c>
      <c r="AP1125" s="4">
        <f t="shared" si="145"/>
        <v>445.80913546874996</v>
      </c>
      <c r="AQ1125" s="10">
        <f t="shared" si="146"/>
        <v>275.20387950000003</v>
      </c>
      <c r="AR1125" s="10">
        <f t="shared" si="147"/>
        <v>305.77903051245005</v>
      </c>
      <c r="AS1125" s="10">
        <f t="shared" si="148"/>
        <v>428.43739960560004</v>
      </c>
    </row>
    <row r="1126" spans="1:45" x14ac:dyDescent="0.3">
      <c r="A1126">
        <v>2025</v>
      </c>
      <c r="B1126">
        <v>9</v>
      </c>
      <c r="C1126" t="s">
        <v>55</v>
      </c>
      <c r="D1126">
        <v>10</v>
      </c>
      <c r="E1126" t="s">
        <v>36</v>
      </c>
      <c r="F1126" t="s">
        <v>37</v>
      </c>
      <c r="G1126" t="s">
        <v>38</v>
      </c>
      <c r="H1126" t="s">
        <v>101</v>
      </c>
      <c r="I1126" t="s">
        <v>375</v>
      </c>
      <c r="J1126" t="s">
        <v>376</v>
      </c>
      <c r="K1126" t="s">
        <v>41</v>
      </c>
      <c r="L1126" t="s">
        <v>1503</v>
      </c>
      <c r="M1126" t="s">
        <v>1504</v>
      </c>
      <c r="N1126" t="s">
        <v>377</v>
      </c>
      <c r="O1126" t="s">
        <v>1197</v>
      </c>
      <c r="Q1126" t="s">
        <v>62</v>
      </c>
      <c r="R1126" t="s">
        <v>1505</v>
      </c>
      <c r="S1126" t="s">
        <v>1505</v>
      </c>
      <c r="T1126" t="s">
        <v>47</v>
      </c>
      <c r="U1126" t="s">
        <v>118</v>
      </c>
      <c r="V1126" t="s">
        <v>49</v>
      </c>
      <c r="W1126" t="s">
        <v>714</v>
      </c>
      <c r="X1126" t="s">
        <v>388</v>
      </c>
      <c r="Y1126" t="s">
        <v>1322</v>
      </c>
      <c r="Z1126" t="s">
        <v>1322</v>
      </c>
      <c r="AA1126" t="s">
        <v>139</v>
      </c>
      <c r="AB1126" s="3">
        <f t="shared" si="141"/>
        <v>1</v>
      </c>
      <c r="AC1126">
        <v>146.78</v>
      </c>
      <c r="AD1126" s="2">
        <v>146.78</v>
      </c>
      <c r="AE1126" s="2">
        <v>10.52</v>
      </c>
      <c r="AF1126" s="2">
        <v>0.95</v>
      </c>
      <c r="AG1126" s="2">
        <v>158.25</v>
      </c>
      <c r="AH1126">
        <v>0</v>
      </c>
      <c r="AI1126">
        <v>158.25</v>
      </c>
      <c r="AJ1126">
        <v>0.79125000000000001</v>
      </c>
      <c r="AK1126" t="s">
        <v>54</v>
      </c>
      <c r="AL1126">
        <v>1.24</v>
      </c>
      <c r="AM1126" s="4">
        <f t="shared" si="142"/>
        <v>158.25</v>
      </c>
      <c r="AN1126" s="4">
        <f t="shared" si="143"/>
        <v>275.21249999999998</v>
      </c>
      <c r="AO1126" s="4">
        <f t="shared" si="144"/>
        <v>305.76108749999997</v>
      </c>
      <c r="AP1126" s="4">
        <f t="shared" si="145"/>
        <v>445.81672874999992</v>
      </c>
      <c r="AQ1126" s="10">
        <f t="shared" si="146"/>
        <v>275.21257500000002</v>
      </c>
      <c r="AR1126" s="10">
        <f t="shared" si="147"/>
        <v>305.78869208250001</v>
      </c>
      <c r="AS1126" s="10">
        <f t="shared" si="148"/>
        <v>428.45093675999999</v>
      </c>
    </row>
    <row r="1127" spans="1:45" x14ac:dyDescent="0.3">
      <c r="A1127">
        <v>2025</v>
      </c>
      <c r="B1127">
        <v>4</v>
      </c>
      <c r="C1127" t="s">
        <v>55</v>
      </c>
      <c r="D1127">
        <v>10</v>
      </c>
      <c r="E1127" t="s">
        <v>36</v>
      </c>
      <c r="F1127" t="s">
        <v>37</v>
      </c>
      <c r="G1127" t="s">
        <v>38</v>
      </c>
      <c r="H1127" t="s">
        <v>101</v>
      </c>
      <c r="I1127" t="s">
        <v>375</v>
      </c>
      <c r="J1127" t="s">
        <v>376</v>
      </c>
      <c r="K1127" t="s">
        <v>59</v>
      </c>
      <c r="M1127">
        <v>2503061</v>
      </c>
      <c r="N1127" t="s">
        <v>377</v>
      </c>
      <c r="O1127" t="s">
        <v>36</v>
      </c>
      <c r="Q1127" t="s">
        <v>62</v>
      </c>
      <c r="R1127" t="s">
        <v>378</v>
      </c>
      <c r="S1127" t="s">
        <v>378</v>
      </c>
      <c r="T1127" t="s">
        <v>47</v>
      </c>
      <c r="U1127" t="s">
        <v>118</v>
      </c>
      <c r="V1127" t="s">
        <v>49</v>
      </c>
      <c r="W1127" t="s">
        <v>119</v>
      </c>
      <c r="X1127" t="s">
        <v>51</v>
      </c>
      <c r="Y1127" t="s">
        <v>1322</v>
      </c>
      <c r="Z1127" t="s">
        <v>1322</v>
      </c>
      <c r="AA1127" t="s">
        <v>139</v>
      </c>
      <c r="AB1127" s="3">
        <f t="shared" si="141"/>
        <v>4</v>
      </c>
      <c r="AC1127">
        <v>574.62</v>
      </c>
      <c r="AD1127" s="2">
        <v>143.655</v>
      </c>
      <c r="AE1127" s="2">
        <v>208.95</v>
      </c>
      <c r="AF1127" s="2">
        <v>4.8099999999999996</v>
      </c>
      <c r="AG1127" s="2">
        <v>788.38</v>
      </c>
      <c r="AH1127">
        <v>0</v>
      </c>
      <c r="AI1127">
        <v>197.095</v>
      </c>
      <c r="AJ1127">
        <v>3.9419</v>
      </c>
      <c r="AK1127" t="s">
        <v>54</v>
      </c>
      <c r="AL1127">
        <v>8.9</v>
      </c>
      <c r="AM1127" s="4">
        <f t="shared" si="142"/>
        <v>197.095</v>
      </c>
      <c r="AN1127" s="4">
        <f t="shared" si="143"/>
        <v>269.35312499999998</v>
      </c>
      <c r="AO1127" s="4">
        <f t="shared" si="144"/>
        <v>299.25132187499997</v>
      </c>
      <c r="AP1127" s="4">
        <f t="shared" si="145"/>
        <v>436.32512718749996</v>
      </c>
      <c r="AQ1127" s="10">
        <f t="shared" si="146"/>
        <v>342.76791450000002</v>
      </c>
      <c r="AR1127" s="10">
        <f t="shared" si="147"/>
        <v>380.84942980095002</v>
      </c>
      <c r="AS1127" s="10">
        <f t="shared" si="148"/>
        <v>533.62108929359999</v>
      </c>
    </row>
    <row r="1128" spans="1:45" x14ac:dyDescent="0.3">
      <c r="A1128">
        <v>2025</v>
      </c>
      <c r="B1128">
        <v>4</v>
      </c>
      <c r="C1128" t="s">
        <v>55</v>
      </c>
      <c r="D1128">
        <v>10</v>
      </c>
      <c r="E1128" t="s">
        <v>36</v>
      </c>
      <c r="F1128" t="s">
        <v>37</v>
      </c>
      <c r="G1128" t="s">
        <v>38</v>
      </c>
      <c r="H1128" t="s">
        <v>101</v>
      </c>
      <c r="I1128" t="s">
        <v>375</v>
      </c>
      <c r="J1128" t="s">
        <v>376</v>
      </c>
      <c r="K1128" t="s">
        <v>59</v>
      </c>
      <c r="M1128">
        <v>2503061</v>
      </c>
      <c r="N1128" t="s">
        <v>377</v>
      </c>
      <c r="O1128" t="s">
        <v>36</v>
      </c>
      <c r="Q1128" t="s">
        <v>62</v>
      </c>
      <c r="R1128" t="s">
        <v>378</v>
      </c>
      <c r="S1128" t="s">
        <v>378</v>
      </c>
      <c r="T1128" t="s">
        <v>47</v>
      </c>
      <c r="U1128" t="s">
        <v>118</v>
      </c>
      <c r="V1128" t="s">
        <v>49</v>
      </c>
      <c r="W1128" t="s">
        <v>119</v>
      </c>
      <c r="X1128" t="s">
        <v>51</v>
      </c>
      <c r="Y1128" t="s">
        <v>487</v>
      </c>
      <c r="Z1128" t="s">
        <v>487</v>
      </c>
      <c r="AA1128" t="s">
        <v>488</v>
      </c>
      <c r="AB1128" s="3">
        <f t="shared" si="141"/>
        <v>3.00000000000004</v>
      </c>
      <c r="AC1128">
        <v>758.32</v>
      </c>
      <c r="AD1128" s="2">
        <v>252.77333333332999</v>
      </c>
      <c r="AE1128" s="2">
        <v>45.26</v>
      </c>
      <c r="AF1128" s="2">
        <v>5.39</v>
      </c>
      <c r="AG1128" s="2">
        <v>808.98</v>
      </c>
      <c r="AH1128">
        <v>0</v>
      </c>
      <c r="AI1128">
        <v>269.66000000000003</v>
      </c>
      <c r="AJ1128">
        <v>4.0449000000000002</v>
      </c>
      <c r="AK1128" t="s">
        <v>54</v>
      </c>
      <c r="AL1128">
        <v>2.16</v>
      </c>
      <c r="AM1128" s="4">
        <f t="shared" si="142"/>
        <v>269.65999999999639</v>
      </c>
      <c r="AN1128" s="4">
        <f t="shared" si="143"/>
        <v>473.94999999999374</v>
      </c>
      <c r="AO1128" s="4">
        <f t="shared" si="144"/>
        <v>526.55844999999306</v>
      </c>
      <c r="AP1128" s="4">
        <f t="shared" si="145"/>
        <v>767.75160499998981</v>
      </c>
      <c r="AQ1128" s="10">
        <f t="shared" si="146"/>
        <v>468.96570599999376</v>
      </c>
      <c r="AR1128" s="10">
        <f t="shared" si="147"/>
        <v>521.06779593659303</v>
      </c>
      <c r="AS1128" s="10">
        <f t="shared" si="148"/>
        <v>730.08581110079024</v>
      </c>
    </row>
    <row r="1129" spans="1:45" x14ac:dyDescent="0.3">
      <c r="A1129">
        <v>2025</v>
      </c>
      <c r="B1129">
        <v>8</v>
      </c>
      <c r="C1129" t="s">
        <v>55</v>
      </c>
      <c r="D1129">
        <v>10</v>
      </c>
      <c r="E1129" t="s">
        <v>36</v>
      </c>
      <c r="F1129" t="s">
        <v>37</v>
      </c>
      <c r="G1129" t="s">
        <v>38</v>
      </c>
      <c r="H1129" t="s">
        <v>101</v>
      </c>
      <c r="I1129" t="s">
        <v>190</v>
      </c>
      <c r="J1129" t="s">
        <v>58</v>
      </c>
      <c r="K1129" t="s">
        <v>59</v>
      </c>
      <c r="L1129" t="s">
        <v>1194</v>
      </c>
      <c r="M1129" t="s">
        <v>1195</v>
      </c>
      <c r="N1129" t="s">
        <v>1196</v>
      </c>
      <c r="O1129" t="s">
        <v>1197</v>
      </c>
      <c r="Q1129" t="s">
        <v>62</v>
      </c>
      <c r="R1129" t="s">
        <v>1198</v>
      </c>
      <c r="S1129" t="s">
        <v>1198</v>
      </c>
      <c r="T1129" t="s">
        <v>47</v>
      </c>
      <c r="U1129" t="s">
        <v>118</v>
      </c>
      <c r="V1129" t="s">
        <v>49</v>
      </c>
      <c r="W1129" t="s">
        <v>714</v>
      </c>
      <c r="X1129" t="s">
        <v>388</v>
      </c>
      <c r="Y1129" t="s">
        <v>487</v>
      </c>
      <c r="Z1129" t="s">
        <v>487</v>
      </c>
      <c r="AA1129" t="s">
        <v>488</v>
      </c>
      <c r="AB1129" s="3">
        <f t="shared" si="141"/>
        <v>4</v>
      </c>
      <c r="AC1129">
        <v>1034.3699999999999</v>
      </c>
      <c r="AD1129" s="2">
        <v>258.59249999999997</v>
      </c>
      <c r="AE1129" s="2">
        <v>94.5</v>
      </c>
      <c r="AF1129" s="2">
        <v>7.34</v>
      </c>
      <c r="AG1129" s="2">
        <v>1136.22</v>
      </c>
      <c r="AH1129">
        <v>0</v>
      </c>
      <c r="AI1129">
        <v>284.05500000000001</v>
      </c>
      <c r="AJ1129">
        <v>5.6810999999999998</v>
      </c>
      <c r="AK1129" t="s">
        <v>54</v>
      </c>
      <c r="AL1129">
        <v>4.51</v>
      </c>
      <c r="AM1129" s="4">
        <f t="shared" si="142"/>
        <v>284.05500000000001</v>
      </c>
      <c r="AN1129" s="4">
        <f t="shared" si="143"/>
        <v>484.86093749999998</v>
      </c>
      <c r="AO1129" s="4">
        <f t="shared" si="144"/>
        <v>538.68050156250001</v>
      </c>
      <c r="AP1129" s="4">
        <f t="shared" si="145"/>
        <v>785.42623265624991</v>
      </c>
      <c r="AQ1129" s="10">
        <f t="shared" si="146"/>
        <v>494.00005050000004</v>
      </c>
      <c r="AR1129" s="10">
        <f t="shared" si="147"/>
        <v>548.88345611055001</v>
      </c>
      <c r="AS1129" s="10">
        <f t="shared" si="148"/>
        <v>769.05927861840007</v>
      </c>
    </row>
    <row r="1130" spans="1:45" x14ac:dyDescent="0.3">
      <c r="A1130">
        <v>2025</v>
      </c>
      <c r="B1130">
        <v>8</v>
      </c>
      <c r="C1130" t="s">
        <v>55</v>
      </c>
      <c r="D1130">
        <v>10</v>
      </c>
      <c r="E1130" t="s">
        <v>36</v>
      </c>
      <c r="F1130" t="s">
        <v>37</v>
      </c>
      <c r="G1130" t="s">
        <v>38</v>
      </c>
      <c r="H1130" t="s">
        <v>101</v>
      </c>
      <c r="I1130" t="s">
        <v>190</v>
      </c>
      <c r="J1130" t="s">
        <v>58</v>
      </c>
      <c r="K1130" t="s">
        <v>59</v>
      </c>
      <c r="L1130" t="s">
        <v>1194</v>
      </c>
      <c r="M1130" t="s">
        <v>1195</v>
      </c>
      <c r="N1130" t="s">
        <v>1196</v>
      </c>
      <c r="O1130" t="s">
        <v>1197</v>
      </c>
      <c r="Q1130" t="s">
        <v>62</v>
      </c>
      <c r="R1130" t="s">
        <v>1198</v>
      </c>
      <c r="S1130" t="s">
        <v>1198</v>
      </c>
      <c r="T1130" t="s">
        <v>47</v>
      </c>
      <c r="U1130" t="s">
        <v>118</v>
      </c>
      <c r="V1130" t="s">
        <v>49</v>
      </c>
      <c r="W1130" t="s">
        <v>714</v>
      </c>
      <c r="X1130" t="s">
        <v>388</v>
      </c>
      <c r="Y1130" t="s">
        <v>1322</v>
      </c>
      <c r="Z1130" t="s">
        <v>1322</v>
      </c>
      <c r="AA1130" t="s">
        <v>488</v>
      </c>
      <c r="AB1130" s="3">
        <f t="shared" si="141"/>
        <v>5.0000000000000009</v>
      </c>
      <c r="AC1130">
        <v>1148.68</v>
      </c>
      <c r="AD1130" s="2">
        <v>229.73599999999999</v>
      </c>
      <c r="AE1130" s="2">
        <v>82.32</v>
      </c>
      <c r="AF1130" s="2">
        <v>7.43</v>
      </c>
      <c r="AG1130" s="2">
        <v>1238.43</v>
      </c>
      <c r="AH1130">
        <v>0</v>
      </c>
      <c r="AI1130">
        <v>247.68600000000001</v>
      </c>
      <c r="AJ1130">
        <v>6.1921499999999998</v>
      </c>
      <c r="AK1130" t="s">
        <v>54</v>
      </c>
      <c r="AL1130">
        <v>9.67</v>
      </c>
      <c r="AM1130" s="4">
        <f t="shared" si="142"/>
        <v>247.68599999999998</v>
      </c>
      <c r="AN1130" s="4">
        <f t="shared" si="143"/>
        <v>430.755</v>
      </c>
      <c r="AO1130" s="4">
        <f t="shared" si="144"/>
        <v>478.568805</v>
      </c>
      <c r="AP1130" s="4">
        <f t="shared" si="145"/>
        <v>697.78002449999997</v>
      </c>
      <c r="AQ1130" s="10">
        <f t="shared" si="146"/>
        <v>430.75072259999996</v>
      </c>
      <c r="AR1130" s="10">
        <f t="shared" si="147"/>
        <v>478.60712788085993</v>
      </c>
      <c r="AS1130" s="10">
        <f t="shared" si="148"/>
        <v>670.59272494367997</v>
      </c>
    </row>
    <row r="1131" spans="1:45" x14ac:dyDescent="0.3">
      <c r="A1131">
        <v>2025</v>
      </c>
      <c r="B1131">
        <v>8</v>
      </c>
      <c r="C1131" t="s">
        <v>55</v>
      </c>
      <c r="D1131">
        <v>10</v>
      </c>
      <c r="E1131" t="s">
        <v>36</v>
      </c>
      <c r="F1131" t="s">
        <v>37</v>
      </c>
      <c r="G1131" t="s">
        <v>38</v>
      </c>
      <c r="H1131" t="s">
        <v>101</v>
      </c>
      <c r="I1131" t="s">
        <v>190</v>
      </c>
      <c r="J1131" t="s">
        <v>58</v>
      </c>
      <c r="K1131" t="s">
        <v>59</v>
      </c>
      <c r="L1131" t="s">
        <v>1194</v>
      </c>
      <c r="M1131" t="s">
        <v>1195</v>
      </c>
      <c r="N1131" t="s">
        <v>1196</v>
      </c>
      <c r="O1131" t="s">
        <v>1197</v>
      </c>
      <c r="Q1131" t="s">
        <v>62</v>
      </c>
      <c r="R1131" t="s">
        <v>1198</v>
      </c>
      <c r="S1131" t="s">
        <v>1198</v>
      </c>
      <c r="T1131" t="s">
        <v>47</v>
      </c>
      <c r="U1131" t="s">
        <v>118</v>
      </c>
      <c r="V1131" t="s">
        <v>49</v>
      </c>
      <c r="W1131" t="s">
        <v>714</v>
      </c>
      <c r="X1131" t="s">
        <v>388</v>
      </c>
      <c r="Y1131" t="s">
        <v>1322</v>
      </c>
      <c r="Z1131" t="s">
        <v>1322</v>
      </c>
      <c r="AA1131" t="s">
        <v>488</v>
      </c>
      <c r="AB1131" s="3">
        <f t="shared" si="141"/>
        <v>1</v>
      </c>
      <c r="AC1131">
        <v>229.74</v>
      </c>
      <c r="AD1131" s="2">
        <v>229.74</v>
      </c>
      <c r="AE1131" s="2">
        <v>16.46</v>
      </c>
      <c r="AF1131" s="2">
        <v>1.49</v>
      </c>
      <c r="AG1131" s="2">
        <v>247.69</v>
      </c>
      <c r="AH1131">
        <v>0</v>
      </c>
      <c r="AI1131">
        <v>247.69</v>
      </c>
      <c r="AJ1131">
        <v>1.2384500000000001</v>
      </c>
      <c r="AK1131" t="s">
        <v>54</v>
      </c>
      <c r="AL1131">
        <v>1.93</v>
      </c>
      <c r="AM1131" s="4">
        <f t="shared" si="142"/>
        <v>247.69</v>
      </c>
      <c r="AN1131" s="4">
        <f t="shared" si="143"/>
        <v>430.76250000000005</v>
      </c>
      <c r="AO1131" s="4">
        <f t="shared" si="144"/>
        <v>478.57713750000005</v>
      </c>
      <c r="AP1131" s="4">
        <f t="shared" si="145"/>
        <v>697.79217375000007</v>
      </c>
      <c r="AQ1131" s="10">
        <f t="shared" si="146"/>
        <v>430.757679</v>
      </c>
      <c r="AR1131" s="10">
        <f t="shared" si="147"/>
        <v>478.61485713690001</v>
      </c>
      <c r="AS1131" s="10">
        <f t="shared" si="148"/>
        <v>670.6035546672</v>
      </c>
    </row>
    <row r="1132" spans="1:45" x14ac:dyDescent="0.3">
      <c r="A1132">
        <v>2025</v>
      </c>
      <c r="B1132">
        <v>11</v>
      </c>
      <c r="C1132" t="s">
        <v>55</v>
      </c>
      <c r="D1132">
        <v>10</v>
      </c>
      <c r="E1132" t="s">
        <v>36</v>
      </c>
      <c r="F1132" t="s">
        <v>37</v>
      </c>
      <c r="G1132" t="s">
        <v>38</v>
      </c>
      <c r="H1132" t="s">
        <v>101</v>
      </c>
      <c r="I1132" t="s">
        <v>375</v>
      </c>
      <c r="J1132" t="s">
        <v>376</v>
      </c>
      <c r="K1132" t="s">
        <v>51</v>
      </c>
      <c r="L1132" t="s">
        <v>1622</v>
      </c>
      <c r="M1132" t="s">
        <v>1623</v>
      </c>
      <c r="N1132" t="s">
        <v>1485</v>
      </c>
      <c r="O1132" t="s">
        <v>1197</v>
      </c>
      <c r="Q1132" t="s">
        <v>62</v>
      </c>
      <c r="R1132" t="s">
        <v>1624</v>
      </c>
      <c r="S1132" t="s">
        <v>1624</v>
      </c>
      <c r="T1132" t="s">
        <v>47</v>
      </c>
      <c r="U1132" t="s">
        <v>118</v>
      </c>
      <c r="V1132" t="s">
        <v>49</v>
      </c>
      <c r="W1132" t="s">
        <v>714</v>
      </c>
      <c r="X1132" t="s">
        <v>51</v>
      </c>
      <c r="Y1132" t="s">
        <v>1322</v>
      </c>
      <c r="Z1132" t="s">
        <v>1322</v>
      </c>
      <c r="AA1132" t="s">
        <v>488</v>
      </c>
      <c r="AB1132" s="3">
        <f t="shared" si="141"/>
        <v>4</v>
      </c>
      <c r="AC1132">
        <v>918.94</v>
      </c>
      <c r="AD1132" s="2">
        <v>229.73500000000001</v>
      </c>
      <c r="AE1132" s="2">
        <v>65.86</v>
      </c>
      <c r="AF1132" s="2">
        <v>5.95</v>
      </c>
      <c r="AG1132" s="2">
        <v>990.74</v>
      </c>
      <c r="AH1132">
        <v>0</v>
      </c>
      <c r="AI1132">
        <v>247.685</v>
      </c>
      <c r="AJ1132">
        <v>4.9537000000000004</v>
      </c>
      <c r="AK1132" t="s">
        <v>54</v>
      </c>
      <c r="AL1132">
        <v>7.74</v>
      </c>
      <c r="AM1132" s="4">
        <f t="shared" si="142"/>
        <v>247.685</v>
      </c>
      <c r="AN1132" s="4">
        <f t="shared" si="143"/>
        <v>430.75312500000001</v>
      </c>
      <c r="AO1132" s="4">
        <f t="shared" si="144"/>
        <v>478.56672187499998</v>
      </c>
      <c r="AP1132" s="4">
        <f t="shared" si="145"/>
        <v>697.77698718750003</v>
      </c>
      <c r="AQ1132" s="10">
        <f t="shared" si="146"/>
        <v>430.74898350000001</v>
      </c>
      <c r="AR1132" s="10">
        <f t="shared" si="147"/>
        <v>478.60519556685</v>
      </c>
      <c r="AS1132" s="10">
        <f t="shared" si="148"/>
        <v>670.59001751280005</v>
      </c>
    </row>
    <row r="1133" spans="1:45" x14ac:dyDescent="0.3">
      <c r="A1133">
        <v>2025</v>
      </c>
      <c r="B1133">
        <v>11</v>
      </c>
      <c r="C1133" t="s">
        <v>55</v>
      </c>
      <c r="D1133">
        <v>10</v>
      </c>
      <c r="E1133" t="s">
        <v>36</v>
      </c>
      <c r="F1133" t="s">
        <v>37</v>
      </c>
      <c r="G1133" t="s">
        <v>38</v>
      </c>
      <c r="H1133" t="s">
        <v>101</v>
      </c>
      <c r="I1133" t="s">
        <v>375</v>
      </c>
      <c r="J1133" t="s">
        <v>376</v>
      </c>
      <c r="K1133" t="s">
        <v>51</v>
      </c>
      <c r="L1133" t="s">
        <v>1622</v>
      </c>
      <c r="M1133" t="s">
        <v>1623</v>
      </c>
      <c r="N1133" t="s">
        <v>1485</v>
      </c>
      <c r="O1133" t="s">
        <v>1197</v>
      </c>
      <c r="Q1133" t="s">
        <v>62</v>
      </c>
      <c r="R1133" t="s">
        <v>1624</v>
      </c>
      <c r="S1133" t="s">
        <v>1624</v>
      </c>
      <c r="T1133" t="s">
        <v>47</v>
      </c>
      <c r="U1133" t="s">
        <v>118</v>
      </c>
      <c r="V1133" t="s">
        <v>49</v>
      </c>
      <c r="W1133" t="s">
        <v>714</v>
      </c>
      <c r="X1133" t="s">
        <v>51</v>
      </c>
      <c r="Y1133" t="s">
        <v>1349</v>
      </c>
      <c r="Z1133" t="s">
        <v>1349</v>
      </c>
      <c r="AA1133" t="s">
        <v>488</v>
      </c>
      <c r="AB1133" s="3">
        <f t="shared" si="141"/>
        <v>5.9999999999999991</v>
      </c>
      <c r="AC1133">
        <v>1324.8</v>
      </c>
      <c r="AD1133" s="2">
        <v>220.8</v>
      </c>
      <c r="AE1133" s="2">
        <v>185.5</v>
      </c>
      <c r="AF1133" s="2">
        <v>9.17</v>
      </c>
      <c r="AG1133" s="2">
        <v>1519.47</v>
      </c>
      <c r="AH1133">
        <v>0</v>
      </c>
      <c r="AI1133">
        <v>253.245</v>
      </c>
      <c r="AJ1133">
        <v>7.5973499999999996</v>
      </c>
      <c r="AK1133" t="s">
        <v>54</v>
      </c>
      <c r="AL1133">
        <v>6.97</v>
      </c>
      <c r="AM1133" s="4">
        <f t="shared" si="142"/>
        <v>253.24500000000003</v>
      </c>
      <c r="AN1133" s="4">
        <f t="shared" si="143"/>
        <v>414</v>
      </c>
      <c r="AO1133" s="4">
        <f t="shared" si="144"/>
        <v>459.95400000000001</v>
      </c>
      <c r="AP1133" s="4">
        <f t="shared" si="145"/>
        <v>670.6386</v>
      </c>
      <c r="AQ1133" s="10">
        <f t="shared" si="146"/>
        <v>440.41837950000007</v>
      </c>
      <c r="AR1133" s="10">
        <f t="shared" si="147"/>
        <v>489.34886146245009</v>
      </c>
      <c r="AS1133" s="10">
        <f t="shared" si="148"/>
        <v>685.64333320560013</v>
      </c>
    </row>
    <row r="1134" spans="1:45" x14ac:dyDescent="0.3">
      <c r="A1134">
        <v>2025</v>
      </c>
      <c r="B1134">
        <v>3</v>
      </c>
      <c r="C1134" t="s">
        <v>55</v>
      </c>
      <c r="D1134">
        <v>10</v>
      </c>
      <c r="E1134" t="s">
        <v>36</v>
      </c>
      <c r="F1134" t="s">
        <v>37</v>
      </c>
      <c r="G1134" t="s">
        <v>38</v>
      </c>
      <c r="H1134" t="s">
        <v>101</v>
      </c>
      <c r="I1134" t="s">
        <v>190</v>
      </c>
      <c r="J1134" t="s">
        <v>58</v>
      </c>
      <c r="K1134" t="s">
        <v>59</v>
      </c>
      <c r="M1134" t="s">
        <v>209</v>
      </c>
      <c r="N1134" t="s">
        <v>61</v>
      </c>
      <c r="O1134" t="s">
        <v>43</v>
      </c>
      <c r="Q1134" t="s">
        <v>62</v>
      </c>
      <c r="R1134" t="s">
        <v>210</v>
      </c>
      <c r="S1134" t="s">
        <v>211</v>
      </c>
      <c r="T1134" t="s">
        <v>47</v>
      </c>
      <c r="U1134" t="s">
        <v>118</v>
      </c>
      <c r="V1134" t="s">
        <v>49</v>
      </c>
      <c r="W1134" t="s">
        <v>119</v>
      </c>
      <c r="X1134" t="s">
        <v>51</v>
      </c>
      <c r="Y1134" t="s">
        <v>1349</v>
      </c>
      <c r="Z1134" t="s">
        <v>1349</v>
      </c>
      <c r="AA1134" t="s">
        <v>488</v>
      </c>
      <c r="AB1134" s="3">
        <f t="shared" si="141"/>
        <v>4</v>
      </c>
      <c r="AC1134">
        <v>885.48</v>
      </c>
      <c r="AD1134" s="2">
        <v>221.37</v>
      </c>
      <c r="AE1134" s="2">
        <v>123.99</v>
      </c>
      <c r="AF1134" s="2">
        <v>6.13</v>
      </c>
      <c r="AG1134" s="2">
        <v>1015.6</v>
      </c>
      <c r="AH1134">
        <v>0</v>
      </c>
      <c r="AI1134">
        <v>253.9</v>
      </c>
      <c r="AJ1134">
        <v>5.0780000000000003</v>
      </c>
      <c r="AK1134" t="s">
        <v>54</v>
      </c>
      <c r="AL1134">
        <v>6.75</v>
      </c>
      <c r="AM1134" s="4">
        <f t="shared" si="142"/>
        <v>253.9</v>
      </c>
      <c r="AN1134" s="4">
        <f t="shared" si="143"/>
        <v>415.06875000000002</v>
      </c>
      <c r="AO1134" s="4">
        <f t="shared" si="144"/>
        <v>461.14138124999999</v>
      </c>
      <c r="AP1134" s="4">
        <f t="shared" si="145"/>
        <v>672.36986812500004</v>
      </c>
      <c r="AQ1134" s="10">
        <f t="shared" si="146"/>
        <v>441.55749000000003</v>
      </c>
      <c r="AR1134" s="10">
        <f t="shared" si="147"/>
        <v>490.61452713900002</v>
      </c>
      <c r="AS1134" s="10">
        <f t="shared" si="148"/>
        <v>687.41670043200008</v>
      </c>
    </row>
    <row r="1135" spans="1:45" x14ac:dyDescent="0.3">
      <c r="A1135">
        <v>2025</v>
      </c>
      <c r="B1135">
        <v>12</v>
      </c>
      <c r="C1135" t="s">
        <v>55</v>
      </c>
      <c r="D1135">
        <v>10</v>
      </c>
      <c r="E1135" t="s">
        <v>36</v>
      </c>
      <c r="F1135" t="s">
        <v>37</v>
      </c>
      <c r="G1135" t="s">
        <v>38</v>
      </c>
      <c r="H1135" t="s">
        <v>101</v>
      </c>
      <c r="I1135" t="s">
        <v>57</v>
      </c>
      <c r="J1135" t="s">
        <v>58</v>
      </c>
      <c r="K1135" t="s">
        <v>59</v>
      </c>
      <c r="L1135" t="s">
        <v>1769</v>
      </c>
      <c r="M1135" t="s">
        <v>1770</v>
      </c>
      <c r="N1135" t="s">
        <v>1771</v>
      </c>
      <c r="O1135" t="s">
        <v>1197</v>
      </c>
      <c r="Q1135" t="s">
        <v>62</v>
      </c>
      <c r="R1135" t="s">
        <v>1772</v>
      </c>
      <c r="S1135" t="s">
        <v>1772</v>
      </c>
      <c r="T1135" t="s">
        <v>47</v>
      </c>
      <c r="U1135" t="s">
        <v>118</v>
      </c>
      <c r="V1135" t="s">
        <v>49</v>
      </c>
      <c r="W1135" t="s">
        <v>714</v>
      </c>
      <c r="X1135" t="s">
        <v>51</v>
      </c>
      <c r="Y1135" t="s">
        <v>138</v>
      </c>
      <c r="Z1135" t="s">
        <v>64</v>
      </c>
      <c r="AA1135" t="s">
        <v>301</v>
      </c>
      <c r="AB1135" s="3">
        <f t="shared" si="141"/>
        <v>4</v>
      </c>
      <c r="AC1135">
        <v>1120.1300000000001</v>
      </c>
      <c r="AD1135" s="2">
        <v>280.03250000000003</v>
      </c>
      <c r="AE1135" s="2">
        <v>250.2</v>
      </c>
      <c r="AF1135" s="2">
        <v>8.2100000000000009</v>
      </c>
      <c r="AG1135" s="2">
        <v>1378.54</v>
      </c>
      <c r="AH1135">
        <v>0</v>
      </c>
      <c r="AI1135">
        <v>344.63499999999999</v>
      </c>
      <c r="AJ1135">
        <v>6.8926999999999996</v>
      </c>
      <c r="AK1135" t="s">
        <v>54</v>
      </c>
      <c r="AL1135">
        <v>8.81</v>
      </c>
      <c r="AM1135" s="4">
        <f t="shared" si="142"/>
        <v>344.63499999999999</v>
      </c>
      <c r="AN1135" s="4">
        <f t="shared" si="143"/>
        <v>525.06093750000002</v>
      </c>
      <c r="AO1135" s="4">
        <f t="shared" si="144"/>
        <v>583.3427015625</v>
      </c>
      <c r="AP1135" s="4">
        <f t="shared" si="145"/>
        <v>850.54621265624996</v>
      </c>
      <c r="AQ1135" s="10">
        <f t="shared" si="146"/>
        <v>599.35472849999996</v>
      </c>
      <c r="AR1135" s="10">
        <f t="shared" si="147"/>
        <v>665.94303883634996</v>
      </c>
      <c r="AS1135" s="10">
        <f t="shared" si="148"/>
        <v>933.07544132879991</v>
      </c>
    </row>
    <row r="1136" spans="1:45" x14ac:dyDescent="0.3">
      <c r="A1136">
        <v>2025</v>
      </c>
      <c r="B1136">
        <v>8</v>
      </c>
      <c r="C1136" t="s">
        <v>55</v>
      </c>
      <c r="D1136">
        <v>10</v>
      </c>
      <c r="E1136" t="s">
        <v>36</v>
      </c>
      <c r="F1136" t="s">
        <v>37</v>
      </c>
      <c r="G1136" t="s">
        <v>38</v>
      </c>
      <c r="H1136" t="s">
        <v>101</v>
      </c>
      <c r="I1136" t="s">
        <v>190</v>
      </c>
      <c r="J1136" t="s">
        <v>58</v>
      </c>
      <c r="K1136" t="s">
        <v>59</v>
      </c>
      <c r="L1136" t="s">
        <v>1194</v>
      </c>
      <c r="M1136" t="s">
        <v>1195</v>
      </c>
      <c r="N1136" t="s">
        <v>1196</v>
      </c>
      <c r="O1136" t="s">
        <v>1197</v>
      </c>
      <c r="Q1136" t="s">
        <v>62</v>
      </c>
      <c r="R1136" t="s">
        <v>1198</v>
      </c>
      <c r="S1136" t="s">
        <v>1198</v>
      </c>
      <c r="T1136" t="s">
        <v>47</v>
      </c>
      <c r="U1136" t="s">
        <v>118</v>
      </c>
      <c r="V1136" t="s">
        <v>49</v>
      </c>
      <c r="W1136" t="s">
        <v>714</v>
      </c>
      <c r="X1136" t="s">
        <v>388</v>
      </c>
      <c r="Y1136" t="s">
        <v>1322</v>
      </c>
      <c r="Z1136" t="s">
        <v>1322</v>
      </c>
      <c r="AA1136" t="s">
        <v>1875</v>
      </c>
      <c r="AB1136" s="3">
        <f t="shared" si="141"/>
        <v>2.9999999999999676</v>
      </c>
      <c r="AC1136">
        <v>927.8</v>
      </c>
      <c r="AD1136" s="2">
        <v>309.26666666667001</v>
      </c>
      <c r="AE1136" s="2">
        <v>275.20999999999998</v>
      </c>
      <c r="AF1136" s="2">
        <v>6.96</v>
      </c>
      <c r="AG1136" s="2">
        <v>1209.25</v>
      </c>
      <c r="AH1136">
        <v>0</v>
      </c>
      <c r="AI1136">
        <v>403.08333333333002</v>
      </c>
      <c r="AJ1136">
        <v>6.0462499999999997</v>
      </c>
      <c r="AK1136" t="s">
        <v>54</v>
      </c>
      <c r="AL1136">
        <v>6.89</v>
      </c>
      <c r="AM1136" s="4">
        <f t="shared" si="142"/>
        <v>403.08333333333769</v>
      </c>
      <c r="AN1136" s="4">
        <f t="shared" si="143"/>
        <v>579.87500000000625</v>
      </c>
      <c r="AO1136" s="4">
        <f t="shared" si="144"/>
        <v>644.24112500000695</v>
      </c>
      <c r="AP1136" s="4">
        <f t="shared" si="145"/>
        <v>939.33951250001007</v>
      </c>
      <c r="AQ1136" s="10">
        <f t="shared" si="146"/>
        <v>701.00222500000757</v>
      </c>
      <c r="AR1136" s="10">
        <f t="shared" si="147"/>
        <v>778.88357219750844</v>
      </c>
      <c r="AS1136" s="10">
        <f t="shared" si="148"/>
        <v>1091.3202638800117</v>
      </c>
    </row>
    <row r="1137" spans="1:45" x14ac:dyDescent="0.3">
      <c r="A1137">
        <v>2025</v>
      </c>
      <c r="B1137">
        <v>12</v>
      </c>
      <c r="C1137" t="s">
        <v>55</v>
      </c>
      <c r="D1137">
        <v>10</v>
      </c>
      <c r="E1137" t="s">
        <v>36</v>
      </c>
      <c r="F1137" t="s">
        <v>37</v>
      </c>
      <c r="G1137" t="s">
        <v>38</v>
      </c>
      <c r="H1137" t="s">
        <v>101</v>
      </c>
      <c r="I1137" t="s">
        <v>57</v>
      </c>
      <c r="J1137" t="s">
        <v>58</v>
      </c>
      <c r="K1137" t="s">
        <v>59</v>
      </c>
      <c r="L1137" t="s">
        <v>1769</v>
      </c>
      <c r="M1137" t="s">
        <v>1770</v>
      </c>
      <c r="N1137" t="s">
        <v>1771</v>
      </c>
      <c r="O1137" t="s">
        <v>1197</v>
      </c>
      <c r="Q1137" t="s">
        <v>62</v>
      </c>
      <c r="R1137" t="s">
        <v>1772</v>
      </c>
      <c r="S1137" t="s">
        <v>1772</v>
      </c>
      <c r="T1137" t="s">
        <v>47</v>
      </c>
      <c r="U1137" t="s">
        <v>118</v>
      </c>
      <c r="V1137" t="s">
        <v>49</v>
      </c>
      <c r="W1137" t="s">
        <v>714</v>
      </c>
      <c r="X1137" t="s">
        <v>51</v>
      </c>
      <c r="Y1137" t="s">
        <v>1322</v>
      </c>
      <c r="Z1137" t="s">
        <v>1322</v>
      </c>
      <c r="AA1137" t="s">
        <v>1357</v>
      </c>
      <c r="AB1137" s="3">
        <f t="shared" si="141"/>
        <v>4</v>
      </c>
      <c r="AC1137">
        <v>1551.1</v>
      </c>
      <c r="AD1137" s="2">
        <v>387.77499999999998</v>
      </c>
      <c r="AE1137" s="2">
        <v>111.15</v>
      </c>
      <c r="AF1137" s="2">
        <v>10.4</v>
      </c>
      <c r="AG1137" s="2">
        <v>1672.2</v>
      </c>
      <c r="AH1137">
        <v>0</v>
      </c>
      <c r="AI1137">
        <v>418.05</v>
      </c>
      <c r="AJ1137">
        <v>8.3610000000000007</v>
      </c>
      <c r="AK1137" t="s">
        <v>54</v>
      </c>
      <c r="AL1137">
        <v>13.6</v>
      </c>
      <c r="AM1137" s="4">
        <f t="shared" si="142"/>
        <v>418.05</v>
      </c>
      <c r="AN1137" s="4">
        <f t="shared" si="143"/>
        <v>727.078125</v>
      </c>
      <c r="AO1137" s="4">
        <f t="shared" si="144"/>
        <v>807.78379687500001</v>
      </c>
      <c r="AP1137" s="4">
        <f t="shared" si="145"/>
        <v>1177.7938546875</v>
      </c>
      <c r="AQ1137" s="10">
        <f t="shared" si="146"/>
        <v>727.03075500000011</v>
      </c>
      <c r="AR1137" s="10">
        <f t="shared" si="147"/>
        <v>807.80387188050008</v>
      </c>
      <c r="AS1137" s="10">
        <f t="shared" si="148"/>
        <v>1131.8414793840002</v>
      </c>
    </row>
    <row r="1138" spans="1:45" x14ac:dyDescent="0.3">
      <c r="A1138">
        <v>2025</v>
      </c>
      <c r="B1138">
        <v>12</v>
      </c>
      <c r="C1138" t="s">
        <v>55</v>
      </c>
      <c r="D1138">
        <v>10</v>
      </c>
      <c r="E1138" t="s">
        <v>36</v>
      </c>
      <c r="F1138" t="s">
        <v>37</v>
      </c>
      <c r="G1138" t="s">
        <v>38</v>
      </c>
      <c r="H1138" t="s">
        <v>101</v>
      </c>
      <c r="I1138" t="s">
        <v>57</v>
      </c>
      <c r="J1138" t="s">
        <v>58</v>
      </c>
      <c r="K1138" t="s">
        <v>59</v>
      </c>
      <c r="L1138" t="s">
        <v>1769</v>
      </c>
      <c r="M1138" t="s">
        <v>1770</v>
      </c>
      <c r="N1138" t="s">
        <v>1771</v>
      </c>
      <c r="O1138" t="s">
        <v>1197</v>
      </c>
      <c r="Q1138" t="s">
        <v>62</v>
      </c>
      <c r="R1138" t="s">
        <v>1772</v>
      </c>
      <c r="S1138" t="s">
        <v>1772</v>
      </c>
      <c r="T1138" t="s">
        <v>47</v>
      </c>
      <c r="U1138" t="s">
        <v>118</v>
      </c>
      <c r="V1138" t="s">
        <v>49</v>
      </c>
      <c r="W1138" t="s">
        <v>714</v>
      </c>
      <c r="X1138" t="s">
        <v>51</v>
      </c>
      <c r="Y1138" t="s">
        <v>1322</v>
      </c>
      <c r="Z1138" t="s">
        <v>1322</v>
      </c>
      <c r="AA1138" t="s">
        <v>1357</v>
      </c>
      <c r="AB1138" s="3">
        <f t="shared" si="141"/>
        <v>5</v>
      </c>
      <c r="AC1138">
        <v>1954.11</v>
      </c>
      <c r="AD1138" s="2">
        <v>390.822</v>
      </c>
      <c r="AE1138" s="2">
        <v>580.1</v>
      </c>
      <c r="AF1138" s="2">
        <v>14.67</v>
      </c>
      <c r="AG1138" s="2">
        <v>2548.88</v>
      </c>
      <c r="AH1138">
        <v>0</v>
      </c>
      <c r="AI1138">
        <v>509.77600000000001</v>
      </c>
      <c r="AJ1138">
        <v>12.744400000000001</v>
      </c>
      <c r="AK1138" t="s">
        <v>54</v>
      </c>
      <c r="AL1138">
        <v>14.52</v>
      </c>
      <c r="AM1138" s="4">
        <f t="shared" si="142"/>
        <v>509.77600000000001</v>
      </c>
      <c r="AN1138" s="4">
        <f t="shared" si="143"/>
        <v>732.79124999999999</v>
      </c>
      <c r="AO1138" s="4">
        <f t="shared" si="144"/>
        <v>814.13107875000003</v>
      </c>
      <c r="AP1138" s="4">
        <f t="shared" si="145"/>
        <v>1187.0485458749999</v>
      </c>
      <c r="AQ1138" s="10">
        <f t="shared" si="146"/>
        <v>886.55144160000009</v>
      </c>
      <c r="AR1138" s="10">
        <f t="shared" si="147"/>
        <v>985.04730676176007</v>
      </c>
      <c r="AS1138" s="10">
        <f t="shared" si="148"/>
        <v>1380.1832842828801</v>
      </c>
    </row>
    <row r="1139" spans="1:45" x14ac:dyDescent="0.3">
      <c r="A1139">
        <v>2025</v>
      </c>
      <c r="B1139">
        <v>8</v>
      </c>
      <c r="C1139" t="s">
        <v>55</v>
      </c>
      <c r="D1139">
        <v>10</v>
      </c>
      <c r="E1139" t="s">
        <v>36</v>
      </c>
      <c r="F1139" t="s">
        <v>37</v>
      </c>
      <c r="G1139" t="s">
        <v>38</v>
      </c>
      <c r="H1139" t="s">
        <v>101</v>
      </c>
      <c r="I1139" t="s">
        <v>190</v>
      </c>
      <c r="J1139" t="s">
        <v>58</v>
      </c>
      <c r="K1139" t="s">
        <v>59</v>
      </c>
      <c r="L1139" t="s">
        <v>1194</v>
      </c>
      <c r="M1139" t="s">
        <v>1195</v>
      </c>
      <c r="N1139" t="s">
        <v>1196</v>
      </c>
      <c r="O1139" t="s">
        <v>1197</v>
      </c>
      <c r="Q1139" t="s">
        <v>62</v>
      </c>
      <c r="R1139" t="s">
        <v>1198</v>
      </c>
      <c r="S1139" t="s">
        <v>1198</v>
      </c>
      <c r="T1139" t="s">
        <v>47</v>
      </c>
      <c r="U1139" t="s">
        <v>118</v>
      </c>
      <c r="V1139" t="s">
        <v>49</v>
      </c>
      <c r="W1139" t="s">
        <v>714</v>
      </c>
      <c r="X1139" t="s">
        <v>388</v>
      </c>
      <c r="Y1139" t="s">
        <v>1322</v>
      </c>
      <c r="Z1139" t="s">
        <v>1322</v>
      </c>
      <c r="AA1139" t="s">
        <v>1873</v>
      </c>
      <c r="AB1139" s="3">
        <f t="shared" si="141"/>
        <v>1</v>
      </c>
      <c r="AC1139">
        <v>520.36</v>
      </c>
      <c r="AD1139" s="2">
        <v>520.36</v>
      </c>
      <c r="AE1139" s="2">
        <v>154.47999999999999</v>
      </c>
      <c r="AF1139" s="2">
        <v>3.91</v>
      </c>
      <c r="AG1139" s="2">
        <v>678.74</v>
      </c>
      <c r="AH1139">
        <v>0</v>
      </c>
      <c r="AI1139">
        <v>678.74</v>
      </c>
      <c r="AJ1139">
        <v>3.3936999999999999</v>
      </c>
      <c r="AK1139" t="s">
        <v>54</v>
      </c>
      <c r="AL1139">
        <v>3.87</v>
      </c>
      <c r="AM1139" s="4">
        <f t="shared" si="142"/>
        <v>678.74</v>
      </c>
      <c r="AN1139" s="4">
        <f t="shared" si="143"/>
        <v>975.67500000000007</v>
      </c>
      <c r="AO1139" s="4">
        <f t="shared" si="144"/>
        <v>1083.974925</v>
      </c>
      <c r="AP1139" s="4">
        <f t="shared" si="145"/>
        <v>1580.4959325</v>
      </c>
      <c r="AQ1139" s="10">
        <f t="shared" si="146"/>
        <v>1180.3967340000002</v>
      </c>
      <c r="AR1139" s="10">
        <f t="shared" si="147"/>
        <v>1311.5388111474001</v>
      </c>
      <c r="AS1139" s="10">
        <f t="shared" si="148"/>
        <v>1837.6416354912001</v>
      </c>
    </row>
    <row r="1140" spans="1:45" x14ac:dyDescent="0.3">
      <c r="A1140">
        <v>2025</v>
      </c>
      <c r="B1140">
        <v>9</v>
      </c>
      <c r="C1140" t="s">
        <v>55</v>
      </c>
      <c r="D1140">
        <v>10</v>
      </c>
      <c r="E1140" t="s">
        <v>36</v>
      </c>
      <c r="F1140" t="s">
        <v>37</v>
      </c>
      <c r="G1140" t="s">
        <v>38</v>
      </c>
      <c r="H1140" t="s">
        <v>101</v>
      </c>
      <c r="I1140" t="s">
        <v>375</v>
      </c>
      <c r="J1140" t="s">
        <v>376</v>
      </c>
      <c r="K1140" t="s">
        <v>59</v>
      </c>
      <c r="L1140" t="s">
        <v>1483</v>
      </c>
      <c r="M1140" t="s">
        <v>1484</v>
      </c>
      <c r="N1140" t="s">
        <v>1485</v>
      </c>
      <c r="O1140" t="s">
        <v>1197</v>
      </c>
      <c r="Q1140" t="s">
        <v>62</v>
      </c>
      <c r="R1140" t="s">
        <v>1486</v>
      </c>
      <c r="S1140" t="s">
        <v>1486</v>
      </c>
      <c r="T1140" t="s">
        <v>47</v>
      </c>
      <c r="U1140" t="s">
        <v>118</v>
      </c>
      <c r="V1140" t="s">
        <v>49</v>
      </c>
      <c r="W1140" t="s">
        <v>714</v>
      </c>
      <c r="X1140" t="s">
        <v>51</v>
      </c>
      <c r="Y1140" t="s">
        <v>1322</v>
      </c>
      <c r="Z1140" t="s">
        <v>1322</v>
      </c>
      <c r="AA1140" t="s">
        <v>1359</v>
      </c>
      <c r="AB1140" s="3">
        <f t="shared" si="141"/>
        <v>1</v>
      </c>
      <c r="AC1140">
        <v>588.16</v>
      </c>
      <c r="AD1140" s="2">
        <v>588.16</v>
      </c>
      <c r="AE1140" s="2">
        <v>42.15</v>
      </c>
      <c r="AF1140" s="2">
        <v>3.81</v>
      </c>
      <c r="AG1140" s="2">
        <v>634.12</v>
      </c>
      <c r="AH1140">
        <v>0</v>
      </c>
      <c r="AI1140">
        <v>634.12</v>
      </c>
      <c r="AJ1140">
        <v>3.1705999999999999</v>
      </c>
      <c r="AK1140" t="s">
        <v>54</v>
      </c>
      <c r="AL1140">
        <v>4.95</v>
      </c>
      <c r="AM1140" s="4">
        <f t="shared" si="142"/>
        <v>634.12</v>
      </c>
      <c r="AN1140" s="4">
        <f t="shared" si="143"/>
        <v>1102.8</v>
      </c>
      <c r="AO1140" s="4">
        <f t="shared" si="144"/>
        <v>1225.2107999999998</v>
      </c>
      <c r="AP1140" s="4">
        <f t="shared" si="145"/>
        <v>1786.4257199999997</v>
      </c>
      <c r="AQ1140" s="10">
        <f t="shared" si="146"/>
        <v>1102.798092</v>
      </c>
      <c r="AR1140" s="10">
        <f t="shared" si="147"/>
        <v>1225.3189600211999</v>
      </c>
      <c r="AS1140" s="10">
        <f t="shared" si="148"/>
        <v>1716.8360696256</v>
      </c>
    </row>
    <row r="1141" spans="1:45" x14ac:dyDescent="0.3">
      <c r="A1141">
        <v>2025</v>
      </c>
      <c r="B1141">
        <v>3</v>
      </c>
      <c r="C1141" t="s">
        <v>55</v>
      </c>
      <c r="D1141">
        <v>10</v>
      </c>
      <c r="E1141" t="s">
        <v>36</v>
      </c>
      <c r="F1141" t="s">
        <v>37</v>
      </c>
      <c r="G1141" t="s">
        <v>38</v>
      </c>
      <c r="H1141" t="s">
        <v>101</v>
      </c>
      <c r="I1141" t="s">
        <v>190</v>
      </c>
      <c r="J1141" t="s">
        <v>58</v>
      </c>
      <c r="K1141" t="s">
        <v>59</v>
      </c>
      <c r="M1141" t="s">
        <v>213</v>
      </c>
      <c r="N1141" t="s">
        <v>61</v>
      </c>
      <c r="O1141" t="s">
        <v>43</v>
      </c>
      <c r="Q1141" t="s">
        <v>62</v>
      </c>
      <c r="R1141" t="s">
        <v>214</v>
      </c>
      <c r="S1141" t="s">
        <v>215</v>
      </c>
      <c r="T1141" t="s">
        <v>47</v>
      </c>
      <c r="U1141" t="s">
        <v>118</v>
      </c>
      <c r="V1141" t="s">
        <v>49</v>
      </c>
      <c r="W1141" t="s">
        <v>119</v>
      </c>
      <c r="X1141" t="s">
        <v>51</v>
      </c>
      <c r="Y1141" t="s">
        <v>1322</v>
      </c>
      <c r="Z1141" t="s">
        <v>1322</v>
      </c>
      <c r="AA1141" t="s">
        <v>1359</v>
      </c>
      <c r="AB1141" s="3">
        <f t="shared" si="141"/>
        <v>2</v>
      </c>
      <c r="AC1141">
        <v>1157.8399999999999</v>
      </c>
      <c r="AD1141" s="2">
        <v>578.91999999999996</v>
      </c>
      <c r="AE1141" s="2">
        <v>179.58</v>
      </c>
      <c r="AF1141" s="2">
        <v>8.2100000000000009</v>
      </c>
      <c r="AG1141" s="2">
        <v>1345.63</v>
      </c>
      <c r="AH1141">
        <v>0</v>
      </c>
      <c r="AI1141">
        <v>672.81500000000005</v>
      </c>
      <c r="AJ1141">
        <v>6.7281500000000003</v>
      </c>
      <c r="AK1141" t="s">
        <v>54</v>
      </c>
      <c r="AL1141">
        <v>7.43</v>
      </c>
      <c r="AM1141" s="4">
        <f t="shared" si="142"/>
        <v>672.81500000000005</v>
      </c>
      <c r="AN1141" s="4">
        <f t="shared" si="143"/>
        <v>1085.4749999999999</v>
      </c>
      <c r="AO1141" s="4">
        <f t="shared" si="144"/>
        <v>1205.9627249999999</v>
      </c>
      <c r="AP1141" s="4">
        <f t="shared" si="145"/>
        <v>1758.3609524999997</v>
      </c>
      <c r="AQ1141" s="10">
        <f t="shared" si="146"/>
        <v>1170.0925665000002</v>
      </c>
      <c r="AR1141" s="10">
        <f t="shared" si="147"/>
        <v>1300.0898506381502</v>
      </c>
      <c r="AS1141" s="10">
        <f t="shared" si="148"/>
        <v>1821.6001075272002</v>
      </c>
    </row>
    <row r="1142" spans="1:45" x14ac:dyDescent="0.3">
      <c r="A1142">
        <v>2025</v>
      </c>
      <c r="B1142">
        <v>4</v>
      </c>
      <c r="C1142" t="s">
        <v>55</v>
      </c>
      <c r="D1142">
        <v>10</v>
      </c>
      <c r="E1142" t="s">
        <v>36</v>
      </c>
      <c r="F1142" t="s">
        <v>37</v>
      </c>
      <c r="G1142" t="s">
        <v>38</v>
      </c>
      <c r="H1142" t="s">
        <v>101</v>
      </c>
      <c r="I1142" t="s">
        <v>375</v>
      </c>
      <c r="J1142" t="s">
        <v>376</v>
      </c>
      <c r="K1142" t="s">
        <v>59</v>
      </c>
      <c r="M1142">
        <v>2503061</v>
      </c>
      <c r="N1142" t="s">
        <v>377</v>
      </c>
      <c r="O1142" t="s">
        <v>36</v>
      </c>
      <c r="Q1142" t="s">
        <v>62</v>
      </c>
      <c r="R1142" t="s">
        <v>378</v>
      </c>
      <c r="S1142" t="s">
        <v>378</v>
      </c>
      <c r="T1142" t="s">
        <v>47</v>
      </c>
      <c r="U1142" t="s">
        <v>118</v>
      </c>
      <c r="V1142" t="s">
        <v>49</v>
      </c>
      <c r="W1142" t="s">
        <v>119</v>
      </c>
      <c r="X1142" t="s">
        <v>51</v>
      </c>
      <c r="Y1142" t="s">
        <v>136</v>
      </c>
      <c r="Z1142" t="s">
        <v>64</v>
      </c>
      <c r="AA1142" t="s">
        <v>335</v>
      </c>
      <c r="AB1142" s="3">
        <f t="shared" si="141"/>
        <v>1</v>
      </c>
      <c r="AC1142">
        <v>113.71</v>
      </c>
      <c r="AD1142" s="2">
        <v>113.71</v>
      </c>
      <c r="AE1142" s="2">
        <v>23.86</v>
      </c>
      <c r="AF1142" s="2">
        <v>0.84</v>
      </c>
      <c r="AG1142" s="2">
        <v>138.41999999999999</v>
      </c>
      <c r="AH1142">
        <v>0</v>
      </c>
      <c r="AI1142">
        <v>138.41999999999999</v>
      </c>
      <c r="AJ1142">
        <v>0.69210000000000005</v>
      </c>
      <c r="AK1142" t="s">
        <v>54</v>
      </c>
      <c r="AL1142">
        <v>1.94</v>
      </c>
      <c r="AM1142" s="4">
        <f t="shared" si="142"/>
        <v>138.41999999999999</v>
      </c>
      <c r="AN1142" s="4">
        <f t="shared" si="143"/>
        <v>213.20624999999998</v>
      </c>
      <c r="AO1142" s="4">
        <f t="shared" si="144"/>
        <v>236.87214374999999</v>
      </c>
      <c r="AP1142" s="4">
        <f t="shared" si="145"/>
        <v>345.37280437499993</v>
      </c>
      <c r="AQ1142" s="10">
        <f t="shared" si="146"/>
        <v>240.72622199999998</v>
      </c>
      <c r="AR1142" s="10">
        <f t="shared" si="147"/>
        <v>267.47090526419998</v>
      </c>
      <c r="AS1142" s="10">
        <f t="shared" si="148"/>
        <v>374.76258240959993</v>
      </c>
    </row>
    <row r="1143" spans="1:45" x14ac:dyDescent="0.3">
      <c r="A1143">
        <v>2025</v>
      </c>
      <c r="B1143">
        <v>1</v>
      </c>
      <c r="C1143" t="s">
        <v>55</v>
      </c>
      <c r="D1143">
        <v>10</v>
      </c>
      <c r="E1143" t="s">
        <v>36</v>
      </c>
      <c r="F1143" t="s">
        <v>37</v>
      </c>
      <c r="G1143" t="s">
        <v>38</v>
      </c>
      <c r="H1143" t="s">
        <v>101</v>
      </c>
      <c r="I1143" t="s">
        <v>57</v>
      </c>
      <c r="J1143" t="s">
        <v>58</v>
      </c>
      <c r="K1143" t="s">
        <v>59</v>
      </c>
      <c r="M1143" t="s">
        <v>60</v>
      </c>
      <c r="N1143" t="s">
        <v>61</v>
      </c>
      <c r="O1143" t="s">
        <v>43</v>
      </c>
      <c r="Q1143" t="s">
        <v>62</v>
      </c>
      <c r="R1143" t="s">
        <v>63</v>
      </c>
      <c r="S1143" t="s">
        <v>63</v>
      </c>
      <c r="T1143" t="s">
        <v>47</v>
      </c>
      <c r="U1143" t="s">
        <v>118</v>
      </c>
      <c r="V1143" t="s">
        <v>49</v>
      </c>
      <c r="W1143" t="s">
        <v>119</v>
      </c>
      <c r="X1143" t="s">
        <v>51</v>
      </c>
      <c r="Y1143" t="s">
        <v>495</v>
      </c>
      <c r="Z1143" t="s">
        <v>495</v>
      </c>
      <c r="AA1143" t="s">
        <v>335</v>
      </c>
      <c r="AB1143" s="3">
        <f t="shared" si="141"/>
        <v>4</v>
      </c>
      <c r="AC1143">
        <v>442.69</v>
      </c>
      <c r="AD1143" s="2">
        <v>110.6725</v>
      </c>
      <c r="AE1143" s="2">
        <v>94.5</v>
      </c>
      <c r="AF1143" s="2">
        <v>3.09</v>
      </c>
      <c r="AG1143" s="2">
        <v>540.29</v>
      </c>
      <c r="AH1143">
        <v>0</v>
      </c>
      <c r="AI1143">
        <v>135.07249999999999</v>
      </c>
      <c r="AJ1143">
        <v>2.7014499999999999</v>
      </c>
      <c r="AK1143" t="s">
        <v>54</v>
      </c>
      <c r="AL1143">
        <v>4.51</v>
      </c>
      <c r="AM1143" s="4">
        <f t="shared" si="142"/>
        <v>135.07249999999999</v>
      </c>
      <c r="AN1143" s="4">
        <f t="shared" si="143"/>
        <v>207.51093750000001</v>
      </c>
      <c r="AO1143" s="4">
        <f t="shared" si="144"/>
        <v>230.54465156250001</v>
      </c>
      <c r="AP1143" s="4">
        <f t="shared" si="145"/>
        <v>336.14696765625001</v>
      </c>
      <c r="AQ1143" s="10">
        <f t="shared" si="146"/>
        <v>234.90458475</v>
      </c>
      <c r="AR1143" s="10">
        <f t="shared" si="147"/>
        <v>261.002484115725</v>
      </c>
      <c r="AS1143" s="10">
        <f t="shared" si="148"/>
        <v>365.6994575388</v>
      </c>
    </row>
    <row r="1144" spans="1:45" x14ac:dyDescent="0.3">
      <c r="A1144">
        <v>2025</v>
      </c>
      <c r="B1144">
        <v>3</v>
      </c>
      <c r="C1144" t="s">
        <v>55</v>
      </c>
      <c r="D1144">
        <v>10</v>
      </c>
      <c r="E1144" t="s">
        <v>36</v>
      </c>
      <c r="F1144" t="s">
        <v>37</v>
      </c>
      <c r="G1144" t="s">
        <v>38</v>
      </c>
      <c r="H1144" t="s">
        <v>101</v>
      </c>
      <c r="I1144" t="s">
        <v>190</v>
      </c>
      <c r="J1144" t="s">
        <v>58</v>
      </c>
      <c r="K1144" t="s">
        <v>59</v>
      </c>
      <c r="M1144" t="s">
        <v>209</v>
      </c>
      <c r="N1144" t="s">
        <v>61</v>
      </c>
      <c r="O1144" t="s">
        <v>43</v>
      </c>
      <c r="Q1144" t="s">
        <v>62</v>
      </c>
      <c r="R1144" t="s">
        <v>210</v>
      </c>
      <c r="S1144" t="s">
        <v>211</v>
      </c>
      <c r="T1144" t="s">
        <v>47</v>
      </c>
      <c r="U1144" t="s">
        <v>118</v>
      </c>
      <c r="V1144" t="s">
        <v>49</v>
      </c>
      <c r="W1144" t="s">
        <v>119</v>
      </c>
      <c r="X1144" t="s">
        <v>51</v>
      </c>
      <c r="Y1144" t="s">
        <v>136</v>
      </c>
      <c r="Z1144" t="s">
        <v>64</v>
      </c>
      <c r="AA1144" t="s">
        <v>137</v>
      </c>
      <c r="AB1144" s="3">
        <f t="shared" si="141"/>
        <v>4</v>
      </c>
      <c r="AC1144">
        <v>453.12</v>
      </c>
      <c r="AD1144" s="2">
        <v>113.28</v>
      </c>
      <c r="AE1144" s="2">
        <v>108.86</v>
      </c>
      <c r="AF1144" s="2">
        <v>3.13</v>
      </c>
      <c r="AG1144" s="2">
        <v>565.11</v>
      </c>
      <c r="AH1144">
        <v>0</v>
      </c>
      <c r="AI1144">
        <v>141.2775</v>
      </c>
      <c r="AJ1144">
        <v>2.8255499999999998</v>
      </c>
      <c r="AK1144" t="s">
        <v>54</v>
      </c>
      <c r="AL1144">
        <v>12.02</v>
      </c>
      <c r="AM1144" s="4">
        <f t="shared" si="142"/>
        <v>141.2775</v>
      </c>
      <c r="AN1144" s="4">
        <f t="shared" si="143"/>
        <v>212.4</v>
      </c>
      <c r="AO1144" s="4">
        <f t="shared" si="144"/>
        <v>235.97640000000001</v>
      </c>
      <c r="AP1144" s="4">
        <f t="shared" si="145"/>
        <v>344.06675999999999</v>
      </c>
      <c r="AQ1144" s="10">
        <f t="shared" si="146"/>
        <v>245.69570025000002</v>
      </c>
      <c r="AR1144" s="10">
        <f t="shared" si="147"/>
        <v>272.99249254777499</v>
      </c>
      <c r="AS1144" s="10">
        <f t="shared" si="148"/>
        <v>382.49906614920002</v>
      </c>
    </row>
    <row r="1145" spans="1:45" x14ac:dyDescent="0.3">
      <c r="A1145">
        <v>2025</v>
      </c>
      <c r="B1145">
        <v>9</v>
      </c>
      <c r="C1145" t="s">
        <v>55</v>
      </c>
      <c r="D1145">
        <v>10</v>
      </c>
      <c r="E1145" t="s">
        <v>36</v>
      </c>
      <c r="F1145" t="s">
        <v>37</v>
      </c>
      <c r="G1145" t="s">
        <v>38</v>
      </c>
      <c r="H1145" t="s">
        <v>101</v>
      </c>
      <c r="I1145" t="s">
        <v>375</v>
      </c>
      <c r="J1145" t="s">
        <v>376</v>
      </c>
      <c r="K1145" t="s">
        <v>59</v>
      </c>
      <c r="L1145" t="s">
        <v>1483</v>
      </c>
      <c r="M1145" t="s">
        <v>1484</v>
      </c>
      <c r="N1145" t="s">
        <v>1485</v>
      </c>
      <c r="O1145" t="s">
        <v>1197</v>
      </c>
      <c r="Q1145" t="s">
        <v>62</v>
      </c>
      <c r="R1145" t="s">
        <v>1486</v>
      </c>
      <c r="S1145" t="s">
        <v>1486</v>
      </c>
      <c r="T1145" t="s">
        <v>47</v>
      </c>
      <c r="U1145" t="s">
        <v>118</v>
      </c>
      <c r="V1145" t="s">
        <v>49</v>
      </c>
      <c r="W1145" t="s">
        <v>714</v>
      </c>
      <c r="X1145" t="s">
        <v>51</v>
      </c>
      <c r="Y1145" t="s">
        <v>136</v>
      </c>
      <c r="Z1145" t="s">
        <v>64</v>
      </c>
      <c r="AA1145" t="s">
        <v>137</v>
      </c>
      <c r="AB1145" s="3">
        <f t="shared" si="141"/>
        <v>4</v>
      </c>
      <c r="AC1145">
        <v>380.4</v>
      </c>
      <c r="AD1145" s="2">
        <v>95.1</v>
      </c>
      <c r="AE1145" s="2">
        <v>84.97</v>
      </c>
      <c r="AF1145" s="2">
        <v>2.79</v>
      </c>
      <c r="AG1145" s="2">
        <v>468.15</v>
      </c>
      <c r="AH1145">
        <v>0</v>
      </c>
      <c r="AI1145">
        <v>117.03749999999999</v>
      </c>
      <c r="AJ1145">
        <v>2.3407499999999999</v>
      </c>
      <c r="AK1145" t="s">
        <v>54</v>
      </c>
      <c r="AL1145">
        <v>8.81</v>
      </c>
      <c r="AM1145" s="4">
        <f t="shared" si="142"/>
        <v>117.03749999999999</v>
      </c>
      <c r="AN1145" s="4">
        <f t="shared" si="143"/>
        <v>178.3125</v>
      </c>
      <c r="AO1145" s="4">
        <f t="shared" si="144"/>
        <v>198.1051875</v>
      </c>
      <c r="AP1145" s="4">
        <f t="shared" si="145"/>
        <v>288.84841875000001</v>
      </c>
      <c r="AQ1145" s="10">
        <f t="shared" si="146"/>
        <v>203.53991625</v>
      </c>
      <c r="AR1145" s="10">
        <f t="shared" si="147"/>
        <v>226.153200945375</v>
      </c>
      <c r="AS1145" s="10">
        <f t="shared" si="148"/>
        <v>316.87094161800002</v>
      </c>
    </row>
    <row r="1146" spans="1:45" x14ac:dyDescent="0.3">
      <c r="A1146">
        <v>2025</v>
      </c>
      <c r="B1146">
        <v>11</v>
      </c>
      <c r="C1146" t="s">
        <v>55</v>
      </c>
      <c r="D1146">
        <v>10</v>
      </c>
      <c r="E1146" t="s">
        <v>36</v>
      </c>
      <c r="F1146" t="s">
        <v>37</v>
      </c>
      <c r="G1146" t="s">
        <v>38</v>
      </c>
      <c r="H1146" t="s">
        <v>101</v>
      </c>
      <c r="I1146" t="s">
        <v>375</v>
      </c>
      <c r="J1146" t="s">
        <v>376</v>
      </c>
      <c r="K1146" t="s">
        <v>51</v>
      </c>
      <c r="L1146" t="s">
        <v>1622</v>
      </c>
      <c r="M1146" t="s">
        <v>1623</v>
      </c>
      <c r="N1146" t="s">
        <v>1485</v>
      </c>
      <c r="O1146" t="s">
        <v>1197</v>
      </c>
      <c r="Q1146" t="s">
        <v>62</v>
      </c>
      <c r="R1146" t="s">
        <v>1624</v>
      </c>
      <c r="S1146" t="s">
        <v>1624</v>
      </c>
      <c r="T1146" t="s">
        <v>47</v>
      </c>
      <c r="U1146" t="s">
        <v>118</v>
      </c>
      <c r="V1146" t="s">
        <v>49</v>
      </c>
      <c r="W1146" t="s">
        <v>714</v>
      </c>
      <c r="X1146" t="s">
        <v>51</v>
      </c>
      <c r="Y1146" t="s">
        <v>1336</v>
      </c>
      <c r="Z1146" t="s">
        <v>1336</v>
      </c>
      <c r="AA1146" t="s">
        <v>137</v>
      </c>
      <c r="AB1146" s="3">
        <f t="shared" si="141"/>
        <v>5</v>
      </c>
      <c r="AC1146">
        <v>484.19</v>
      </c>
      <c r="AD1146" s="2">
        <v>96.837999999999994</v>
      </c>
      <c r="AE1146" s="2">
        <v>75.17</v>
      </c>
      <c r="AF1146" s="2">
        <v>3.43</v>
      </c>
      <c r="AG1146" s="2">
        <v>562.78</v>
      </c>
      <c r="AH1146">
        <v>0</v>
      </c>
      <c r="AI1146">
        <v>112.556</v>
      </c>
      <c r="AJ1146">
        <v>2.8138999999999998</v>
      </c>
      <c r="AK1146" t="s">
        <v>54</v>
      </c>
      <c r="AL1146">
        <v>3.11</v>
      </c>
      <c r="AM1146" s="4">
        <f t="shared" si="142"/>
        <v>112.556</v>
      </c>
      <c r="AN1146" s="4">
        <f t="shared" si="143"/>
        <v>181.57124999999999</v>
      </c>
      <c r="AO1146" s="4">
        <f t="shared" si="144"/>
        <v>201.72565874999998</v>
      </c>
      <c r="AP1146" s="4">
        <f t="shared" si="145"/>
        <v>294.12726787499997</v>
      </c>
      <c r="AQ1146" s="10">
        <f t="shared" si="146"/>
        <v>195.74613959999999</v>
      </c>
      <c r="AR1146" s="10">
        <f t="shared" si="147"/>
        <v>217.49353570955998</v>
      </c>
      <c r="AS1146" s="10">
        <f t="shared" si="148"/>
        <v>304.73759012927997</v>
      </c>
    </row>
    <row r="1147" spans="1:45" x14ac:dyDescent="0.3">
      <c r="A1147">
        <v>2025</v>
      </c>
      <c r="B1147">
        <v>11</v>
      </c>
      <c r="C1147" t="s">
        <v>55</v>
      </c>
      <c r="D1147">
        <v>10</v>
      </c>
      <c r="E1147" t="s">
        <v>36</v>
      </c>
      <c r="F1147" t="s">
        <v>37</v>
      </c>
      <c r="G1147" t="s">
        <v>38</v>
      </c>
      <c r="H1147" t="s">
        <v>101</v>
      </c>
      <c r="I1147" t="s">
        <v>375</v>
      </c>
      <c r="J1147" t="s">
        <v>376</v>
      </c>
      <c r="K1147" t="s">
        <v>51</v>
      </c>
      <c r="L1147" t="s">
        <v>1622</v>
      </c>
      <c r="M1147" t="s">
        <v>1623</v>
      </c>
      <c r="N1147" t="s">
        <v>1485</v>
      </c>
      <c r="O1147" t="s">
        <v>1197</v>
      </c>
      <c r="Q1147" t="s">
        <v>62</v>
      </c>
      <c r="R1147" t="s">
        <v>1624</v>
      </c>
      <c r="S1147" t="s">
        <v>1624</v>
      </c>
      <c r="T1147" t="s">
        <v>47</v>
      </c>
      <c r="U1147" t="s">
        <v>118</v>
      </c>
      <c r="V1147" t="s">
        <v>49</v>
      </c>
      <c r="W1147" t="s">
        <v>714</v>
      </c>
      <c r="X1147" t="s">
        <v>51</v>
      </c>
      <c r="Y1147" t="s">
        <v>1349</v>
      </c>
      <c r="Z1147" t="s">
        <v>1349</v>
      </c>
      <c r="AA1147" t="s">
        <v>137</v>
      </c>
      <c r="AB1147" s="3">
        <f t="shared" si="141"/>
        <v>5</v>
      </c>
      <c r="AC1147">
        <v>472.78</v>
      </c>
      <c r="AD1147" s="2">
        <v>94.555999999999997</v>
      </c>
      <c r="AE1147" s="2">
        <v>66.2</v>
      </c>
      <c r="AF1147" s="2">
        <v>3.27</v>
      </c>
      <c r="AG1147" s="2">
        <v>542.26</v>
      </c>
      <c r="AH1147">
        <v>0</v>
      </c>
      <c r="AI1147">
        <v>108.452</v>
      </c>
      <c r="AJ1147">
        <v>2.7113</v>
      </c>
      <c r="AK1147" t="s">
        <v>54</v>
      </c>
      <c r="AL1147">
        <v>2.4900000000000002</v>
      </c>
      <c r="AM1147" s="4">
        <f t="shared" si="142"/>
        <v>108.452</v>
      </c>
      <c r="AN1147" s="4">
        <f t="shared" si="143"/>
        <v>177.29249999999999</v>
      </c>
      <c r="AO1147" s="4">
        <f t="shared" si="144"/>
        <v>196.97196749999998</v>
      </c>
      <c r="AP1147" s="4">
        <f t="shared" si="145"/>
        <v>287.19612074999998</v>
      </c>
      <c r="AQ1147" s="10">
        <f t="shared" si="146"/>
        <v>188.6088732</v>
      </c>
      <c r="AR1147" s="10">
        <f t="shared" si="147"/>
        <v>209.56331901252</v>
      </c>
      <c r="AS1147" s="10">
        <f t="shared" si="148"/>
        <v>293.62629379776001</v>
      </c>
    </row>
    <row r="1148" spans="1:45" x14ac:dyDescent="0.3">
      <c r="A1148">
        <v>2025</v>
      </c>
      <c r="B1148">
        <v>11</v>
      </c>
      <c r="C1148" t="s">
        <v>55</v>
      </c>
      <c r="D1148">
        <v>10</v>
      </c>
      <c r="E1148" t="s">
        <v>36</v>
      </c>
      <c r="F1148" t="s">
        <v>37</v>
      </c>
      <c r="G1148" t="s">
        <v>38</v>
      </c>
      <c r="H1148" t="s">
        <v>101</v>
      </c>
      <c r="I1148" t="s">
        <v>375</v>
      </c>
      <c r="J1148" t="s">
        <v>376</v>
      </c>
      <c r="K1148" t="s">
        <v>59</v>
      </c>
      <c r="L1148" t="s">
        <v>1647</v>
      </c>
      <c r="M1148" t="s">
        <v>1633</v>
      </c>
      <c r="N1148" t="s">
        <v>1485</v>
      </c>
      <c r="O1148" t="s">
        <v>1197</v>
      </c>
      <c r="Q1148" t="s">
        <v>62</v>
      </c>
      <c r="R1148" t="s">
        <v>1648</v>
      </c>
      <c r="S1148" t="s">
        <v>1648</v>
      </c>
      <c r="T1148" t="s">
        <v>47</v>
      </c>
      <c r="U1148" t="s">
        <v>118</v>
      </c>
      <c r="V1148" t="s">
        <v>49</v>
      </c>
      <c r="W1148" t="s">
        <v>714</v>
      </c>
      <c r="X1148" t="s">
        <v>51</v>
      </c>
      <c r="Y1148" t="s">
        <v>1349</v>
      </c>
      <c r="Z1148" t="s">
        <v>1349</v>
      </c>
      <c r="AA1148" t="s">
        <v>137</v>
      </c>
      <c r="AB1148" s="3">
        <f t="shared" si="141"/>
        <v>5.9999999999999778</v>
      </c>
      <c r="AC1148">
        <v>568.80999999999995</v>
      </c>
      <c r="AD1148" s="2">
        <v>94.801666666667003</v>
      </c>
      <c r="AE1148" s="2">
        <v>79.650000000000006</v>
      </c>
      <c r="AF1148" s="2">
        <v>3.94</v>
      </c>
      <c r="AG1148" s="2">
        <v>652.39</v>
      </c>
      <c r="AH1148">
        <v>0</v>
      </c>
      <c r="AI1148">
        <v>108.73166666666999</v>
      </c>
      <c r="AJ1148">
        <v>3.2619500000000001</v>
      </c>
      <c r="AK1148" t="s">
        <v>54</v>
      </c>
      <c r="AL1148">
        <v>4.33</v>
      </c>
      <c r="AM1148" s="4">
        <f t="shared" si="142"/>
        <v>108.73166666666707</v>
      </c>
      <c r="AN1148" s="4">
        <f t="shared" si="143"/>
        <v>177.75312500000064</v>
      </c>
      <c r="AO1148" s="4">
        <f t="shared" si="144"/>
        <v>197.4837218750007</v>
      </c>
      <c r="AP1148" s="4">
        <f t="shared" si="145"/>
        <v>287.94228718750099</v>
      </c>
      <c r="AQ1148" s="10">
        <f t="shared" si="146"/>
        <v>189.0952415000007</v>
      </c>
      <c r="AR1148" s="10">
        <f t="shared" si="147"/>
        <v>210.10372283065078</v>
      </c>
      <c r="AS1148" s="10">
        <f t="shared" si="148"/>
        <v>294.3834719672011</v>
      </c>
    </row>
    <row r="1149" spans="1:45" x14ac:dyDescent="0.3">
      <c r="A1149">
        <v>2025</v>
      </c>
      <c r="B1149">
        <v>4</v>
      </c>
      <c r="C1149" t="s">
        <v>55</v>
      </c>
      <c r="D1149">
        <v>10</v>
      </c>
      <c r="E1149" t="s">
        <v>36</v>
      </c>
      <c r="F1149" t="s">
        <v>37</v>
      </c>
      <c r="G1149" t="s">
        <v>38</v>
      </c>
      <c r="H1149" t="s">
        <v>101</v>
      </c>
      <c r="I1149" t="s">
        <v>190</v>
      </c>
      <c r="J1149" t="s">
        <v>58</v>
      </c>
      <c r="K1149" t="s">
        <v>59</v>
      </c>
      <c r="M1149" t="s">
        <v>383</v>
      </c>
      <c r="N1149" t="s">
        <v>384</v>
      </c>
      <c r="O1149" t="s">
        <v>36</v>
      </c>
      <c r="Q1149" t="s">
        <v>62</v>
      </c>
      <c r="R1149" t="s">
        <v>385</v>
      </c>
      <c r="S1149" t="s">
        <v>385</v>
      </c>
      <c r="T1149" t="s">
        <v>47</v>
      </c>
      <c r="U1149" t="s">
        <v>118</v>
      </c>
      <c r="V1149" t="s">
        <v>49</v>
      </c>
      <c r="W1149" t="s">
        <v>119</v>
      </c>
      <c r="X1149" t="s">
        <v>388</v>
      </c>
      <c r="Y1149" t="s">
        <v>1336</v>
      </c>
      <c r="Z1149" t="s">
        <v>1336</v>
      </c>
      <c r="AA1149" t="s">
        <v>137</v>
      </c>
      <c r="AB1149" s="3">
        <f t="shared" si="141"/>
        <v>5</v>
      </c>
      <c r="AC1149">
        <v>494.39</v>
      </c>
      <c r="AD1149" s="2">
        <v>98.878</v>
      </c>
      <c r="AE1149" s="2">
        <v>166</v>
      </c>
      <c r="AF1149" s="2">
        <v>3.91</v>
      </c>
      <c r="AG1149" s="2">
        <v>664.31</v>
      </c>
      <c r="AH1149">
        <v>0</v>
      </c>
      <c r="AI1149">
        <v>132.86199999999999</v>
      </c>
      <c r="AJ1149">
        <v>3.3215499999999998</v>
      </c>
      <c r="AK1149" t="s">
        <v>54</v>
      </c>
      <c r="AL1149">
        <v>4.2699999999999996</v>
      </c>
      <c r="AM1149" s="4">
        <f t="shared" si="142"/>
        <v>132.86199999999999</v>
      </c>
      <c r="AN1149" s="4">
        <f t="shared" si="143"/>
        <v>185.39625000000001</v>
      </c>
      <c r="AO1149" s="4">
        <f t="shared" si="144"/>
        <v>205.97523375</v>
      </c>
      <c r="AP1149" s="4">
        <f t="shared" si="145"/>
        <v>300.32338537499999</v>
      </c>
      <c r="AQ1149" s="10">
        <f t="shared" si="146"/>
        <v>231.06030419999999</v>
      </c>
      <c r="AR1149" s="10">
        <f t="shared" si="147"/>
        <v>256.73110399661999</v>
      </c>
      <c r="AS1149" s="10">
        <f t="shared" si="148"/>
        <v>359.71468157855998</v>
      </c>
    </row>
    <row r="1150" spans="1:45" x14ac:dyDescent="0.3">
      <c r="A1150">
        <v>2025</v>
      </c>
      <c r="B1150">
        <v>11</v>
      </c>
      <c r="C1150" t="s">
        <v>55</v>
      </c>
      <c r="D1150">
        <v>10</v>
      </c>
      <c r="E1150" t="s">
        <v>36</v>
      </c>
      <c r="F1150" t="s">
        <v>37</v>
      </c>
      <c r="G1150" t="s">
        <v>38</v>
      </c>
      <c r="H1150" t="s">
        <v>101</v>
      </c>
      <c r="I1150" t="s">
        <v>190</v>
      </c>
      <c r="J1150" t="s">
        <v>58</v>
      </c>
      <c r="K1150" t="s">
        <v>59</v>
      </c>
      <c r="L1150" t="s">
        <v>1629</v>
      </c>
      <c r="M1150" t="s">
        <v>1630</v>
      </c>
      <c r="N1150" t="s">
        <v>1485</v>
      </c>
      <c r="O1150" t="s">
        <v>1197</v>
      </c>
      <c r="Q1150" t="s">
        <v>62</v>
      </c>
      <c r="R1150" t="s">
        <v>1631</v>
      </c>
      <c r="S1150" t="s">
        <v>1631</v>
      </c>
      <c r="T1150" t="s">
        <v>47</v>
      </c>
      <c r="U1150" t="s">
        <v>118</v>
      </c>
      <c r="V1150" t="s">
        <v>49</v>
      </c>
      <c r="W1150" t="s">
        <v>714</v>
      </c>
      <c r="X1150" t="s">
        <v>1578</v>
      </c>
      <c r="Y1150" t="s">
        <v>511</v>
      </c>
      <c r="Z1150" t="s">
        <v>511</v>
      </c>
      <c r="AA1150" t="s">
        <v>513</v>
      </c>
      <c r="AB1150" s="3">
        <f t="shared" si="141"/>
        <v>2.9999999999999276</v>
      </c>
      <c r="AC1150">
        <v>412.7</v>
      </c>
      <c r="AD1150" s="2">
        <v>137.56666666666999</v>
      </c>
      <c r="AE1150" s="2">
        <v>45.97</v>
      </c>
      <c r="AF1150" s="2">
        <v>2.73</v>
      </c>
      <c r="AG1150" s="2">
        <v>461.41</v>
      </c>
      <c r="AH1150">
        <v>0</v>
      </c>
      <c r="AI1150">
        <v>153.80333333332999</v>
      </c>
      <c r="AJ1150">
        <v>2.3070499999999998</v>
      </c>
      <c r="AK1150" t="s">
        <v>54</v>
      </c>
      <c r="AL1150">
        <v>2.34</v>
      </c>
      <c r="AM1150" s="4">
        <f t="shared" si="142"/>
        <v>153.80333333333706</v>
      </c>
      <c r="AN1150" s="4">
        <f t="shared" si="143"/>
        <v>257.93750000000625</v>
      </c>
      <c r="AO1150" s="4">
        <f t="shared" si="144"/>
        <v>286.56856250000692</v>
      </c>
      <c r="AP1150" s="4">
        <f t="shared" si="145"/>
        <v>417.83295625001011</v>
      </c>
      <c r="AQ1150" s="10">
        <f t="shared" si="146"/>
        <v>267.47937700000648</v>
      </c>
      <c r="AR1150" s="10">
        <f t="shared" si="147"/>
        <v>297.19633578470717</v>
      </c>
      <c r="AS1150" s="10">
        <f t="shared" si="148"/>
        <v>416.41189411361006</v>
      </c>
    </row>
    <row r="1151" spans="1:45" x14ac:dyDescent="0.3">
      <c r="A1151">
        <v>2025</v>
      </c>
      <c r="B1151">
        <v>1</v>
      </c>
      <c r="C1151" t="s">
        <v>55</v>
      </c>
      <c r="D1151">
        <v>10</v>
      </c>
      <c r="E1151" t="s">
        <v>36</v>
      </c>
      <c r="F1151" t="s">
        <v>37</v>
      </c>
      <c r="G1151" t="s">
        <v>38</v>
      </c>
      <c r="H1151" t="s">
        <v>101</v>
      </c>
      <c r="I1151" t="s">
        <v>57</v>
      </c>
      <c r="J1151" t="s">
        <v>58</v>
      </c>
      <c r="K1151" t="s">
        <v>59</v>
      </c>
      <c r="M1151" t="s">
        <v>60</v>
      </c>
      <c r="N1151" t="s">
        <v>61</v>
      </c>
      <c r="O1151" t="s">
        <v>43</v>
      </c>
      <c r="Q1151" t="s">
        <v>62</v>
      </c>
      <c r="R1151" t="s">
        <v>63</v>
      </c>
      <c r="S1151" t="s">
        <v>63</v>
      </c>
      <c r="T1151" t="s">
        <v>47</v>
      </c>
      <c r="U1151" t="s">
        <v>118</v>
      </c>
      <c r="V1151" t="s">
        <v>49</v>
      </c>
      <c r="W1151" t="s">
        <v>119</v>
      </c>
      <c r="X1151" t="s">
        <v>51</v>
      </c>
      <c r="Y1151" t="s">
        <v>1336</v>
      </c>
      <c r="Z1151" t="s">
        <v>1336</v>
      </c>
      <c r="AA1151" t="s">
        <v>513</v>
      </c>
      <c r="AB1151" s="3">
        <f t="shared" si="141"/>
        <v>2</v>
      </c>
      <c r="AC1151">
        <v>239.7</v>
      </c>
      <c r="AD1151" s="2">
        <v>119.85</v>
      </c>
      <c r="AE1151" s="2">
        <v>62.25</v>
      </c>
      <c r="AF1151" s="2">
        <v>1.84</v>
      </c>
      <c r="AG1151" s="2">
        <v>303.16000000000003</v>
      </c>
      <c r="AH1151">
        <v>0</v>
      </c>
      <c r="AI1151">
        <v>151.58000000000001</v>
      </c>
      <c r="AJ1151">
        <v>1.5158</v>
      </c>
      <c r="AK1151" t="s">
        <v>54</v>
      </c>
      <c r="AL1151">
        <v>3.1</v>
      </c>
      <c r="AM1151" s="4">
        <f t="shared" si="142"/>
        <v>151.58000000000001</v>
      </c>
      <c r="AN1151" s="4">
        <f t="shared" si="143"/>
        <v>224.71875</v>
      </c>
      <c r="AO1151" s="4">
        <f t="shared" si="144"/>
        <v>249.66253125</v>
      </c>
      <c r="AP1151" s="4">
        <f t="shared" si="145"/>
        <v>364.02190312499999</v>
      </c>
      <c r="AQ1151" s="10">
        <f t="shared" si="146"/>
        <v>263.61277800000005</v>
      </c>
      <c r="AR1151" s="10">
        <f t="shared" si="147"/>
        <v>292.90015763580004</v>
      </c>
      <c r="AS1151" s="10">
        <f t="shared" si="148"/>
        <v>410.39237279040009</v>
      </c>
    </row>
    <row r="1152" spans="1:45" x14ac:dyDescent="0.3">
      <c r="A1152">
        <v>2025</v>
      </c>
      <c r="B1152">
        <v>3</v>
      </c>
      <c r="C1152" t="s">
        <v>55</v>
      </c>
      <c r="D1152">
        <v>10</v>
      </c>
      <c r="E1152" t="s">
        <v>36</v>
      </c>
      <c r="F1152" t="s">
        <v>37</v>
      </c>
      <c r="G1152" t="s">
        <v>38</v>
      </c>
      <c r="H1152" t="s">
        <v>101</v>
      </c>
      <c r="I1152" t="s">
        <v>190</v>
      </c>
      <c r="J1152" t="s">
        <v>58</v>
      </c>
      <c r="K1152" t="s">
        <v>59</v>
      </c>
      <c r="M1152" t="s">
        <v>209</v>
      </c>
      <c r="N1152" t="s">
        <v>61</v>
      </c>
      <c r="O1152" t="s">
        <v>43</v>
      </c>
      <c r="Q1152" t="s">
        <v>62</v>
      </c>
      <c r="R1152" t="s">
        <v>210</v>
      </c>
      <c r="S1152" t="s">
        <v>211</v>
      </c>
      <c r="T1152" t="s">
        <v>47</v>
      </c>
      <c r="U1152" t="s">
        <v>118</v>
      </c>
      <c r="V1152" t="s">
        <v>49</v>
      </c>
      <c r="W1152" t="s">
        <v>119</v>
      </c>
      <c r="X1152" t="s">
        <v>51</v>
      </c>
      <c r="Y1152" t="s">
        <v>136</v>
      </c>
      <c r="Z1152" t="s">
        <v>64</v>
      </c>
      <c r="AA1152" t="s">
        <v>148</v>
      </c>
      <c r="AB1152" s="3">
        <f t="shared" si="141"/>
        <v>4</v>
      </c>
      <c r="AC1152">
        <v>676</v>
      </c>
      <c r="AD1152" s="2">
        <v>169</v>
      </c>
      <c r="AE1152" s="2">
        <v>162.41</v>
      </c>
      <c r="AF1152" s="2">
        <v>4.67</v>
      </c>
      <c r="AG1152" s="2">
        <v>843.08</v>
      </c>
      <c r="AH1152">
        <v>0</v>
      </c>
      <c r="AI1152">
        <v>210.77</v>
      </c>
      <c r="AJ1152">
        <v>4.2153999999999998</v>
      </c>
      <c r="AK1152" t="s">
        <v>54</v>
      </c>
      <c r="AL1152">
        <v>12.02</v>
      </c>
      <c r="AM1152" s="4">
        <f t="shared" si="142"/>
        <v>210.77</v>
      </c>
      <c r="AN1152" s="4">
        <f t="shared" si="143"/>
        <v>316.875</v>
      </c>
      <c r="AO1152" s="4">
        <f t="shared" si="144"/>
        <v>352.04812499999997</v>
      </c>
      <c r="AP1152" s="4">
        <f t="shared" si="145"/>
        <v>513.3058125</v>
      </c>
      <c r="AQ1152" s="10">
        <f t="shared" si="146"/>
        <v>366.55010700000003</v>
      </c>
      <c r="AR1152" s="10">
        <f t="shared" si="147"/>
        <v>407.27382388770002</v>
      </c>
      <c r="AS1152" s="10">
        <f t="shared" si="148"/>
        <v>570.64520657759999</v>
      </c>
    </row>
    <row r="1153" spans="1:45" x14ac:dyDescent="0.3">
      <c r="A1153">
        <v>2025</v>
      </c>
      <c r="B1153">
        <v>9</v>
      </c>
      <c r="C1153" t="s">
        <v>55</v>
      </c>
      <c r="D1153">
        <v>10</v>
      </c>
      <c r="E1153" t="s">
        <v>36</v>
      </c>
      <c r="F1153" t="s">
        <v>37</v>
      </c>
      <c r="G1153" t="s">
        <v>38</v>
      </c>
      <c r="H1153" t="s">
        <v>101</v>
      </c>
      <c r="I1153" t="s">
        <v>375</v>
      </c>
      <c r="J1153" t="s">
        <v>376</v>
      </c>
      <c r="K1153" t="s">
        <v>41</v>
      </c>
      <c r="L1153" t="s">
        <v>1503</v>
      </c>
      <c r="M1153" t="s">
        <v>1504</v>
      </c>
      <c r="N1153" t="s">
        <v>377</v>
      </c>
      <c r="O1153" t="s">
        <v>1197</v>
      </c>
      <c r="Q1153" t="s">
        <v>62</v>
      </c>
      <c r="R1153" t="s">
        <v>1505</v>
      </c>
      <c r="S1153" t="s">
        <v>1505</v>
      </c>
      <c r="T1153" t="s">
        <v>47</v>
      </c>
      <c r="U1153" t="s">
        <v>118</v>
      </c>
      <c r="V1153" t="s">
        <v>49</v>
      </c>
      <c r="W1153" t="s">
        <v>714</v>
      </c>
      <c r="X1153" t="s">
        <v>388</v>
      </c>
      <c r="Y1153" t="s">
        <v>136</v>
      </c>
      <c r="Z1153" t="s">
        <v>64</v>
      </c>
      <c r="AA1153" t="s">
        <v>148</v>
      </c>
      <c r="AB1153" s="3">
        <f t="shared" si="141"/>
        <v>4</v>
      </c>
      <c r="AC1153">
        <v>551.16</v>
      </c>
      <c r="AD1153" s="2">
        <v>137.79</v>
      </c>
      <c r="AE1153" s="2">
        <v>123.11</v>
      </c>
      <c r="AF1153" s="2">
        <v>4.04</v>
      </c>
      <c r="AG1153" s="2">
        <v>678.3</v>
      </c>
      <c r="AH1153">
        <v>0</v>
      </c>
      <c r="AI1153">
        <v>169.57499999999999</v>
      </c>
      <c r="AJ1153">
        <v>3.3915000000000002</v>
      </c>
      <c r="AK1153" t="s">
        <v>54</v>
      </c>
      <c r="AL1153">
        <v>8.81</v>
      </c>
      <c r="AM1153" s="4">
        <f t="shared" si="142"/>
        <v>169.57499999999999</v>
      </c>
      <c r="AN1153" s="4">
        <f t="shared" si="143"/>
        <v>258.35624999999999</v>
      </c>
      <c r="AO1153" s="4">
        <f t="shared" si="144"/>
        <v>287.03379374999997</v>
      </c>
      <c r="AP1153" s="4">
        <f t="shared" si="145"/>
        <v>418.51128937499993</v>
      </c>
      <c r="AQ1153" s="10">
        <f t="shared" si="146"/>
        <v>294.90788249999997</v>
      </c>
      <c r="AR1153" s="10">
        <f t="shared" si="147"/>
        <v>327.67214824574995</v>
      </c>
      <c r="AS1153" s="10">
        <f t="shared" si="148"/>
        <v>459.11259147599992</v>
      </c>
    </row>
    <row r="1154" spans="1:45" x14ac:dyDescent="0.3">
      <c r="A1154">
        <v>2025</v>
      </c>
      <c r="B1154">
        <v>9</v>
      </c>
      <c r="C1154" t="s">
        <v>55</v>
      </c>
      <c r="D1154">
        <v>10</v>
      </c>
      <c r="E1154" t="s">
        <v>36</v>
      </c>
      <c r="F1154" t="s">
        <v>37</v>
      </c>
      <c r="G1154" t="s">
        <v>38</v>
      </c>
      <c r="H1154" t="s">
        <v>101</v>
      </c>
      <c r="I1154" t="s">
        <v>375</v>
      </c>
      <c r="J1154" t="s">
        <v>376</v>
      </c>
      <c r="K1154" t="s">
        <v>59</v>
      </c>
      <c r="L1154" t="s">
        <v>1483</v>
      </c>
      <c r="M1154" t="s">
        <v>1484</v>
      </c>
      <c r="N1154" t="s">
        <v>1485</v>
      </c>
      <c r="O1154" t="s">
        <v>1197</v>
      </c>
      <c r="Q1154" t="s">
        <v>62</v>
      </c>
      <c r="R1154" t="s">
        <v>1486</v>
      </c>
      <c r="S1154" t="s">
        <v>1486</v>
      </c>
      <c r="T1154" t="s">
        <v>47</v>
      </c>
      <c r="U1154" t="s">
        <v>118</v>
      </c>
      <c r="V1154" t="s">
        <v>49</v>
      </c>
      <c r="W1154" t="s">
        <v>714</v>
      </c>
      <c r="X1154" t="s">
        <v>51</v>
      </c>
      <c r="Y1154" t="s">
        <v>1336</v>
      </c>
      <c r="Z1154" t="s">
        <v>1336</v>
      </c>
      <c r="AA1154" t="s">
        <v>148</v>
      </c>
      <c r="AB1154" s="3">
        <f t="shared" si="141"/>
        <v>4</v>
      </c>
      <c r="AC1154">
        <v>574.62</v>
      </c>
      <c r="AD1154" s="2">
        <v>143.655</v>
      </c>
      <c r="AE1154" s="2">
        <v>208.95</v>
      </c>
      <c r="AF1154" s="2">
        <v>4.8099999999999996</v>
      </c>
      <c r="AG1154" s="2">
        <v>788.38</v>
      </c>
      <c r="AH1154">
        <v>0</v>
      </c>
      <c r="AI1154">
        <v>197.095</v>
      </c>
      <c r="AJ1154">
        <v>3.9419</v>
      </c>
      <c r="AK1154" t="s">
        <v>54</v>
      </c>
      <c r="AL1154">
        <v>8.9</v>
      </c>
      <c r="AM1154" s="4">
        <f t="shared" si="142"/>
        <v>197.095</v>
      </c>
      <c r="AN1154" s="4">
        <f t="shared" si="143"/>
        <v>269.35312499999998</v>
      </c>
      <c r="AO1154" s="4">
        <f t="shared" si="144"/>
        <v>299.25132187499997</v>
      </c>
      <c r="AP1154" s="4">
        <f t="shared" si="145"/>
        <v>436.32512718749996</v>
      </c>
      <c r="AQ1154" s="10">
        <f t="shared" si="146"/>
        <v>342.76791450000002</v>
      </c>
      <c r="AR1154" s="10">
        <f t="shared" si="147"/>
        <v>380.84942980095002</v>
      </c>
      <c r="AS1154" s="10">
        <f t="shared" si="148"/>
        <v>533.62108929359999</v>
      </c>
    </row>
    <row r="1155" spans="1:45" x14ac:dyDescent="0.3">
      <c r="A1155">
        <v>2025</v>
      </c>
      <c r="B1155">
        <v>4</v>
      </c>
      <c r="C1155" t="s">
        <v>55</v>
      </c>
      <c r="D1155">
        <v>10</v>
      </c>
      <c r="E1155" t="s">
        <v>36</v>
      </c>
      <c r="F1155" t="s">
        <v>37</v>
      </c>
      <c r="G1155" t="s">
        <v>38</v>
      </c>
      <c r="H1155" t="s">
        <v>101</v>
      </c>
      <c r="I1155" t="s">
        <v>375</v>
      </c>
      <c r="J1155" t="s">
        <v>376</v>
      </c>
      <c r="K1155" t="s">
        <v>59</v>
      </c>
      <c r="M1155">
        <v>2503061</v>
      </c>
      <c r="N1155" t="s">
        <v>377</v>
      </c>
      <c r="O1155" t="s">
        <v>36</v>
      </c>
      <c r="Q1155" t="s">
        <v>62</v>
      </c>
      <c r="R1155" t="s">
        <v>378</v>
      </c>
      <c r="S1155" t="s">
        <v>378</v>
      </c>
      <c r="T1155" t="s">
        <v>47</v>
      </c>
      <c r="U1155" t="s">
        <v>118</v>
      </c>
      <c r="V1155" t="s">
        <v>49</v>
      </c>
      <c r="W1155" t="s">
        <v>119</v>
      </c>
      <c r="X1155" t="s">
        <v>51</v>
      </c>
      <c r="Y1155" t="s">
        <v>1336</v>
      </c>
      <c r="Z1155" t="s">
        <v>1336</v>
      </c>
      <c r="AA1155" t="s">
        <v>148</v>
      </c>
      <c r="AB1155" s="3">
        <f t="shared" ref="AB1155:AB1218" si="149">SUM(AC1155/AD1155)</f>
        <v>5</v>
      </c>
      <c r="AC1155">
        <v>722.35</v>
      </c>
      <c r="AD1155" s="2">
        <v>144.47</v>
      </c>
      <c r="AE1155" s="2">
        <v>111.9</v>
      </c>
      <c r="AF1155" s="2">
        <v>5.12</v>
      </c>
      <c r="AG1155" s="2">
        <v>839.37</v>
      </c>
      <c r="AH1155">
        <v>0</v>
      </c>
      <c r="AI1155">
        <v>167.874</v>
      </c>
      <c r="AJ1155">
        <v>4.1968500000000004</v>
      </c>
      <c r="AK1155" t="s">
        <v>54</v>
      </c>
      <c r="AL1155">
        <v>4.63</v>
      </c>
      <c r="AM1155" s="4">
        <f t="shared" ref="AM1155:AM1218" si="150">SUM(AG1155/AB1155)</f>
        <v>167.874</v>
      </c>
      <c r="AN1155" s="4">
        <f t="shared" ref="AN1155:AN1218" si="151">SUM(AD1155*1.875)</f>
        <v>270.88125000000002</v>
      </c>
      <c r="AO1155" s="4">
        <f t="shared" si="144"/>
        <v>300.94906875000004</v>
      </c>
      <c r="AP1155" s="4">
        <f t="shared" si="145"/>
        <v>438.80053687500003</v>
      </c>
      <c r="AQ1155" s="10">
        <f t="shared" si="146"/>
        <v>291.94967339999999</v>
      </c>
      <c r="AR1155" s="10">
        <f t="shared" si="147"/>
        <v>324.38528211473999</v>
      </c>
      <c r="AS1155" s="10">
        <f t="shared" si="148"/>
        <v>454.50725154911999</v>
      </c>
    </row>
    <row r="1156" spans="1:45" x14ac:dyDescent="0.3">
      <c r="A1156">
        <v>2025</v>
      </c>
      <c r="B1156">
        <v>4</v>
      </c>
      <c r="C1156" t="s">
        <v>55</v>
      </c>
      <c r="D1156">
        <v>10</v>
      </c>
      <c r="E1156" t="s">
        <v>36</v>
      </c>
      <c r="F1156" t="s">
        <v>37</v>
      </c>
      <c r="G1156" t="s">
        <v>38</v>
      </c>
      <c r="H1156" t="s">
        <v>101</v>
      </c>
      <c r="I1156" t="s">
        <v>375</v>
      </c>
      <c r="J1156" t="s">
        <v>376</v>
      </c>
      <c r="K1156" t="s">
        <v>59</v>
      </c>
      <c r="M1156">
        <v>2503061</v>
      </c>
      <c r="N1156" t="s">
        <v>377</v>
      </c>
      <c r="O1156" t="s">
        <v>36</v>
      </c>
      <c r="Q1156" t="s">
        <v>62</v>
      </c>
      <c r="R1156" t="s">
        <v>378</v>
      </c>
      <c r="S1156" t="s">
        <v>378</v>
      </c>
      <c r="T1156" t="s">
        <v>47</v>
      </c>
      <c r="U1156" t="s">
        <v>118</v>
      </c>
      <c r="V1156" t="s">
        <v>49</v>
      </c>
      <c r="W1156" t="s">
        <v>119</v>
      </c>
      <c r="X1156" t="s">
        <v>51</v>
      </c>
      <c r="Y1156" t="s">
        <v>487</v>
      </c>
      <c r="Z1156" t="s">
        <v>487</v>
      </c>
      <c r="AA1156" t="s">
        <v>489</v>
      </c>
      <c r="AB1156" s="3">
        <f t="shared" si="149"/>
        <v>4</v>
      </c>
      <c r="AC1156">
        <v>1029.9000000000001</v>
      </c>
      <c r="AD1156" s="2">
        <v>257.47500000000002</v>
      </c>
      <c r="AE1156" s="2">
        <v>60.35</v>
      </c>
      <c r="AF1156" s="2">
        <v>7.32</v>
      </c>
      <c r="AG1156" s="2">
        <v>1097.57</v>
      </c>
      <c r="AH1156">
        <v>0</v>
      </c>
      <c r="AI1156">
        <v>274.39249999999998</v>
      </c>
      <c r="AJ1156">
        <v>5.4878499999999999</v>
      </c>
      <c r="AK1156" t="s">
        <v>54</v>
      </c>
      <c r="AL1156">
        <v>2.88</v>
      </c>
      <c r="AM1156" s="4">
        <f t="shared" si="150"/>
        <v>274.39249999999998</v>
      </c>
      <c r="AN1156" s="4">
        <f t="shared" si="151"/>
        <v>482.76562500000006</v>
      </c>
      <c r="AO1156" s="4">
        <f t="shared" ref="AO1156:AO1219" si="152">SUM(AN1156)*1.111</f>
        <v>536.35260937500004</v>
      </c>
      <c r="AP1156" s="4">
        <f t="shared" ref="AP1156:AP1219" si="153">SUM(AN1156)*1.6199</f>
        <v>782.03203593750004</v>
      </c>
      <c r="AQ1156" s="10">
        <f t="shared" si="146"/>
        <v>477.19599675000001</v>
      </c>
      <c r="AR1156" s="10">
        <f t="shared" si="147"/>
        <v>530.21247198892502</v>
      </c>
      <c r="AS1156" s="10">
        <f t="shared" si="148"/>
        <v>742.89872774039998</v>
      </c>
    </row>
    <row r="1157" spans="1:45" x14ac:dyDescent="0.3">
      <c r="A1157">
        <v>2025</v>
      </c>
      <c r="B1157">
        <v>4</v>
      </c>
      <c r="C1157" t="s">
        <v>55</v>
      </c>
      <c r="D1157">
        <v>10</v>
      </c>
      <c r="E1157" t="s">
        <v>36</v>
      </c>
      <c r="F1157" t="s">
        <v>37</v>
      </c>
      <c r="G1157" t="s">
        <v>38</v>
      </c>
      <c r="H1157" t="s">
        <v>101</v>
      </c>
      <c r="I1157" t="s">
        <v>375</v>
      </c>
      <c r="J1157" t="s">
        <v>376</v>
      </c>
      <c r="K1157" t="s">
        <v>59</v>
      </c>
      <c r="M1157">
        <v>2503061</v>
      </c>
      <c r="N1157" t="s">
        <v>377</v>
      </c>
      <c r="O1157" t="s">
        <v>36</v>
      </c>
      <c r="Q1157" t="s">
        <v>62</v>
      </c>
      <c r="R1157" t="s">
        <v>378</v>
      </c>
      <c r="S1157" t="s">
        <v>378</v>
      </c>
      <c r="T1157" t="s">
        <v>47</v>
      </c>
      <c r="U1157" t="s">
        <v>118</v>
      </c>
      <c r="V1157" t="s">
        <v>49</v>
      </c>
      <c r="W1157" t="s">
        <v>119</v>
      </c>
      <c r="X1157" t="s">
        <v>51</v>
      </c>
      <c r="Y1157" t="s">
        <v>487</v>
      </c>
      <c r="Z1157" t="s">
        <v>487</v>
      </c>
      <c r="AA1157" t="s">
        <v>489</v>
      </c>
      <c r="AB1157" s="3">
        <f t="shared" si="149"/>
        <v>2.9999999999999609</v>
      </c>
      <c r="AC1157">
        <v>768.8</v>
      </c>
      <c r="AD1157" s="2">
        <v>256.26666666667001</v>
      </c>
      <c r="AE1157" s="2">
        <v>44.84</v>
      </c>
      <c r="AF1157" s="2">
        <v>5.47</v>
      </c>
      <c r="AG1157" s="2">
        <v>819.11</v>
      </c>
      <c r="AH1157">
        <v>0</v>
      </c>
      <c r="AI1157">
        <v>273.03666666666999</v>
      </c>
      <c r="AJ1157">
        <v>4.0955500000000002</v>
      </c>
      <c r="AK1157" t="s">
        <v>54</v>
      </c>
      <c r="AL1157">
        <v>2.14</v>
      </c>
      <c r="AM1157" s="4">
        <f t="shared" si="150"/>
        <v>273.03666666667021</v>
      </c>
      <c r="AN1157" s="4">
        <f t="shared" si="151"/>
        <v>480.50000000000625</v>
      </c>
      <c r="AO1157" s="4">
        <f t="shared" si="152"/>
        <v>533.83550000000696</v>
      </c>
      <c r="AP1157" s="4">
        <f t="shared" si="153"/>
        <v>778.3619500000101</v>
      </c>
      <c r="AQ1157" s="10">
        <f t="shared" si="146"/>
        <v>474.83806700000622</v>
      </c>
      <c r="AR1157" s="10">
        <f t="shared" si="147"/>
        <v>527.59257624370684</v>
      </c>
      <c r="AS1157" s="10">
        <f t="shared" si="148"/>
        <v>739.22790270560961</v>
      </c>
    </row>
    <row r="1158" spans="1:45" x14ac:dyDescent="0.3">
      <c r="A1158">
        <v>2025</v>
      </c>
      <c r="B1158">
        <v>8</v>
      </c>
      <c r="C1158" t="s">
        <v>55</v>
      </c>
      <c r="D1158">
        <v>10</v>
      </c>
      <c r="E1158" t="s">
        <v>36</v>
      </c>
      <c r="F1158" t="s">
        <v>37</v>
      </c>
      <c r="G1158" t="s">
        <v>38</v>
      </c>
      <c r="H1158" t="s">
        <v>101</v>
      </c>
      <c r="I1158" t="s">
        <v>190</v>
      </c>
      <c r="J1158" t="s">
        <v>58</v>
      </c>
      <c r="K1158" t="s">
        <v>59</v>
      </c>
      <c r="L1158" t="s">
        <v>1194</v>
      </c>
      <c r="M1158" t="s">
        <v>1195</v>
      </c>
      <c r="N1158" t="s">
        <v>1196</v>
      </c>
      <c r="O1158" t="s">
        <v>1197</v>
      </c>
      <c r="Q1158" t="s">
        <v>62</v>
      </c>
      <c r="R1158" t="s">
        <v>1198</v>
      </c>
      <c r="S1158" t="s">
        <v>1198</v>
      </c>
      <c r="T1158" t="s">
        <v>47</v>
      </c>
      <c r="U1158" t="s">
        <v>118</v>
      </c>
      <c r="V1158" t="s">
        <v>49</v>
      </c>
      <c r="W1158" t="s">
        <v>714</v>
      </c>
      <c r="X1158" t="s">
        <v>388</v>
      </c>
      <c r="Y1158" t="s">
        <v>487</v>
      </c>
      <c r="Z1158" t="s">
        <v>487</v>
      </c>
      <c r="AA1158" t="s">
        <v>489</v>
      </c>
      <c r="AB1158" s="3">
        <f t="shared" si="149"/>
        <v>3</v>
      </c>
      <c r="AC1158">
        <v>775.77</v>
      </c>
      <c r="AD1158" s="2">
        <v>258.58999999999997</v>
      </c>
      <c r="AE1158" s="2">
        <v>70.83</v>
      </c>
      <c r="AF1158" s="2">
        <v>5.51</v>
      </c>
      <c r="AG1158" s="2">
        <v>852.1</v>
      </c>
      <c r="AH1158">
        <v>0</v>
      </c>
      <c r="AI1158">
        <v>284.03333333333001</v>
      </c>
      <c r="AJ1158">
        <v>4.2605000000000004</v>
      </c>
      <c r="AK1158" t="s">
        <v>54</v>
      </c>
      <c r="AL1158">
        <v>3.38</v>
      </c>
      <c r="AM1158" s="4">
        <f t="shared" si="150"/>
        <v>284.03333333333336</v>
      </c>
      <c r="AN1158" s="4">
        <f t="shared" si="151"/>
        <v>484.85624999999993</v>
      </c>
      <c r="AO1158" s="4">
        <f t="shared" si="152"/>
        <v>538.67529374999992</v>
      </c>
      <c r="AP1158" s="4">
        <f t="shared" si="153"/>
        <v>785.41863937499988</v>
      </c>
      <c r="AQ1158" s="10">
        <f t="shared" si="146"/>
        <v>493.96237000000008</v>
      </c>
      <c r="AR1158" s="10">
        <f t="shared" si="147"/>
        <v>548.84158930700005</v>
      </c>
      <c r="AS1158" s="10">
        <f t="shared" si="148"/>
        <v>769.00061761600011</v>
      </c>
    </row>
    <row r="1159" spans="1:45" x14ac:dyDescent="0.3">
      <c r="A1159">
        <v>2025</v>
      </c>
      <c r="B1159">
        <v>11</v>
      </c>
      <c r="C1159" t="s">
        <v>55</v>
      </c>
      <c r="D1159">
        <v>10</v>
      </c>
      <c r="E1159" t="s">
        <v>36</v>
      </c>
      <c r="F1159" t="s">
        <v>37</v>
      </c>
      <c r="G1159" t="s">
        <v>38</v>
      </c>
      <c r="H1159" t="s">
        <v>101</v>
      </c>
      <c r="I1159" t="s">
        <v>375</v>
      </c>
      <c r="J1159" t="s">
        <v>376</v>
      </c>
      <c r="K1159" t="s">
        <v>51</v>
      </c>
      <c r="L1159" t="s">
        <v>1622</v>
      </c>
      <c r="M1159" t="s">
        <v>1623</v>
      </c>
      <c r="N1159" t="s">
        <v>1485</v>
      </c>
      <c r="O1159" t="s">
        <v>1197</v>
      </c>
      <c r="Q1159" t="s">
        <v>62</v>
      </c>
      <c r="R1159" t="s">
        <v>1624</v>
      </c>
      <c r="S1159" t="s">
        <v>1624</v>
      </c>
      <c r="T1159" t="s">
        <v>47</v>
      </c>
      <c r="U1159" t="s">
        <v>118</v>
      </c>
      <c r="V1159" t="s">
        <v>49</v>
      </c>
      <c r="W1159" t="s">
        <v>714</v>
      </c>
      <c r="X1159" t="s">
        <v>51</v>
      </c>
      <c r="Y1159" t="s">
        <v>1336</v>
      </c>
      <c r="Z1159" t="s">
        <v>1336</v>
      </c>
      <c r="AA1159" t="s">
        <v>489</v>
      </c>
      <c r="AB1159" s="3">
        <f t="shared" si="149"/>
        <v>1</v>
      </c>
      <c r="AC1159">
        <v>229.74</v>
      </c>
      <c r="AD1159" s="2">
        <v>229.74</v>
      </c>
      <c r="AE1159" s="2">
        <v>16.46</v>
      </c>
      <c r="AF1159" s="2">
        <v>1.49</v>
      </c>
      <c r="AG1159" s="2">
        <v>247.69</v>
      </c>
      <c r="AH1159">
        <v>0</v>
      </c>
      <c r="AI1159">
        <v>247.69</v>
      </c>
      <c r="AJ1159">
        <v>1.2384500000000001</v>
      </c>
      <c r="AK1159" t="s">
        <v>54</v>
      </c>
      <c r="AL1159">
        <v>1.93</v>
      </c>
      <c r="AM1159" s="4">
        <f t="shared" si="150"/>
        <v>247.69</v>
      </c>
      <c r="AN1159" s="4">
        <f t="shared" si="151"/>
        <v>430.76250000000005</v>
      </c>
      <c r="AO1159" s="4">
        <f t="shared" si="152"/>
        <v>478.57713750000005</v>
      </c>
      <c r="AP1159" s="4">
        <f t="shared" si="153"/>
        <v>697.79217375000007</v>
      </c>
      <c r="AQ1159" s="10">
        <f t="shared" si="146"/>
        <v>430.757679</v>
      </c>
      <c r="AR1159" s="10">
        <f t="shared" si="147"/>
        <v>478.61485713690001</v>
      </c>
      <c r="AS1159" s="10">
        <f t="shared" si="148"/>
        <v>670.6035546672</v>
      </c>
    </row>
    <row r="1160" spans="1:45" x14ac:dyDescent="0.3">
      <c r="A1160">
        <v>2025</v>
      </c>
      <c r="B1160">
        <v>12</v>
      </c>
      <c r="C1160" t="s">
        <v>55</v>
      </c>
      <c r="D1160">
        <v>10</v>
      </c>
      <c r="E1160" t="s">
        <v>36</v>
      </c>
      <c r="F1160" t="s">
        <v>37</v>
      </c>
      <c r="G1160" t="s">
        <v>38</v>
      </c>
      <c r="H1160" t="s">
        <v>101</v>
      </c>
      <c r="I1160" t="s">
        <v>57</v>
      </c>
      <c r="J1160" t="s">
        <v>58</v>
      </c>
      <c r="K1160" t="s">
        <v>59</v>
      </c>
      <c r="L1160" t="s">
        <v>1769</v>
      </c>
      <c r="M1160" t="s">
        <v>1770</v>
      </c>
      <c r="N1160" t="s">
        <v>1771</v>
      </c>
      <c r="O1160" t="s">
        <v>1197</v>
      </c>
      <c r="Q1160" t="s">
        <v>62</v>
      </c>
      <c r="R1160" t="s">
        <v>1772</v>
      </c>
      <c r="S1160" t="s">
        <v>1772</v>
      </c>
      <c r="T1160" t="s">
        <v>47</v>
      </c>
      <c r="U1160" t="s">
        <v>118</v>
      </c>
      <c r="V1160" t="s">
        <v>49</v>
      </c>
      <c r="W1160" t="s">
        <v>714</v>
      </c>
      <c r="X1160" t="s">
        <v>51</v>
      </c>
      <c r="Y1160" t="s">
        <v>1349</v>
      </c>
      <c r="Z1160" t="s">
        <v>1349</v>
      </c>
      <c r="AA1160" t="s">
        <v>489</v>
      </c>
      <c r="AB1160" s="3">
        <f t="shared" si="149"/>
        <v>5.9999999999999991</v>
      </c>
      <c r="AC1160">
        <v>1324.8</v>
      </c>
      <c r="AD1160" s="2">
        <v>220.8</v>
      </c>
      <c r="AE1160" s="2">
        <v>185.5</v>
      </c>
      <c r="AF1160" s="2">
        <v>9.17</v>
      </c>
      <c r="AG1160" s="2">
        <v>1519.47</v>
      </c>
      <c r="AH1160">
        <v>0</v>
      </c>
      <c r="AI1160">
        <v>253.245</v>
      </c>
      <c r="AJ1160">
        <v>7.5973499999999996</v>
      </c>
      <c r="AK1160" t="s">
        <v>54</v>
      </c>
      <c r="AL1160">
        <v>6.97</v>
      </c>
      <c r="AM1160" s="4">
        <f t="shared" si="150"/>
        <v>253.24500000000003</v>
      </c>
      <c r="AN1160" s="4">
        <f t="shared" si="151"/>
        <v>414</v>
      </c>
      <c r="AO1160" s="4">
        <f t="shared" si="152"/>
        <v>459.95400000000001</v>
      </c>
      <c r="AP1160" s="4">
        <f t="shared" si="153"/>
        <v>670.6386</v>
      </c>
      <c r="AQ1160" s="10">
        <f t="shared" si="146"/>
        <v>440.41837950000007</v>
      </c>
      <c r="AR1160" s="10">
        <f t="shared" si="147"/>
        <v>489.34886146245009</v>
      </c>
      <c r="AS1160" s="10">
        <f t="shared" si="148"/>
        <v>685.64333320560013</v>
      </c>
    </row>
    <row r="1161" spans="1:45" x14ac:dyDescent="0.3">
      <c r="A1161">
        <v>2025</v>
      </c>
      <c r="B1161">
        <v>3</v>
      </c>
      <c r="C1161" t="s">
        <v>55</v>
      </c>
      <c r="D1161">
        <v>10</v>
      </c>
      <c r="E1161" t="s">
        <v>36</v>
      </c>
      <c r="F1161" t="s">
        <v>37</v>
      </c>
      <c r="G1161" t="s">
        <v>38</v>
      </c>
      <c r="H1161" t="s">
        <v>101</v>
      </c>
      <c r="I1161" t="s">
        <v>190</v>
      </c>
      <c r="J1161" t="s">
        <v>58</v>
      </c>
      <c r="K1161" t="s">
        <v>59</v>
      </c>
      <c r="M1161" t="s">
        <v>209</v>
      </c>
      <c r="N1161" t="s">
        <v>61</v>
      </c>
      <c r="O1161" t="s">
        <v>43</v>
      </c>
      <c r="Q1161" t="s">
        <v>62</v>
      </c>
      <c r="R1161" t="s">
        <v>210</v>
      </c>
      <c r="S1161" t="s">
        <v>211</v>
      </c>
      <c r="T1161" t="s">
        <v>47</v>
      </c>
      <c r="U1161" t="s">
        <v>118</v>
      </c>
      <c r="V1161" t="s">
        <v>49</v>
      </c>
      <c r="W1161" t="s">
        <v>119</v>
      </c>
      <c r="X1161" t="s">
        <v>51</v>
      </c>
      <c r="Y1161" t="s">
        <v>1336</v>
      </c>
      <c r="Z1161" t="s">
        <v>1336</v>
      </c>
      <c r="AA1161" t="s">
        <v>489</v>
      </c>
      <c r="AB1161" s="3">
        <f t="shared" si="149"/>
        <v>5</v>
      </c>
      <c r="AC1161">
        <v>1157.77</v>
      </c>
      <c r="AD1161" s="2">
        <v>231.554</v>
      </c>
      <c r="AE1161" s="2">
        <v>343.7</v>
      </c>
      <c r="AF1161" s="2">
        <v>8.69</v>
      </c>
      <c r="AG1161" s="2">
        <v>1510.16</v>
      </c>
      <c r="AH1161">
        <v>0</v>
      </c>
      <c r="AI1161">
        <v>302.03199999999998</v>
      </c>
      <c r="AJ1161">
        <v>7.5507999999999997</v>
      </c>
      <c r="AK1161" t="s">
        <v>54</v>
      </c>
      <c r="AL1161">
        <v>8.6</v>
      </c>
      <c r="AM1161" s="4">
        <f t="shared" si="150"/>
        <v>302.03200000000004</v>
      </c>
      <c r="AN1161" s="4">
        <f t="shared" si="151"/>
        <v>434.16374999999999</v>
      </c>
      <c r="AO1161" s="4">
        <f t="shared" si="152"/>
        <v>482.35592624999998</v>
      </c>
      <c r="AP1161" s="4">
        <f t="shared" si="153"/>
        <v>703.30185862499991</v>
      </c>
      <c r="AQ1161" s="10">
        <f t="shared" si="146"/>
        <v>525.26385120000009</v>
      </c>
      <c r="AR1161" s="10">
        <f t="shared" si="147"/>
        <v>583.62066506832014</v>
      </c>
      <c r="AS1161" s="10">
        <f t="shared" si="148"/>
        <v>817.7307635481601</v>
      </c>
    </row>
    <row r="1162" spans="1:45" x14ac:dyDescent="0.3">
      <c r="A1162">
        <v>2025</v>
      </c>
      <c r="B1162">
        <v>12</v>
      </c>
      <c r="C1162" t="s">
        <v>55</v>
      </c>
      <c r="D1162">
        <v>10</v>
      </c>
      <c r="E1162" t="s">
        <v>36</v>
      </c>
      <c r="F1162" t="s">
        <v>37</v>
      </c>
      <c r="G1162" t="s">
        <v>38</v>
      </c>
      <c r="H1162" t="s">
        <v>101</v>
      </c>
      <c r="I1162" t="s">
        <v>57</v>
      </c>
      <c r="J1162" t="s">
        <v>58</v>
      </c>
      <c r="K1162" t="s">
        <v>59</v>
      </c>
      <c r="L1162" t="s">
        <v>1769</v>
      </c>
      <c r="M1162" t="s">
        <v>1770</v>
      </c>
      <c r="N1162" t="s">
        <v>1771</v>
      </c>
      <c r="O1162" t="s">
        <v>1197</v>
      </c>
      <c r="Q1162" t="s">
        <v>62</v>
      </c>
      <c r="R1162" t="s">
        <v>1772</v>
      </c>
      <c r="S1162" t="s">
        <v>1772</v>
      </c>
      <c r="T1162" t="s">
        <v>47</v>
      </c>
      <c r="U1162" t="s">
        <v>118</v>
      </c>
      <c r="V1162" t="s">
        <v>49</v>
      </c>
      <c r="W1162" t="s">
        <v>714</v>
      </c>
      <c r="X1162" t="s">
        <v>51</v>
      </c>
      <c r="Y1162" t="s">
        <v>136</v>
      </c>
      <c r="Z1162" t="s">
        <v>64</v>
      </c>
      <c r="AA1162" t="s">
        <v>300</v>
      </c>
      <c r="AB1162" s="3">
        <f t="shared" si="149"/>
        <v>4</v>
      </c>
      <c r="AC1162">
        <v>1135.82</v>
      </c>
      <c r="AD1162" s="2">
        <v>283.95499999999998</v>
      </c>
      <c r="AE1162" s="2">
        <v>253.7</v>
      </c>
      <c r="AF1162" s="2">
        <v>8.32</v>
      </c>
      <c r="AG1162" s="2">
        <v>1397.84</v>
      </c>
      <c r="AH1162">
        <v>0</v>
      </c>
      <c r="AI1162">
        <v>349.46</v>
      </c>
      <c r="AJ1162">
        <v>6.9892000000000003</v>
      </c>
      <c r="AK1162" t="s">
        <v>54</v>
      </c>
      <c r="AL1162">
        <v>8.81</v>
      </c>
      <c r="AM1162" s="4">
        <f t="shared" si="150"/>
        <v>349.46</v>
      </c>
      <c r="AN1162" s="4">
        <f t="shared" si="151"/>
        <v>532.41562499999998</v>
      </c>
      <c r="AO1162" s="4">
        <f t="shared" si="152"/>
        <v>591.51375937499995</v>
      </c>
      <c r="AP1162" s="4">
        <f t="shared" si="153"/>
        <v>862.46007093749995</v>
      </c>
      <c r="AQ1162" s="10">
        <f t="shared" si="146"/>
        <v>607.74588600000004</v>
      </c>
      <c r="AR1162" s="10">
        <f t="shared" si="147"/>
        <v>675.26645393460001</v>
      </c>
      <c r="AS1162" s="10">
        <f t="shared" si="148"/>
        <v>946.13879532480007</v>
      </c>
    </row>
    <row r="1163" spans="1:45" x14ac:dyDescent="0.3">
      <c r="A1163">
        <v>2025</v>
      </c>
      <c r="B1163">
        <v>12</v>
      </c>
      <c r="C1163" t="s">
        <v>55</v>
      </c>
      <c r="D1163">
        <v>10</v>
      </c>
      <c r="E1163" t="s">
        <v>36</v>
      </c>
      <c r="F1163" t="s">
        <v>37</v>
      </c>
      <c r="G1163" t="s">
        <v>38</v>
      </c>
      <c r="H1163" t="s">
        <v>101</v>
      </c>
      <c r="I1163" t="s">
        <v>57</v>
      </c>
      <c r="J1163" t="s">
        <v>58</v>
      </c>
      <c r="K1163" t="s">
        <v>59</v>
      </c>
      <c r="L1163" t="s">
        <v>1769</v>
      </c>
      <c r="M1163" t="s">
        <v>1770</v>
      </c>
      <c r="N1163" t="s">
        <v>1771</v>
      </c>
      <c r="O1163" t="s">
        <v>1197</v>
      </c>
      <c r="Q1163" t="s">
        <v>62</v>
      </c>
      <c r="R1163" t="s">
        <v>1772</v>
      </c>
      <c r="S1163" t="s">
        <v>1772</v>
      </c>
      <c r="T1163" t="s">
        <v>47</v>
      </c>
      <c r="U1163" t="s">
        <v>118</v>
      </c>
      <c r="V1163" t="s">
        <v>49</v>
      </c>
      <c r="W1163" t="s">
        <v>714</v>
      </c>
      <c r="X1163" t="s">
        <v>51</v>
      </c>
      <c r="Y1163" t="s">
        <v>1336</v>
      </c>
      <c r="Z1163" t="s">
        <v>1336</v>
      </c>
      <c r="AA1163" t="s">
        <v>1876</v>
      </c>
      <c r="AB1163" s="3">
        <f t="shared" si="149"/>
        <v>2.9999999999999676</v>
      </c>
      <c r="AC1163">
        <v>927.8</v>
      </c>
      <c r="AD1163" s="2">
        <v>309.26666666667001</v>
      </c>
      <c r="AE1163" s="2">
        <v>275.20999999999998</v>
      </c>
      <c r="AF1163" s="2">
        <v>6.96</v>
      </c>
      <c r="AG1163" s="2">
        <v>1209.25</v>
      </c>
      <c r="AH1163">
        <v>0</v>
      </c>
      <c r="AI1163">
        <v>403.08333333333002</v>
      </c>
      <c r="AJ1163">
        <v>6.0462499999999997</v>
      </c>
      <c r="AK1163" t="s">
        <v>54</v>
      </c>
      <c r="AL1163">
        <v>6.89</v>
      </c>
      <c r="AM1163" s="4">
        <f t="shared" si="150"/>
        <v>403.08333333333769</v>
      </c>
      <c r="AN1163" s="4">
        <f t="shared" si="151"/>
        <v>579.87500000000625</v>
      </c>
      <c r="AO1163" s="4">
        <f t="shared" si="152"/>
        <v>644.24112500000695</v>
      </c>
      <c r="AP1163" s="4">
        <f t="shared" si="153"/>
        <v>939.33951250001007</v>
      </c>
      <c r="AQ1163" s="10">
        <f t="shared" si="146"/>
        <v>701.00222500000757</v>
      </c>
      <c r="AR1163" s="10">
        <f t="shared" si="147"/>
        <v>778.88357219750844</v>
      </c>
      <c r="AS1163" s="10">
        <f t="shared" si="148"/>
        <v>1091.3202638800117</v>
      </c>
    </row>
    <row r="1164" spans="1:45" x14ac:dyDescent="0.3">
      <c r="A1164">
        <v>2025</v>
      </c>
      <c r="B1164">
        <v>9</v>
      </c>
      <c r="C1164" t="s">
        <v>55</v>
      </c>
      <c r="D1164">
        <v>10</v>
      </c>
      <c r="E1164" t="s">
        <v>36</v>
      </c>
      <c r="F1164" t="s">
        <v>37</v>
      </c>
      <c r="G1164" t="s">
        <v>38</v>
      </c>
      <c r="H1164" t="s">
        <v>101</v>
      </c>
      <c r="I1164" t="s">
        <v>375</v>
      </c>
      <c r="J1164" t="s">
        <v>376</v>
      </c>
      <c r="K1164" t="s">
        <v>59</v>
      </c>
      <c r="L1164" t="s">
        <v>1483</v>
      </c>
      <c r="M1164" t="s">
        <v>1484</v>
      </c>
      <c r="N1164" t="s">
        <v>1485</v>
      </c>
      <c r="O1164" t="s">
        <v>1197</v>
      </c>
      <c r="Q1164" t="s">
        <v>62</v>
      </c>
      <c r="R1164" t="s">
        <v>1486</v>
      </c>
      <c r="S1164" t="s">
        <v>1486</v>
      </c>
      <c r="T1164" t="s">
        <v>47</v>
      </c>
      <c r="U1164" t="s">
        <v>118</v>
      </c>
      <c r="V1164" t="s">
        <v>49</v>
      </c>
      <c r="W1164" t="s">
        <v>714</v>
      </c>
      <c r="X1164" t="s">
        <v>51</v>
      </c>
      <c r="Y1164" t="s">
        <v>1336</v>
      </c>
      <c r="Z1164" t="s">
        <v>1336</v>
      </c>
      <c r="AA1164" t="s">
        <v>1874</v>
      </c>
      <c r="AB1164" s="3">
        <f t="shared" si="149"/>
        <v>1</v>
      </c>
      <c r="AC1164">
        <v>520.36</v>
      </c>
      <c r="AD1164" s="2">
        <v>520.36</v>
      </c>
      <c r="AE1164" s="2">
        <v>154.47999999999999</v>
      </c>
      <c r="AF1164" s="2">
        <v>3.91</v>
      </c>
      <c r="AG1164" s="2">
        <v>678.74</v>
      </c>
      <c r="AH1164">
        <v>0</v>
      </c>
      <c r="AI1164">
        <v>678.74</v>
      </c>
      <c r="AJ1164">
        <v>3.3936999999999999</v>
      </c>
      <c r="AK1164" t="s">
        <v>54</v>
      </c>
      <c r="AL1164">
        <v>3.87</v>
      </c>
      <c r="AM1164" s="4">
        <f t="shared" si="150"/>
        <v>678.74</v>
      </c>
      <c r="AN1164" s="4">
        <f t="shared" si="151"/>
        <v>975.67500000000007</v>
      </c>
      <c r="AO1164" s="4">
        <f t="shared" si="152"/>
        <v>1083.974925</v>
      </c>
      <c r="AP1164" s="4">
        <f t="shared" si="153"/>
        <v>1580.4959325</v>
      </c>
      <c r="AQ1164" s="10">
        <f t="shared" si="146"/>
        <v>1180.3967340000002</v>
      </c>
      <c r="AR1164" s="10">
        <f t="shared" si="147"/>
        <v>1311.5388111474001</v>
      </c>
      <c r="AS1164" s="10">
        <f t="shared" si="148"/>
        <v>1837.6416354912001</v>
      </c>
    </row>
    <row r="1165" spans="1:45" x14ac:dyDescent="0.3">
      <c r="A1165">
        <v>2025</v>
      </c>
      <c r="B1165">
        <v>5</v>
      </c>
      <c r="C1165" t="s">
        <v>55</v>
      </c>
      <c r="D1165">
        <v>10</v>
      </c>
      <c r="E1165" t="s">
        <v>36</v>
      </c>
      <c r="F1165" t="s">
        <v>37</v>
      </c>
      <c r="G1165" t="s">
        <v>38</v>
      </c>
      <c r="H1165" t="s">
        <v>101</v>
      </c>
      <c r="I1165" t="s">
        <v>190</v>
      </c>
      <c r="J1165" t="s">
        <v>58</v>
      </c>
      <c r="K1165" t="s">
        <v>59</v>
      </c>
      <c r="M1165" t="s">
        <v>682</v>
      </c>
      <c r="N1165" t="s">
        <v>384</v>
      </c>
      <c r="O1165" t="s">
        <v>36</v>
      </c>
      <c r="Q1165" t="s">
        <v>62</v>
      </c>
      <c r="R1165" t="s">
        <v>683</v>
      </c>
      <c r="S1165" t="s">
        <v>683</v>
      </c>
      <c r="T1165" t="s">
        <v>47</v>
      </c>
      <c r="U1165" t="s">
        <v>118</v>
      </c>
      <c r="V1165" t="s">
        <v>49</v>
      </c>
      <c r="W1165" t="s">
        <v>714</v>
      </c>
      <c r="X1165" t="s">
        <v>686</v>
      </c>
      <c r="Y1165" t="s">
        <v>1336</v>
      </c>
      <c r="Z1165" t="s">
        <v>1336</v>
      </c>
      <c r="AA1165" t="s">
        <v>1514</v>
      </c>
      <c r="AB1165" s="3">
        <f t="shared" si="149"/>
        <v>2</v>
      </c>
      <c r="AC1165">
        <v>1157.8399999999999</v>
      </c>
      <c r="AD1165" s="2">
        <v>578.91999999999996</v>
      </c>
      <c r="AE1165" s="2">
        <v>179.58</v>
      </c>
      <c r="AF1165" s="2">
        <v>8.2100000000000009</v>
      </c>
      <c r="AG1165" s="2">
        <v>1345.63</v>
      </c>
      <c r="AH1165">
        <v>0</v>
      </c>
      <c r="AI1165">
        <v>672.81500000000005</v>
      </c>
      <c r="AJ1165">
        <v>6.7281500000000003</v>
      </c>
      <c r="AK1165" t="s">
        <v>54</v>
      </c>
      <c r="AL1165">
        <v>7.43</v>
      </c>
      <c r="AM1165" s="4">
        <f t="shared" si="150"/>
        <v>672.81500000000005</v>
      </c>
      <c r="AN1165" s="4">
        <f t="shared" si="151"/>
        <v>1085.4749999999999</v>
      </c>
      <c r="AO1165" s="4">
        <f t="shared" si="152"/>
        <v>1205.9627249999999</v>
      </c>
      <c r="AP1165" s="4">
        <f t="shared" si="153"/>
        <v>1758.3609524999997</v>
      </c>
      <c r="AQ1165" s="10">
        <f t="shared" si="146"/>
        <v>1170.0925665000002</v>
      </c>
      <c r="AR1165" s="10">
        <f t="shared" si="147"/>
        <v>1300.0898506381502</v>
      </c>
      <c r="AS1165" s="10">
        <f t="shared" si="148"/>
        <v>1821.6001075272002</v>
      </c>
    </row>
    <row r="1166" spans="1:45" x14ac:dyDescent="0.3">
      <c r="A1166">
        <v>2025</v>
      </c>
      <c r="B1166">
        <v>7</v>
      </c>
      <c r="C1166" t="s">
        <v>55</v>
      </c>
      <c r="D1166">
        <v>10</v>
      </c>
      <c r="E1166" t="s">
        <v>36</v>
      </c>
      <c r="F1166" t="s">
        <v>37</v>
      </c>
      <c r="G1166" t="s">
        <v>38</v>
      </c>
      <c r="H1166" t="s">
        <v>101</v>
      </c>
      <c r="I1166" t="s">
        <v>190</v>
      </c>
      <c r="J1166" t="s">
        <v>58</v>
      </c>
      <c r="K1166" t="s">
        <v>41</v>
      </c>
      <c r="L1166" t="s">
        <v>953</v>
      </c>
      <c r="M1166" t="s">
        <v>954</v>
      </c>
      <c r="N1166" t="s">
        <v>731</v>
      </c>
      <c r="O1166" t="s">
        <v>36</v>
      </c>
      <c r="Q1166" t="s">
        <v>62</v>
      </c>
      <c r="R1166" t="s">
        <v>955</v>
      </c>
      <c r="S1166" t="s">
        <v>956</v>
      </c>
      <c r="T1166" t="s">
        <v>47</v>
      </c>
      <c r="U1166" t="s">
        <v>118</v>
      </c>
      <c r="V1166" t="s">
        <v>49</v>
      </c>
      <c r="W1166" t="s">
        <v>714</v>
      </c>
      <c r="X1166" t="s">
        <v>51</v>
      </c>
      <c r="Y1166" t="s">
        <v>487</v>
      </c>
      <c r="Z1166" t="s">
        <v>487</v>
      </c>
      <c r="AA1166" t="s">
        <v>716</v>
      </c>
      <c r="AB1166" s="3">
        <f t="shared" si="149"/>
        <v>1</v>
      </c>
      <c r="AC1166">
        <v>127.81</v>
      </c>
      <c r="AD1166" s="2">
        <v>127.81</v>
      </c>
      <c r="AE1166" s="2">
        <v>94.84</v>
      </c>
      <c r="AF1166" s="2">
        <v>1.1000000000000001</v>
      </c>
      <c r="AG1166" s="2">
        <v>223.75</v>
      </c>
      <c r="AH1166">
        <v>0</v>
      </c>
      <c r="AI1166">
        <v>223.75</v>
      </c>
      <c r="AJ1166">
        <v>1.1187499999999999</v>
      </c>
      <c r="AK1166" t="s">
        <v>54</v>
      </c>
      <c r="AL1166">
        <v>3.11</v>
      </c>
      <c r="AM1166" s="4">
        <f t="shared" si="150"/>
        <v>223.75</v>
      </c>
      <c r="AN1166" s="4">
        <f t="shared" si="151"/>
        <v>239.64375000000001</v>
      </c>
      <c r="AO1166" s="4">
        <f t="shared" si="152"/>
        <v>266.24420624999999</v>
      </c>
      <c r="AP1166" s="4">
        <f t="shared" si="153"/>
        <v>388.198910625</v>
      </c>
      <c r="AQ1166" s="10">
        <f t="shared" si="146"/>
        <v>389.123625</v>
      </c>
      <c r="AR1166" s="10">
        <f t="shared" si="147"/>
        <v>432.35525973749998</v>
      </c>
      <c r="AS1166" s="10">
        <f t="shared" si="148"/>
        <v>605.78765939999994</v>
      </c>
    </row>
    <row r="1167" spans="1:45" x14ac:dyDescent="0.3">
      <c r="A1167">
        <v>2025</v>
      </c>
      <c r="B1167">
        <v>11</v>
      </c>
      <c r="C1167" t="s">
        <v>55</v>
      </c>
      <c r="D1167">
        <v>10</v>
      </c>
      <c r="E1167" t="s">
        <v>36</v>
      </c>
      <c r="F1167" t="s">
        <v>37</v>
      </c>
      <c r="G1167" t="s">
        <v>38</v>
      </c>
      <c r="H1167" t="s">
        <v>101</v>
      </c>
      <c r="I1167" t="s">
        <v>190</v>
      </c>
      <c r="J1167" t="s">
        <v>58</v>
      </c>
      <c r="K1167" t="s">
        <v>59</v>
      </c>
      <c r="L1167" t="s">
        <v>1629</v>
      </c>
      <c r="M1167" t="s">
        <v>1630</v>
      </c>
      <c r="N1167" t="s">
        <v>1485</v>
      </c>
      <c r="O1167" t="s">
        <v>1197</v>
      </c>
      <c r="Q1167" t="s">
        <v>62</v>
      </c>
      <c r="R1167" t="s">
        <v>1631</v>
      </c>
      <c r="S1167" t="s">
        <v>1631</v>
      </c>
      <c r="T1167" t="s">
        <v>47</v>
      </c>
      <c r="U1167" t="s">
        <v>118</v>
      </c>
      <c r="V1167" t="s">
        <v>49</v>
      </c>
      <c r="W1167" t="s">
        <v>714</v>
      </c>
      <c r="X1167" t="s">
        <v>1578</v>
      </c>
      <c r="Y1167" t="s">
        <v>1087</v>
      </c>
      <c r="Z1167" t="s">
        <v>1087</v>
      </c>
      <c r="AA1167" t="s">
        <v>716</v>
      </c>
      <c r="AB1167" s="3">
        <f t="shared" si="149"/>
        <v>5</v>
      </c>
      <c r="AC1167">
        <v>589.37</v>
      </c>
      <c r="AD1167" s="2">
        <v>117.874</v>
      </c>
      <c r="AE1167" s="2">
        <v>145.21</v>
      </c>
      <c r="AF1167" s="2">
        <v>4.5</v>
      </c>
      <c r="AG1167" s="2">
        <v>738.63</v>
      </c>
      <c r="AH1167">
        <v>0</v>
      </c>
      <c r="AI1167">
        <v>147.726</v>
      </c>
      <c r="AJ1167">
        <v>3.6931500000000002</v>
      </c>
      <c r="AK1167" t="s">
        <v>54</v>
      </c>
      <c r="AL1167">
        <v>10.87</v>
      </c>
      <c r="AM1167" s="4">
        <f t="shared" si="150"/>
        <v>147.726</v>
      </c>
      <c r="AN1167" s="4">
        <f t="shared" si="151"/>
        <v>221.01374999999999</v>
      </c>
      <c r="AO1167" s="4">
        <f t="shared" si="152"/>
        <v>245.54627624999998</v>
      </c>
      <c r="AP1167" s="4">
        <f t="shared" si="153"/>
        <v>358.02017362499998</v>
      </c>
      <c r="AQ1167" s="10">
        <f t="shared" si="146"/>
        <v>256.91028660000001</v>
      </c>
      <c r="AR1167" s="10">
        <f t="shared" si="147"/>
        <v>285.45301944125998</v>
      </c>
      <c r="AS1167" s="10">
        <f t="shared" si="148"/>
        <v>399.95793417888001</v>
      </c>
    </row>
    <row r="1168" spans="1:45" x14ac:dyDescent="0.3">
      <c r="A1168">
        <v>2025</v>
      </c>
      <c r="B1168">
        <v>4</v>
      </c>
      <c r="C1168" t="s">
        <v>55</v>
      </c>
      <c r="D1168">
        <v>10</v>
      </c>
      <c r="E1168" t="s">
        <v>36</v>
      </c>
      <c r="F1168" t="s">
        <v>37</v>
      </c>
      <c r="G1168" t="s">
        <v>38</v>
      </c>
      <c r="H1168" t="s">
        <v>101</v>
      </c>
      <c r="I1168" t="s">
        <v>190</v>
      </c>
      <c r="J1168" t="s">
        <v>58</v>
      </c>
      <c r="K1168" t="s">
        <v>59</v>
      </c>
      <c r="M1168" t="s">
        <v>383</v>
      </c>
      <c r="N1168" t="s">
        <v>384</v>
      </c>
      <c r="O1168" t="s">
        <v>36</v>
      </c>
      <c r="Q1168" t="s">
        <v>62</v>
      </c>
      <c r="R1168" t="s">
        <v>385</v>
      </c>
      <c r="S1168" t="s">
        <v>385</v>
      </c>
      <c r="T1168" t="s">
        <v>47</v>
      </c>
      <c r="U1168" t="s">
        <v>118</v>
      </c>
      <c r="V1168" t="s">
        <v>49</v>
      </c>
      <c r="W1168" t="s">
        <v>119</v>
      </c>
      <c r="X1168" t="s">
        <v>388</v>
      </c>
      <c r="Y1168" t="s">
        <v>1702</v>
      </c>
      <c r="Z1168" t="s">
        <v>1702</v>
      </c>
      <c r="AA1168" t="s">
        <v>1703</v>
      </c>
      <c r="AB1168" s="3">
        <f t="shared" si="149"/>
        <v>1</v>
      </c>
      <c r="AC1168">
        <v>233.46</v>
      </c>
      <c r="AD1168" s="2">
        <v>233.46</v>
      </c>
      <c r="AE1168" s="2">
        <v>60.79</v>
      </c>
      <c r="AF1168" s="2">
        <v>1.8</v>
      </c>
      <c r="AG1168" s="2">
        <v>296.39999999999998</v>
      </c>
      <c r="AH1168">
        <v>0</v>
      </c>
      <c r="AI1168">
        <v>296.39999999999998</v>
      </c>
      <c r="AJ1168">
        <v>1.482</v>
      </c>
      <c r="AK1168" t="s">
        <v>54</v>
      </c>
      <c r="AL1168">
        <v>2.94</v>
      </c>
      <c r="AM1168" s="4">
        <f t="shared" si="150"/>
        <v>296.39999999999998</v>
      </c>
      <c r="AN1168" s="4">
        <f t="shared" si="151"/>
        <v>437.73750000000001</v>
      </c>
      <c r="AO1168" s="4">
        <f t="shared" si="152"/>
        <v>486.32636250000002</v>
      </c>
      <c r="AP1168" s="4">
        <f t="shared" si="153"/>
        <v>709.09097624999993</v>
      </c>
      <c r="AQ1168" s="10">
        <f t="shared" si="146"/>
        <v>515.46924000000001</v>
      </c>
      <c r="AR1168" s="10">
        <f t="shared" si="147"/>
        <v>572.73787256399999</v>
      </c>
      <c r="AS1168" s="10">
        <f t="shared" si="148"/>
        <v>802.482512832</v>
      </c>
    </row>
    <row r="1169" spans="1:45" x14ac:dyDescent="0.3">
      <c r="A1169">
        <v>2025</v>
      </c>
      <c r="B1169">
        <v>8</v>
      </c>
      <c r="C1169" t="s">
        <v>55</v>
      </c>
      <c r="D1169">
        <v>10</v>
      </c>
      <c r="E1169" t="s">
        <v>36</v>
      </c>
      <c r="F1169" t="s">
        <v>37</v>
      </c>
      <c r="G1169" t="s">
        <v>38</v>
      </c>
      <c r="H1169" t="s">
        <v>101</v>
      </c>
      <c r="I1169" t="s">
        <v>190</v>
      </c>
      <c r="J1169" t="s">
        <v>58</v>
      </c>
      <c r="K1169" t="s">
        <v>59</v>
      </c>
      <c r="L1169" t="s">
        <v>1194</v>
      </c>
      <c r="M1169" t="s">
        <v>1195</v>
      </c>
      <c r="N1169" t="s">
        <v>1196</v>
      </c>
      <c r="O1169" t="s">
        <v>1197</v>
      </c>
      <c r="Q1169" t="s">
        <v>62</v>
      </c>
      <c r="R1169" t="s">
        <v>1198</v>
      </c>
      <c r="S1169" t="s">
        <v>1198</v>
      </c>
      <c r="T1169" t="s">
        <v>47</v>
      </c>
      <c r="U1169" t="s">
        <v>118</v>
      </c>
      <c r="V1169" t="s">
        <v>49</v>
      </c>
      <c r="W1169" t="s">
        <v>714</v>
      </c>
      <c r="X1169" t="s">
        <v>388</v>
      </c>
      <c r="Y1169" t="s">
        <v>511</v>
      </c>
      <c r="Z1169" t="s">
        <v>511</v>
      </c>
      <c r="AA1169" t="s">
        <v>514</v>
      </c>
      <c r="AB1169" s="3">
        <f t="shared" si="149"/>
        <v>2</v>
      </c>
      <c r="AC1169">
        <v>747.04</v>
      </c>
      <c r="AD1169" s="2">
        <v>373.52</v>
      </c>
      <c r="AE1169" s="2">
        <v>30.65</v>
      </c>
      <c r="AF1169" s="2">
        <v>5.08</v>
      </c>
      <c r="AG1169" s="2">
        <v>782.76</v>
      </c>
      <c r="AH1169">
        <v>0</v>
      </c>
      <c r="AI1169">
        <v>391.38</v>
      </c>
      <c r="AJ1169">
        <v>3.9138000000000002</v>
      </c>
      <c r="AK1169" t="s">
        <v>54</v>
      </c>
      <c r="AL1169">
        <v>1.56</v>
      </c>
      <c r="AM1169" s="4">
        <f t="shared" si="150"/>
        <v>391.38</v>
      </c>
      <c r="AN1169" s="4">
        <f t="shared" si="151"/>
        <v>700.34999999999991</v>
      </c>
      <c r="AO1169" s="4">
        <f t="shared" si="152"/>
        <v>778.08884999999987</v>
      </c>
      <c r="AP1169" s="4">
        <f t="shared" si="153"/>
        <v>1134.4969649999998</v>
      </c>
      <c r="AQ1169" s="10">
        <f t="shared" si="146"/>
        <v>680.64895799999999</v>
      </c>
      <c r="AR1169" s="10">
        <f t="shared" si="147"/>
        <v>756.26905723380003</v>
      </c>
      <c r="AS1169" s="10">
        <f t="shared" si="148"/>
        <v>1059.6342978144</v>
      </c>
    </row>
    <row r="1170" spans="1:45" x14ac:dyDescent="0.3">
      <c r="A1170">
        <v>2025</v>
      </c>
      <c r="B1170">
        <v>11</v>
      </c>
      <c r="C1170" t="s">
        <v>55</v>
      </c>
      <c r="D1170">
        <v>10</v>
      </c>
      <c r="E1170" t="s">
        <v>36</v>
      </c>
      <c r="F1170" t="s">
        <v>37</v>
      </c>
      <c r="G1170" t="s">
        <v>38</v>
      </c>
      <c r="H1170" t="s">
        <v>101</v>
      </c>
      <c r="I1170" t="s">
        <v>375</v>
      </c>
      <c r="J1170" t="s">
        <v>376</v>
      </c>
      <c r="K1170" t="s">
        <v>59</v>
      </c>
      <c r="L1170" t="s">
        <v>1647</v>
      </c>
      <c r="M1170" t="s">
        <v>1633</v>
      </c>
      <c r="N1170" t="s">
        <v>1485</v>
      </c>
      <c r="O1170" t="s">
        <v>1197</v>
      </c>
      <c r="Q1170" t="s">
        <v>62</v>
      </c>
      <c r="R1170" t="s">
        <v>1648</v>
      </c>
      <c r="S1170" t="s">
        <v>1648</v>
      </c>
      <c r="T1170" t="s">
        <v>47</v>
      </c>
      <c r="U1170" t="s">
        <v>118</v>
      </c>
      <c r="V1170" t="s">
        <v>49</v>
      </c>
      <c r="W1170" t="s">
        <v>714</v>
      </c>
      <c r="X1170" t="s">
        <v>51</v>
      </c>
      <c r="Y1170" t="s">
        <v>1342</v>
      </c>
      <c r="Z1170" t="s">
        <v>1342</v>
      </c>
      <c r="AA1170" t="s">
        <v>514</v>
      </c>
      <c r="AB1170" s="3">
        <f t="shared" si="149"/>
        <v>3</v>
      </c>
      <c r="AC1170">
        <v>988.38</v>
      </c>
      <c r="AD1170" s="2">
        <v>329.46</v>
      </c>
      <c r="AE1170" s="2">
        <v>70.83</v>
      </c>
      <c r="AF1170" s="2">
        <v>6.4</v>
      </c>
      <c r="AG1170" s="2">
        <v>1065.6099999999999</v>
      </c>
      <c r="AH1170">
        <v>0</v>
      </c>
      <c r="AI1170">
        <v>355.20333333333002</v>
      </c>
      <c r="AJ1170">
        <v>5.3280500000000002</v>
      </c>
      <c r="AK1170" t="s">
        <v>54</v>
      </c>
      <c r="AL1170">
        <v>8.32</v>
      </c>
      <c r="AM1170" s="4">
        <f t="shared" si="150"/>
        <v>355.20333333333332</v>
      </c>
      <c r="AN1170" s="4">
        <f t="shared" si="151"/>
        <v>617.73749999999995</v>
      </c>
      <c r="AO1170" s="4">
        <f t="shared" si="152"/>
        <v>686.30636249999998</v>
      </c>
      <c r="AP1170" s="4">
        <f t="shared" si="153"/>
        <v>1000.6729762499998</v>
      </c>
      <c r="AQ1170" s="10">
        <f t="shared" si="146"/>
        <v>617.73411699999997</v>
      </c>
      <c r="AR1170" s="10">
        <f t="shared" si="147"/>
        <v>686.36437739869996</v>
      </c>
      <c r="AS1170" s="10">
        <f t="shared" si="148"/>
        <v>961.68847334559996</v>
      </c>
    </row>
    <row r="1171" spans="1:45" x14ac:dyDescent="0.3">
      <c r="A1171">
        <v>2025</v>
      </c>
      <c r="B1171">
        <v>12</v>
      </c>
      <c r="C1171" t="s">
        <v>55</v>
      </c>
      <c r="D1171">
        <v>10</v>
      </c>
      <c r="E1171" t="s">
        <v>36</v>
      </c>
      <c r="F1171" t="s">
        <v>37</v>
      </c>
      <c r="G1171" t="s">
        <v>38</v>
      </c>
      <c r="H1171" t="s">
        <v>101</v>
      </c>
      <c r="I1171" t="s">
        <v>57</v>
      </c>
      <c r="J1171" t="s">
        <v>58</v>
      </c>
      <c r="K1171" t="s">
        <v>59</v>
      </c>
      <c r="L1171" t="s">
        <v>1769</v>
      </c>
      <c r="M1171" t="s">
        <v>1770</v>
      </c>
      <c r="N1171" t="s">
        <v>1771</v>
      </c>
      <c r="O1171" t="s">
        <v>1197</v>
      </c>
      <c r="Q1171" t="s">
        <v>62</v>
      </c>
      <c r="R1171" t="s">
        <v>1772</v>
      </c>
      <c r="S1171" t="s">
        <v>1772</v>
      </c>
      <c r="T1171" t="s">
        <v>47</v>
      </c>
      <c r="U1171" t="s">
        <v>118</v>
      </c>
      <c r="V1171" t="s">
        <v>49</v>
      </c>
      <c r="W1171" t="s">
        <v>714</v>
      </c>
      <c r="X1171" t="s">
        <v>51</v>
      </c>
      <c r="Y1171" t="s">
        <v>1342</v>
      </c>
      <c r="Z1171" t="s">
        <v>1342</v>
      </c>
      <c r="AA1171" t="s">
        <v>1712</v>
      </c>
      <c r="AB1171" s="3">
        <f t="shared" si="149"/>
        <v>1</v>
      </c>
      <c r="AC1171">
        <v>428.39</v>
      </c>
      <c r="AD1171" s="2">
        <v>428.39</v>
      </c>
      <c r="AE1171" s="2">
        <v>143.84</v>
      </c>
      <c r="AF1171" s="2">
        <v>3.39</v>
      </c>
      <c r="AG1171" s="2">
        <v>575.62</v>
      </c>
      <c r="AH1171">
        <v>0</v>
      </c>
      <c r="AI1171">
        <v>575.62</v>
      </c>
      <c r="AJ1171">
        <v>2.8780999999999999</v>
      </c>
      <c r="AK1171" t="s">
        <v>54</v>
      </c>
      <c r="AL1171">
        <v>3.7</v>
      </c>
      <c r="AM1171" s="4">
        <f t="shared" si="150"/>
        <v>575.62</v>
      </c>
      <c r="AN1171" s="4">
        <f t="shared" si="151"/>
        <v>803.23124999999993</v>
      </c>
      <c r="AO1171" s="4">
        <f t="shared" si="152"/>
        <v>892.38991874999988</v>
      </c>
      <c r="AP1171" s="4">
        <f t="shared" si="153"/>
        <v>1301.1543018749999</v>
      </c>
      <c r="AQ1171" s="10">
        <f t="shared" si="146"/>
        <v>1001.060742</v>
      </c>
      <c r="AR1171" s="10">
        <f t="shared" si="147"/>
        <v>1112.2785904361999</v>
      </c>
      <c r="AS1171" s="10">
        <f t="shared" si="148"/>
        <v>1558.4513631456</v>
      </c>
    </row>
    <row r="1172" spans="1:45" x14ac:dyDescent="0.3">
      <c r="A1172">
        <v>2025</v>
      </c>
      <c r="B1172">
        <v>7</v>
      </c>
      <c r="C1172" t="s">
        <v>55</v>
      </c>
      <c r="D1172">
        <v>10</v>
      </c>
      <c r="E1172" t="s">
        <v>36</v>
      </c>
      <c r="F1172" t="s">
        <v>37</v>
      </c>
      <c r="G1172" t="s">
        <v>38</v>
      </c>
      <c r="H1172" t="s">
        <v>101</v>
      </c>
      <c r="I1172" t="s">
        <v>190</v>
      </c>
      <c r="J1172" t="s">
        <v>58</v>
      </c>
      <c r="K1172" t="s">
        <v>41</v>
      </c>
      <c r="L1172" t="s">
        <v>953</v>
      </c>
      <c r="M1172" t="s">
        <v>954</v>
      </c>
      <c r="N1172" t="s">
        <v>731</v>
      </c>
      <c r="O1172" t="s">
        <v>36</v>
      </c>
      <c r="Q1172" t="s">
        <v>62</v>
      </c>
      <c r="R1172" t="s">
        <v>955</v>
      </c>
      <c r="S1172" t="s">
        <v>956</v>
      </c>
      <c r="T1172" t="s">
        <v>47</v>
      </c>
      <c r="U1172" t="s">
        <v>118</v>
      </c>
      <c r="V1172" t="s">
        <v>49</v>
      </c>
      <c r="W1172" t="s">
        <v>714</v>
      </c>
      <c r="X1172" t="s">
        <v>51</v>
      </c>
      <c r="Y1172" t="s">
        <v>1342</v>
      </c>
      <c r="Z1172" t="s">
        <v>1342</v>
      </c>
      <c r="AA1172" t="s">
        <v>1712</v>
      </c>
      <c r="AB1172" s="3">
        <f t="shared" si="149"/>
        <v>1</v>
      </c>
      <c r="AC1172">
        <v>429.62</v>
      </c>
      <c r="AD1172" s="2">
        <v>429.62</v>
      </c>
      <c r="AE1172" s="2">
        <v>127.54</v>
      </c>
      <c r="AF1172" s="2">
        <v>3.23</v>
      </c>
      <c r="AG1172" s="2">
        <v>560.38</v>
      </c>
      <c r="AH1172">
        <v>0</v>
      </c>
      <c r="AI1172">
        <v>560.38</v>
      </c>
      <c r="AJ1172">
        <v>2.8018999999999998</v>
      </c>
      <c r="AK1172" t="s">
        <v>54</v>
      </c>
      <c r="AL1172">
        <v>3.19</v>
      </c>
      <c r="AM1172" s="4">
        <f t="shared" si="150"/>
        <v>560.38</v>
      </c>
      <c r="AN1172" s="4">
        <f t="shared" si="151"/>
        <v>805.53750000000002</v>
      </c>
      <c r="AO1172" s="4">
        <f t="shared" si="152"/>
        <v>894.95216249999999</v>
      </c>
      <c r="AP1172" s="4">
        <f t="shared" si="153"/>
        <v>1304.8901962499999</v>
      </c>
      <c r="AQ1172" s="10">
        <f t="shared" si="146"/>
        <v>974.55685800000003</v>
      </c>
      <c r="AR1172" s="10">
        <f t="shared" si="147"/>
        <v>1082.8301249238</v>
      </c>
      <c r="AS1172" s="10">
        <f t="shared" si="148"/>
        <v>1517.1901165344</v>
      </c>
    </row>
    <row r="1173" spans="1:45" x14ac:dyDescent="0.3">
      <c r="A1173">
        <v>2025</v>
      </c>
      <c r="B1173">
        <v>3</v>
      </c>
      <c r="C1173" t="s">
        <v>55</v>
      </c>
      <c r="D1173">
        <v>10</v>
      </c>
      <c r="E1173" t="s">
        <v>36</v>
      </c>
      <c r="F1173" t="s">
        <v>37</v>
      </c>
      <c r="G1173" t="s">
        <v>38</v>
      </c>
      <c r="H1173" t="s">
        <v>83</v>
      </c>
      <c r="I1173" t="s">
        <v>190</v>
      </c>
      <c r="J1173" t="s">
        <v>58</v>
      </c>
      <c r="K1173" t="s">
        <v>59</v>
      </c>
      <c r="M1173" t="s">
        <v>213</v>
      </c>
      <c r="N1173" t="s">
        <v>61</v>
      </c>
      <c r="O1173" t="s">
        <v>43</v>
      </c>
      <c r="Q1173" t="s">
        <v>62</v>
      </c>
      <c r="R1173" t="s">
        <v>214</v>
      </c>
      <c r="S1173" t="s">
        <v>215</v>
      </c>
      <c r="T1173" t="s">
        <v>47</v>
      </c>
      <c r="U1173" t="s">
        <v>258</v>
      </c>
      <c r="V1173" t="s">
        <v>49</v>
      </c>
      <c r="W1173" t="s">
        <v>259</v>
      </c>
      <c r="X1173" t="s">
        <v>51</v>
      </c>
      <c r="Y1173" t="s">
        <v>1093</v>
      </c>
      <c r="Z1173" t="s">
        <v>1093</v>
      </c>
      <c r="AA1173" t="s">
        <v>1094</v>
      </c>
      <c r="AB1173" s="3">
        <f t="shared" si="149"/>
        <v>1</v>
      </c>
      <c r="AC1173">
        <v>951.6</v>
      </c>
      <c r="AD1173" s="2">
        <v>951.6</v>
      </c>
      <c r="AE1173" s="2">
        <v>29.4</v>
      </c>
      <c r="AF1173" s="2">
        <v>6.72</v>
      </c>
      <c r="AG1173" s="2">
        <v>987.36</v>
      </c>
      <c r="AH1173">
        <v>0</v>
      </c>
      <c r="AI1173">
        <v>987.36</v>
      </c>
      <c r="AJ1173">
        <v>4.9367999999999999</v>
      </c>
      <c r="AK1173" t="s">
        <v>54</v>
      </c>
      <c r="AL1173">
        <v>2.17</v>
      </c>
      <c r="AM1173" s="4">
        <f t="shared" si="150"/>
        <v>987.36</v>
      </c>
      <c r="AN1173" s="4">
        <f t="shared" si="151"/>
        <v>1784.25</v>
      </c>
      <c r="AO1173" s="4">
        <f t="shared" si="152"/>
        <v>1982.3017500000001</v>
      </c>
      <c r="AP1173" s="4">
        <f t="shared" si="153"/>
        <v>2890.3065749999996</v>
      </c>
      <c r="AQ1173" s="10">
        <f t="shared" si="146"/>
        <v>1717.117776</v>
      </c>
      <c r="AR1173" s="10">
        <f t="shared" si="147"/>
        <v>1907.8895609136</v>
      </c>
      <c r="AS1173" s="10">
        <f t="shared" si="148"/>
        <v>2673.2089536767999</v>
      </c>
    </row>
    <row r="1174" spans="1:45" x14ac:dyDescent="0.3">
      <c r="A1174">
        <v>2025</v>
      </c>
      <c r="B1174">
        <v>1</v>
      </c>
      <c r="C1174" t="s">
        <v>55</v>
      </c>
      <c r="D1174">
        <v>10</v>
      </c>
      <c r="E1174" t="s">
        <v>36</v>
      </c>
      <c r="F1174" t="s">
        <v>37</v>
      </c>
      <c r="G1174" t="s">
        <v>38</v>
      </c>
      <c r="H1174" t="s">
        <v>83</v>
      </c>
      <c r="I1174" t="s">
        <v>57</v>
      </c>
      <c r="J1174" t="s">
        <v>58</v>
      </c>
      <c r="K1174" t="s">
        <v>59</v>
      </c>
      <c r="M1174" t="s">
        <v>60</v>
      </c>
      <c r="N1174" t="s">
        <v>61</v>
      </c>
      <c r="O1174" t="s">
        <v>43</v>
      </c>
      <c r="Q1174" t="s">
        <v>62</v>
      </c>
      <c r="R1174" t="s">
        <v>63</v>
      </c>
      <c r="S1174" t="s">
        <v>63</v>
      </c>
      <c r="T1174" t="s">
        <v>47</v>
      </c>
      <c r="U1174" t="s">
        <v>118</v>
      </c>
      <c r="V1174" t="s">
        <v>49</v>
      </c>
      <c r="W1174" t="s">
        <v>119</v>
      </c>
      <c r="X1174" t="s">
        <v>51</v>
      </c>
      <c r="Y1174" t="s">
        <v>260</v>
      </c>
      <c r="Z1174" t="s">
        <v>64</v>
      </c>
      <c r="AA1174" t="s">
        <v>261</v>
      </c>
      <c r="AB1174" s="3">
        <f t="shared" si="149"/>
        <v>2.9999999999999467</v>
      </c>
      <c r="AC1174">
        <v>566.75</v>
      </c>
      <c r="AD1174" s="2">
        <v>188.91666666667001</v>
      </c>
      <c r="AE1174" s="2">
        <v>118.94</v>
      </c>
      <c r="AF1174" s="2">
        <v>4.2</v>
      </c>
      <c r="AG1174" s="2">
        <v>689.88</v>
      </c>
      <c r="AH1174">
        <v>0</v>
      </c>
      <c r="AI1174">
        <v>229.96</v>
      </c>
      <c r="AJ1174">
        <v>3.4493999999999998</v>
      </c>
      <c r="AK1174" t="s">
        <v>54</v>
      </c>
      <c r="AL1174">
        <v>5.83</v>
      </c>
      <c r="AM1174" s="4">
        <f t="shared" si="150"/>
        <v>229.96000000000407</v>
      </c>
      <c r="AN1174" s="4">
        <f t="shared" si="151"/>
        <v>354.21875000000625</v>
      </c>
      <c r="AO1174" s="4">
        <f t="shared" si="152"/>
        <v>393.53703125000692</v>
      </c>
      <c r="AP1174" s="4">
        <f t="shared" si="153"/>
        <v>573.79895312501014</v>
      </c>
      <c r="AQ1174" s="10">
        <f t="shared" si="146"/>
        <v>399.92343600000709</v>
      </c>
      <c r="AR1174" s="10">
        <f t="shared" si="147"/>
        <v>444.35492973960788</v>
      </c>
      <c r="AS1174" s="10">
        <f t="shared" si="148"/>
        <v>622.60080516481105</v>
      </c>
    </row>
    <row r="1175" spans="1:45" x14ac:dyDescent="0.3">
      <c r="A1175">
        <v>2025</v>
      </c>
      <c r="B1175">
        <v>3</v>
      </c>
      <c r="C1175" t="s">
        <v>55</v>
      </c>
      <c r="D1175">
        <v>10</v>
      </c>
      <c r="E1175" t="s">
        <v>36</v>
      </c>
      <c r="F1175" t="s">
        <v>37</v>
      </c>
      <c r="G1175" t="s">
        <v>38</v>
      </c>
      <c r="H1175" t="s">
        <v>83</v>
      </c>
      <c r="I1175" t="s">
        <v>190</v>
      </c>
      <c r="J1175" t="s">
        <v>58</v>
      </c>
      <c r="K1175" t="s">
        <v>59</v>
      </c>
      <c r="M1175" t="s">
        <v>209</v>
      </c>
      <c r="N1175" t="s">
        <v>61</v>
      </c>
      <c r="O1175" t="s">
        <v>43</v>
      </c>
      <c r="Q1175" t="s">
        <v>62</v>
      </c>
      <c r="R1175" t="s">
        <v>210</v>
      </c>
      <c r="S1175" t="s">
        <v>211</v>
      </c>
      <c r="T1175" t="s">
        <v>47</v>
      </c>
      <c r="U1175" t="s">
        <v>118</v>
      </c>
      <c r="V1175" t="s">
        <v>49</v>
      </c>
      <c r="W1175" t="s">
        <v>119</v>
      </c>
      <c r="X1175" t="s">
        <v>51</v>
      </c>
      <c r="Y1175" t="s">
        <v>120</v>
      </c>
      <c r="Z1175" t="s">
        <v>64</v>
      </c>
      <c r="AA1175" t="s">
        <v>121</v>
      </c>
      <c r="AB1175" s="3">
        <f t="shared" si="149"/>
        <v>2</v>
      </c>
      <c r="AC1175">
        <v>337.06</v>
      </c>
      <c r="AD1175" s="2">
        <v>168.53</v>
      </c>
      <c r="AE1175" s="2">
        <v>80.98</v>
      </c>
      <c r="AF1175" s="2">
        <v>2.33</v>
      </c>
      <c r="AG1175" s="2">
        <v>420.37</v>
      </c>
      <c r="AH1175">
        <v>0</v>
      </c>
      <c r="AI1175">
        <v>210.185</v>
      </c>
      <c r="AJ1175">
        <v>2.1018500000000002</v>
      </c>
      <c r="AK1175" t="s">
        <v>54</v>
      </c>
      <c r="AL1175">
        <v>6.01</v>
      </c>
      <c r="AM1175" s="4">
        <f t="shared" si="150"/>
        <v>210.185</v>
      </c>
      <c r="AN1175" s="4">
        <f t="shared" si="151"/>
        <v>315.99374999999998</v>
      </c>
      <c r="AO1175" s="4">
        <f t="shared" si="152"/>
        <v>351.06905624999996</v>
      </c>
      <c r="AP1175" s="4">
        <f t="shared" si="153"/>
        <v>511.87827562499996</v>
      </c>
      <c r="AQ1175" s="10">
        <f t="shared" si="146"/>
        <v>365.53273350000001</v>
      </c>
      <c r="AR1175" s="10">
        <f t="shared" si="147"/>
        <v>406.14342019185</v>
      </c>
      <c r="AS1175" s="10">
        <f t="shared" si="148"/>
        <v>569.06135951279998</v>
      </c>
    </row>
    <row r="1176" spans="1:45" x14ac:dyDescent="0.3">
      <c r="A1176">
        <v>2025</v>
      </c>
      <c r="B1176">
        <v>11</v>
      </c>
      <c r="C1176" t="s">
        <v>55</v>
      </c>
      <c r="D1176">
        <v>10</v>
      </c>
      <c r="E1176" t="s">
        <v>36</v>
      </c>
      <c r="F1176" t="s">
        <v>37</v>
      </c>
      <c r="G1176" t="s">
        <v>38</v>
      </c>
      <c r="H1176" t="s">
        <v>83</v>
      </c>
      <c r="I1176" t="s">
        <v>190</v>
      </c>
      <c r="J1176" t="s">
        <v>58</v>
      </c>
      <c r="K1176" t="s">
        <v>59</v>
      </c>
      <c r="L1176" t="s">
        <v>1629</v>
      </c>
      <c r="M1176" t="s">
        <v>1630</v>
      </c>
      <c r="N1176" t="s">
        <v>1485</v>
      </c>
      <c r="O1176" t="s">
        <v>1197</v>
      </c>
      <c r="Q1176" t="s">
        <v>62</v>
      </c>
      <c r="R1176" t="s">
        <v>1631</v>
      </c>
      <c r="S1176" t="s">
        <v>1631</v>
      </c>
      <c r="T1176" t="s">
        <v>47</v>
      </c>
      <c r="U1176" t="s">
        <v>118</v>
      </c>
      <c r="V1176" t="s">
        <v>49</v>
      </c>
      <c r="W1176" t="s">
        <v>714</v>
      </c>
      <c r="X1176" t="s">
        <v>1578</v>
      </c>
      <c r="Y1176" t="s">
        <v>299</v>
      </c>
      <c r="Z1176" t="s">
        <v>64</v>
      </c>
      <c r="AA1176" t="s">
        <v>121</v>
      </c>
      <c r="AB1176" s="3">
        <f t="shared" si="149"/>
        <v>5.9999999999998801</v>
      </c>
      <c r="AC1176">
        <v>998.62</v>
      </c>
      <c r="AD1176" s="2">
        <v>166.43666666666999</v>
      </c>
      <c r="AE1176" s="2">
        <v>223.06</v>
      </c>
      <c r="AF1176" s="2">
        <v>7.32</v>
      </c>
      <c r="AG1176" s="2">
        <v>1229</v>
      </c>
      <c r="AH1176">
        <v>0</v>
      </c>
      <c r="AI1176">
        <v>204.83333333332999</v>
      </c>
      <c r="AJ1176">
        <v>6.1449999999999996</v>
      </c>
      <c r="AK1176" t="s">
        <v>54</v>
      </c>
      <c r="AL1176">
        <v>13.21</v>
      </c>
      <c r="AM1176" s="4">
        <f t="shared" si="150"/>
        <v>204.83333333333744</v>
      </c>
      <c r="AN1176" s="4">
        <f t="shared" si="151"/>
        <v>312.06875000000622</v>
      </c>
      <c r="AO1176" s="4">
        <f t="shared" si="152"/>
        <v>346.70838125000688</v>
      </c>
      <c r="AP1176" s="4">
        <f t="shared" si="153"/>
        <v>505.52016812501006</v>
      </c>
      <c r="AQ1176" s="10">
        <f t="shared" si="146"/>
        <v>356.22565000000714</v>
      </c>
      <c r="AR1176" s="10">
        <f t="shared" si="147"/>
        <v>395.80231971500791</v>
      </c>
      <c r="AS1176" s="10">
        <f t="shared" si="148"/>
        <v>554.57209192001108</v>
      </c>
    </row>
    <row r="1177" spans="1:45" x14ac:dyDescent="0.3">
      <c r="A1177">
        <v>2025</v>
      </c>
      <c r="B1177">
        <v>11</v>
      </c>
      <c r="C1177" t="s">
        <v>55</v>
      </c>
      <c r="D1177">
        <v>10</v>
      </c>
      <c r="E1177" t="s">
        <v>36</v>
      </c>
      <c r="F1177" t="s">
        <v>37</v>
      </c>
      <c r="G1177" t="s">
        <v>38</v>
      </c>
      <c r="H1177" t="s">
        <v>83</v>
      </c>
      <c r="I1177" t="s">
        <v>375</v>
      </c>
      <c r="J1177" t="s">
        <v>376</v>
      </c>
      <c r="K1177" t="s">
        <v>59</v>
      </c>
      <c r="L1177" t="s">
        <v>1647</v>
      </c>
      <c r="M1177" t="s">
        <v>1633</v>
      </c>
      <c r="N1177" t="s">
        <v>1485</v>
      </c>
      <c r="O1177" t="s">
        <v>1197</v>
      </c>
      <c r="Q1177" t="s">
        <v>62</v>
      </c>
      <c r="R1177" t="s">
        <v>1648</v>
      </c>
      <c r="S1177" t="s">
        <v>1648</v>
      </c>
      <c r="T1177" t="s">
        <v>47</v>
      </c>
      <c r="U1177" t="s">
        <v>118</v>
      </c>
      <c r="V1177" t="s">
        <v>49</v>
      </c>
      <c r="W1177" t="s">
        <v>714</v>
      </c>
      <c r="X1177" t="s">
        <v>51</v>
      </c>
      <c r="Y1177" t="s">
        <v>1705</v>
      </c>
      <c r="Z1177" t="s">
        <v>1705</v>
      </c>
      <c r="AA1177" t="s">
        <v>121</v>
      </c>
      <c r="AB1177" s="3">
        <f t="shared" si="149"/>
        <v>2</v>
      </c>
      <c r="AC1177">
        <v>276.51</v>
      </c>
      <c r="AD1177" s="2">
        <v>138.255</v>
      </c>
      <c r="AE1177" s="2">
        <v>72</v>
      </c>
      <c r="AF1177" s="2">
        <v>2.13</v>
      </c>
      <c r="AG1177" s="2">
        <v>350.63</v>
      </c>
      <c r="AH1177">
        <v>0</v>
      </c>
      <c r="AI1177">
        <v>175.315</v>
      </c>
      <c r="AJ1177">
        <v>1.75315</v>
      </c>
      <c r="AK1177" t="s">
        <v>54</v>
      </c>
      <c r="AL1177">
        <v>3.48</v>
      </c>
      <c r="AM1177" s="4">
        <f t="shared" si="150"/>
        <v>175.315</v>
      </c>
      <c r="AN1177" s="4">
        <f t="shared" si="151"/>
        <v>259.22812499999998</v>
      </c>
      <c r="AO1177" s="4">
        <f t="shared" si="152"/>
        <v>288.00244687499998</v>
      </c>
      <c r="AP1177" s="4">
        <f t="shared" si="153"/>
        <v>419.92363968749993</v>
      </c>
      <c r="AQ1177" s="10">
        <f t="shared" si="146"/>
        <v>304.89031650000004</v>
      </c>
      <c r="AR1177" s="10">
        <f t="shared" si="147"/>
        <v>338.76363066315002</v>
      </c>
      <c r="AS1177" s="10">
        <f t="shared" si="148"/>
        <v>474.65324472720005</v>
      </c>
    </row>
    <row r="1178" spans="1:45" x14ac:dyDescent="0.3">
      <c r="A1178">
        <v>2025</v>
      </c>
      <c r="B1178">
        <v>9</v>
      </c>
      <c r="C1178" t="s">
        <v>55</v>
      </c>
      <c r="D1178">
        <v>10</v>
      </c>
      <c r="E1178" t="s">
        <v>36</v>
      </c>
      <c r="F1178" t="s">
        <v>37</v>
      </c>
      <c r="G1178" t="s">
        <v>38</v>
      </c>
      <c r="H1178" t="s">
        <v>101</v>
      </c>
      <c r="I1178" t="s">
        <v>375</v>
      </c>
      <c r="J1178" t="s">
        <v>376</v>
      </c>
      <c r="K1178" t="s">
        <v>41</v>
      </c>
      <c r="L1178" t="s">
        <v>1503</v>
      </c>
      <c r="M1178" t="s">
        <v>1504</v>
      </c>
      <c r="N1178" t="s">
        <v>377</v>
      </c>
      <c r="O1178" t="s">
        <v>1197</v>
      </c>
      <c r="Q1178" t="s">
        <v>62</v>
      </c>
      <c r="R1178" t="s">
        <v>1505</v>
      </c>
      <c r="S1178" t="s">
        <v>1505</v>
      </c>
      <c r="T1178" t="s">
        <v>47</v>
      </c>
      <c r="U1178" t="s">
        <v>167</v>
      </c>
      <c r="V1178" t="s">
        <v>49</v>
      </c>
      <c r="W1178" t="s">
        <v>168</v>
      </c>
      <c r="X1178" t="s">
        <v>388</v>
      </c>
      <c r="Y1178" t="s">
        <v>1705</v>
      </c>
      <c r="Z1178" t="s">
        <v>1705</v>
      </c>
      <c r="AA1178" t="s">
        <v>121</v>
      </c>
      <c r="AB1178" s="3">
        <f t="shared" si="149"/>
        <v>10</v>
      </c>
      <c r="AC1178">
        <v>1384.76</v>
      </c>
      <c r="AD1178" s="2">
        <v>138.476</v>
      </c>
      <c r="AE1178" s="2">
        <v>465.35</v>
      </c>
      <c r="AF1178" s="2">
        <v>16.579999999999998</v>
      </c>
      <c r="AG1178" s="2">
        <v>1866.7</v>
      </c>
      <c r="AH1178">
        <v>0</v>
      </c>
      <c r="AI1178">
        <v>186.67</v>
      </c>
      <c r="AJ1178">
        <v>9.3335000000000008</v>
      </c>
      <c r="AK1178" t="s">
        <v>54</v>
      </c>
      <c r="AL1178">
        <v>11.97</v>
      </c>
      <c r="AM1178" s="4">
        <f t="shared" si="150"/>
        <v>186.67000000000002</v>
      </c>
      <c r="AN1178" s="4">
        <f t="shared" si="151"/>
        <v>259.64249999999998</v>
      </c>
      <c r="AO1178" s="4">
        <f t="shared" si="152"/>
        <v>288.46281749999997</v>
      </c>
      <c r="AP1178" s="4">
        <f t="shared" si="153"/>
        <v>420.59488574999995</v>
      </c>
      <c r="AQ1178" s="10">
        <f t="shared" si="146"/>
        <v>324.63779700000003</v>
      </c>
      <c r="AR1178" s="10">
        <f t="shared" si="147"/>
        <v>360.70505624670005</v>
      </c>
      <c r="AS1178" s="10">
        <f t="shared" si="148"/>
        <v>505.39612236960005</v>
      </c>
    </row>
    <row r="1179" spans="1:45" x14ac:dyDescent="0.3">
      <c r="A1179">
        <v>2025</v>
      </c>
      <c r="B1179">
        <v>11</v>
      </c>
      <c r="C1179" t="s">
        <v>55</v>
      </c>
      <c r="D1179">
        <v>10</v>
      </c>
      <c r="E1179" t="s">
        <v>36</v>
      </c>
      <c r="F1179" t="s">
        <v>37</v>
      </c>
      <c r="G1179" t="s">
        <v>38</v>
      </c>
      <c r="H1179" t="s">
        <v>83</v>
      </c>
      <c r="I1179" t="s">
        <v>190</v>
      </c>
      <c r="J1179" t="s">
        <v>58</v>
      </c>
      <c r="K1179" t="s">
        <v>59</v>
      </c>
      <c r="L1179" t="s">
        <v>1629</v>
      </c>
      <c r="M1179" t="s">
        <v>1630</v>
      </c>
      <c r="N1179" t="s">
        <v>1485</v>
      </c>
      <c r="O1179" t="s">
        <v>1197</v>
      </c>
      <c r="Q1179" t="s">
        <v>62</v>
      </c>
      <c r="R1179" t="s">
        <v>1631</v>
      </c>
      <c r="S1179" t="s">
        <v>1631</v>
      </c>
      <c r="T1179" t="s">
        <v>47</v>
      </c>
      <c r="U1179" t="s">
        <v>167</v>
      </c>
      <c r="V1179" t="s">
        <v>49</v>
      </c>
      <c r="W1179" t="s">
        <v>168</v>
      </c>
      <c r="X1179" t="s">
        <v>1578</v>
      </c>
      <c r="Y1179" t="s">
        <v>1535</v>
      </c>
      <c r="Z1179" t="s">
        <v>1535</v>
      </c>
      <c r="AA1179" t="s">
        <v>1536</v>
      </c>
      <c r="AB1179" s="3">
        <f t="shared" si="149"/>
        <v>6.0000000000001688</v>
      </c>
      <c r="AC1179">
        <v>711.56</v>
      </c>
      <c r="AD1179" s="2">
        <v>118.59333333332999</v>
      </c>
      <c r="AE1179" s="2">
        <v>258.74</v>
      </c>
      <c r="AF1179" s="2">
        <v>5.96</v>
      </c>
      <c r="AG1179" s="2">
        <v>976.25</v>
      </c>
      <c r="AH1179">
        <v>0</v>
      </c>
      <c r="AI1179">
        <v>162.70833333332999</v>
      </c>
      <c r="AJ1179">
        <v>4.8812499999999996</v>
      </c>
      <c r="AK1179" t="s">
        <v>54</v>
      </c>
      <c r="AL1179">
        <v>13.35</v>
      </c>
      <c r="AM1179" s="4">
        <f t="shared" si="150"/>
        <v>162.70833333332877</v>
      </c>
      <c r="AN1179" s="4">
        <f t="shared" si="151"/>
        <v>222.36249999999373</v>
      </c>
      <c r="AO1179" s="4">
        <f t="shared" si="152"/>
        <v>247.04473749999303</v>
      </c>
      <c r="AP1179" s="4">
        <f t="shared" si="153"/>
        <v>360.2050137499898</v>
      </c>
      <c r="AQ1179" s="10">
        <f t="shared" si="146"/>
        <v>282.96606249999206</v>
      </c>
      <c r="AR1179" s="10">
        <f t="shared" si="147"/>
        <v>314.40359204374118</v>
      </c>
      <c r="AS1179" s="10">
        <f t="shared" si="148"/>
        <v>440.52156609998764</v>
      </c>
    </row>
    <row r="1180" spans="1:45" x14ac:dyDescent="0.3">
      <c r="A1180">
        <v>2025</v>
      </c>
      <c r="B1180">
        <v>5</v>
      </c>
      <c r="C1180" t="s">
        <v>55</v>
      </c>
      <c r="D1180">
        <v>10</v>
      </c>
      <c r="E1180" t="s">
        <v>36</v>
      </c>
      <c r="F1180" t="s">
        <v>37</v>
      </c>
      <c r="G1180" t="s">
        <v>38</v>
      </c>
      <c r="H1180" t="s">
        <v>101</v>
      </c>
      <c r="I1180" t="s">
        <v>190</v>
      </c>
      <c r="J1180" t="s">
        <v>58</v>
      </c>
      <c r="K1180" t="s">
        <v>59</v>
      </c>
      <c r="M1180" t="s">
        <v>682</v>
      </c>
      <c r="N1180" t="s">
        <v>384</v>
      </c>
      <c r="O1180" t="s">
        <v>36</v>
      </c>
      <c r="Q1180" t="s">
        <v>62</v>
      </c>
      <c r="R1180" t="s">
        <v>683</v>
      </c>
      <c r="S1180" t="s">
        <v>683</v>
      </c>
      <c r="T1180" t="s">
        <v>47</v>
      </c>
      <c r="U1180" t="s">
        <v>684</v>
      </c>
      <c r="V1180" t="s">
        <v>49</v>
      </c>
      <c r="W1180" t="s">
        <v>685</v>
      </c>
      <c r="X1180" t="s">
        <v>686</v>
      </c>
      <c r="Y1180" t="s">
        <v>1732</v>
      </c>
      <c r="Z1180" t="s">
        <v>1732</v>
      </c>
      <c r="AA1180" t="s">
        <v>1536</v>
      </c>
      <c r="AB1180" s="3">
        <f t="shared" si="149"/>
        <v>9.9999999999999982</v>
      </c>
      <c r="AC1180">
        <v>1215.8399999999999</v>
      </c>
      <c r="AD1180" s="2">
        <v>121.584</v>
      </c>
      <c r="AE1180" s="2">
        <v>316.57</v>
      </c>
      <c r="AF1180" s="2">
        <v>9.3699999999999992</v>
      </c>
      <c r="AG1180" s="2">
        <v>1541.77</v>
      </c>
      <c r="AH1180">
        <v>0</v>
      </c>
      <c r="AI1180">
        <v>154.17699999999999</v>
      </c>
      <c r="AJ1180">
        <v>7.70885</v>
      </c>
      <c r="AK1180" t="s">
        <v>54</v>
      </c>
      <c r="AL1180">
        <v>15.3</v>
      </c>
      <c r="AM1180" s="4">
        <f t="shared" si="150"/>
        <v>154.17700000000002</v>
      </c>
      <c r="AN1180" s="4">
        <f t="shared" si="151"/>
        <v>227.97</v>
      </c>
      <c r="AO1180" s="4">
        <f t="shared" si="152"/>
        <v>253.27466999999999</v>
      </c>
      <c r="AP1180" s="4">
        <f t="shared" si="153"/>
        <v>369.28860299999997</v>
      </c>
      <c r="AQ1180" s="10">
        <f t="shared" si="146"/>
        <v>268.12922070000008</v>
      </c>
      <c r="AR1180" s="10">
        <f t="shared" si="147"/>
        <v>297.91837711977007</v>
      </c>
      <c r="AS1180" s="10">
        <f t="shared" si="148"/>
        <v>417.42357078576009</v>
      </c>
    </row>
    <row r="1181" spans="1:45" x14ac:dyDescent="0.3">
      <c r="A1181">
        <v>2025</v>
      </c>
      <c r="B1181">
        <v>8</v>
      </c>
      <c r="C1181" t="s">
        <v>55</v>
      </c>
      <c r="D1181">
        <v>10</v>
      </c>
      <c r="E1181" t="s">
        <v>36</v>
      </c>
      <c r="F1181" t="s">
        <v>37</v>
      </c>
      <c r="G1181" t="s">
        <v>38</v>
      </c>
      <c r="H1181" t="s">
        <v>101</v>
      </c>
      <c r="I1181" t="s">
        <v>190</v>
      </c>
      <c r="J1181" t="s">
        <v>58</v>
      </c>
      <c r="K1181" t="s">
        <v>59</v>
      </c>
      <c r="L1181" t="s">
        <v>1194</v>
      </c>
      <c r="M1181" t="s">
        <v>1195</v>
      </c>
      <c r="N1181" t="s">
        <v>1196</v>
      </c>
      <c r="O1181" t="s">
        <v>1197</v>
      </c>
      <c r="Q1181" t="s">
        <v>62</v>
      </c>
      <c r="R1181" t="s">
        <v>1198</v>
      </c>
      <c r="S1181" t="s">
        <v>1198</v>
      </c>
      <c r="T1181" t="s">
        <v>47</v>
      </c>
      <c r="U1181" t="s">
        <v>393</v>
      </c>
      <c r="V1181" t="s">
        <v>49</v>
      </c>
      <c r="W1181" t="s">
        <v>394</v>
      </c>
      <c r="X1181" t="s">
        <v>388</v>
      </c>
      <c r="Y1181" t="s">
        <v>687</v>
      </c>
      <c r="Z1181" t="s">
        <v>687</v>
      </c>
      <c r="AA1181" t="s">
        <v>688</v>
      </c>
      <c r="AB1181" s="3">
        <f t="shared" si="149"/>
        <v>1</v>
      </c>
      <c r="AC1181">
        <v>34.46</v>
      </c>
      <c r="AD1181" s="2">
        <v>34.46</v>
      </c>
      <c r="AE1181" s="2">
        <v>94.84</v>
      </c>
      <c r="AF1181" s="2">
        <v>0.2</v>
      </c>
      <c r="AG1181" s="2">
        <v>129.5</v>
      </c>
      <c r="AH1181">
        <v>0</v>
      </c>
      <c r="AI1181">
        <v>129.5</v>
      </c>
      <c r="AJ1181">
        <v>0.64749999999999996</v>
      </c>
      <c r="AK1181" t="s">
        <v>54</v>
      </c>
      <c r="AL1181">
        <v>3.11</v>
      </c>
      <c r="AM1181" s="4">
        <f t="shared" si="150"/>
        <v>129.5</v>
      </c>
      <c r="AN1181" s="4">
        <f t="shared" si="151"/>
        <v>64.612499999999997</v>
      </c>
      <c r="AO1181" s="4">
        <f t="shared" si="152"/>
        <v>71.784487499999997</v>
      </c>
      <c r="AP1181" s="4">
        <f t="shared" si="153"/>
        <v>104.66578874999999</v>
      </c>
      <c r="AQ1181" s="10">
        <f t="shared" si="146"/>
        <v>225.21345000000002</v>
      </c>
      <c r="AR1181" s="10">
        <f t="shared" si="147"/>
        <v>250.23466429500002</v>
      </c>
      <c r="AS1181" s="10">
        <f t="shared" si="148"/>
        <v>350.61229896000003</v>
      </c>
    </row>
    <row r="1182" spans="1:45" x14ac:dyDescent="0.3">
      <c r="A1182">
        <v>2025</v>
      </c>
      <c r="B1182">
        <v>9</v>
      </c>
      <c r="C1182" t="s">
        <v>55</v>
      </c>
      <c r="D1182">
        <v>10</v>
      </c>
      <c r="E1182" t="s">
        <v>36</v>
      </c>
      <c r="F1182" t="s">
        <v>37</v>
      </c>
      <c r="G1182" t="s">
        <v>38</v>
      </c>
      <c r="H1182" t="s">
        <v>101</v>
      </c>
      <c r="I1182" t="s">
        <v>375</v>
      </c>
      <c r="J1182" t="s">
        <v>376</v>
      </c>
      <c r="K1182" t="s">
        <v>59</v>
      </c>
      <c r="L1182" t="s">
        <v>1483</v>
      </c>
      <c r="M1182" t="s">
        <v>1484</v>
      </c>
      <c r="N1182" t="s">
        <v>1485</v>
      </c>
      <c r="O1182" t="s">
        <v>1197</v>
      </c>
      <c r="Q1182" t="s">
        <v>62</v>
      </c>
      <c r="R1182" t="s">
        <v>1486</v>
      </c>
      <c r="S1182" t="s">
        <v>1486</v>
      </c>
      <c r="T1182" t="s">
        <v>47</v>
      </c>
      <c r="U1182" t="s">
        <v>393</v>
      </c>
      <c r="V1182" t="s">
        <v>49</v>
      </c>
      <c r="W1182" t="s">
        <v>394</v>
      </c>
      <c r="X1182" t="s">
        <v>51</v>
      </c>
      <c r="Y1182" t="s">
        <v>1213</v>
      </c>
      <c r="Z1182" t="s">
        <v>1213</v>
      </c>
      <c r="AA1182" t="s">
        <v>688</v>
      </c>
      <c r="AB1182" s="3">
        <f t="shared" si="149"/>
        <v>8</v>
      </c>
      <c r="AC1182">
        <v>177.44</v>
      </c>
      <c r="AD1182" s="2">
        <v>22.18</v>
      </c>
      <c r="AE1182" s="2">
        <v>12.72</v>
      </c>
      <c r="AF1182" s="2">
        <v>1.1499999999999999</v>
      </c>
      <c r="AG1182" s="2">
        <v>191.31</v>
      </c>
      <c r="AH1182">
        <v>0</v>
      </c>
      <c r="AI1182">
        <v>23.91375</v>
      </c>
      <c r="AJ1182">
        <v>0.95655000000000001</v>
      </c>
      <c r="AK1182" t="s">
        <v>54</v>
      </c>
      <c r="AL1182">
        <v>1.49</v>
      </c>
      <c r="AM1182" s="4">
        <f t="shared" si="150"/>
        <v>23.91375</v>
      </c>
      <c r="AN1182" s="4">
        <f t="shared" si="151"/>
        <v>41.587499999999999</v>
      </c>
      <c r="AO1182" s="4">
        <f t="shared" si="152"/>
        <v>46.203712499999995</v>
      </c>
      <c r="AP1182" s="4">
        <f t="shared" si="153"/>
        <v>67.36759124999999</v>
      </c>
      <c r="AQ1182" s="10">
        <f t="shared" si="146"/>
        <v>41.588402625000001</v>
      </c>
      <c r="AR1182" s="10">
        <f t="shared" si="147"/>
        <v>46.208874156637499</v>
      </c>
      <c r="AS1182" s="10">
        <f t="shared" si="148"/>
        <v>64.744825206599998</v>
      </c>
    </row>
    <row r="1183" spans="1:45" x14ac:dyDescent="0.3">
      <c r="A1183">
        <v>2025</v>
      </c>
      <c r="B1183">
        <v>11</v>
      </c>
      <c r="C1183" t="s">
        <v>55</v>
      </c>
      <c r="D1183">
        <v>10</v>
      </c>
      <c r="E1183" t="s">
        <v>36</v>
      </c>
      <c r="F1183" t="s">
        <v>37</v>
      </c>
      <c r="G1183" t="s">
        <v>38</v>
      </c>
      <c r="H1183" t="s">
        <v>83</v>
      </c>
      <c r="I1183" t="s">
        <v>190</v>
      </c>
      <c r="J1183" t="s">
        <v>58</v>
      </c>
      <c r="K1183" t="s">
        <v>59</v>
      </c>
      <c r="L1183" t="s">
        <v>1629</v>
      </c>
      <c r="M1183" t="s">
        <v>1630</v>
      </c>
      <c r="N1183" t="s">
        <v>1485</v>
      </c>
      <c r="O1183" t="s">
        <v>1197</v>
      </c>
      <c r="Q1183" t="s">
        <v>62</v>
      </c>
      <c r="R1183" t="s">
        <v>1631</v>
      </c>
      <c r="S1183" t="s">
        <v>1631</v>
      </c>
      <c r="T1183" t="s">
        <v>47</v>
      </c>
      <c r="U1183" t="s">
        <v>363</v>
      </c>
      <c r="V1183" t="s">
        <v>49</v>
      </c>
      <c r="W1183" t="s">
        <v>911</v>
      </c>
      <c r="X1183" t="s">
        <v>1578</v>
      </c>
      <c r="Y1183" t="s">
        <v>1213</v>
      </c>
      <c r="Z1183" t="s">
        <v>1213</v>
      </c>
      <c r="AA1183" t="s">
        <v>688</v>
      </c>
      <c r="AB1183" s="3">
        <f t="shared" si="149"/>
        <v>10</v>
      </c>
      <c r="AC1183">
        <v>218.32</v>
      </c>
      <c r="AD1183" s="2">
        <v>21.832000000000001</v>
      </c>
      <c r="AE1183" s="2">
        <v>33.840000000000003</v>
      </c>
      <c r="AF1183" s="2">
        <v>1.55</v>
      </c>
      <c r="AG1183" s="2">
        <v>253.7</v>
      </c>
      <c r="AH1183">
        <v>0</v>
      </c>
      <c r="AI1183">
        <v>25.37</v>
      </c>
      <c r="AJ1183">
        <v>1.2685</v>
      </c>
      <c r="AK1183" t="s">
        <v>54</v>
      </c>
      <c r="AL1183">
        <v>1.4</v>
      </c>
      <c r="AM1183" s="4">
        <f t="shared" si="150"/>
        <v>25.369999999999997</v>
      </c>
      <c r="AN1183" s="4">
        <f t="shared" si="151"/>
        <v>40.935000000000002</v>
      </c>
      <c r="AO1183" s="4">
        <f t="shared" si="152"/>
        <v>45.478785000000002</v>
      </c>
      <c r="AP1183" s="4">
        <f t="shared" si="153"/>
        <v>66.310606500000006</v>
      </c>
      <c r="AQ1183" s="10">
        <f t="shared" si="146"/>
        <v>44.120967</v>
      </c>
      <c r="AR1183" s="10">
        <f t="shared" si="147"/>
        <v>49.022806433699998</v>
      </c>
      <c r="AS1183" s="10">
        <f t="shared" si="148"/>
        <v>68.687521425599996</v>
      </c>
    </row>
    <row r="1184" spans="1:45" x14ac:dyDescent="0.3">
      <c r="A1184">
        <v>2025</v>
      </c>
      <c r="B1184">
        <v>9</v>
      </c>
      <c r="C1184" t="s">
        <v>55</v>
      </c>
      <c r="D1184">
        <v>10</v>
      </c>
      <c r="E1184" t="s">
        <v>36</v>
      </c>
      <c r="F1184" t="s">
        <v>37</v>
      </c>
      <c r="G1184" t="s">
        <v>38</v>
      </c>
      <c r="H1184" t="s">
        <v>101</v>
      </c>
      <c r="I1184" t="s">
        <v>375</v>
      </c>
      <c r="J1184" t="s">
        <v>376</v>
      </c>
      <c r="K1184" t="s">
        <v>59</v>
      </c>
      <c r="L1184" t="s">
        <v>1483</v>
      </c>
      <c r="M1184" t="s">
        <v>1484</v>
      </c>
      <c r="N1184" t="s">
        <v>1485</v>
      </c>
      <c r="O1184" t="s">
        <v>1197</v>
      </c>
      <c r="Q1184" t="s">
        <v>62</v>
      </c>
      <c r="R1184" t="s">
        <v>1486</v>
      </c>
      <c r="S1184" t="s">
        <v>1486</v>
      </c>
      <c r="T1184" t="s">
        <v>47</v>
      </c>
      <c r="U1184" t="s">
        <v>118</v>
      </c>
      <c r="V1184" t="s">
        <v>49</v>
      </c>
      <c r="W1184" t="s">
        <v>714</v>
      </c>
      <c r="X1184" t="s">
        <v>51</v>
      </c>
      <c r="Y1184" t="s">
        <v>1271</v>
      </c>
      <c r="Z1184" t="s">
        <v>1271</v>
      </c>
      <c r="AA1184" t="s">
        <v>1749</v>
      </c>
      <c r="AB1184" s="3">
        <f t="shared" si="149"/>
        <v>1</v>
      </c>
      <c r="AC1184">
        <v>36.93</v>
      </c>
      <c r="AD1184" s="2">
        <v>36.93</v>
      </c>
      <c r="AE1184" s="2">
        <v>9.6199999999999992</v>
      </c>
      <c r="AF1184" s="2">
        <v>0.28000000000000003</v>
      </c>
      <c r="AG1184" s="2">
        <v>46.83</v>
      </c>
      <c r="AH1184">
        <v>0</v>
      </c>
      <c r="AI1184">
        <v>46.83</v>
      </c>
      <c r="AJ1184">
        <v>0.23415</v>
      </c>
      <c r="AK1184" t="s">
        <v>54</v>
      </c>
      <c r="AL1184">
        <v>0.47</v>
      </c>
      <c r="AM1184" s="4">
        <f t="shared" si="150"/>
        <v>46.83</v>
      </c>
      <c r="AN1184" s="4">
        <f t="shared" si="151"/>
        <v>69.243750000000006</v>
      </c>
      <c r="AO1184" s="4">
        <f t="shared" si="152"/>
        <v>76.929806249999999</v>
      </c>
      <c r="AP1184" s="4">
        <f t="shared" si="153"/>
        <v>112.167950625</v>
      </c>
      <c r="AQ1184" s="10">
        <f t="shared" si="146"/>
        <v>81.442053000000001</v>
      </c>
      <c r="AR1184" s="10">
        <f t="shared" si="147"/>
        <v>90.490265088300006</v>
      </c>
      <c r="AS1184" s="10">
        <f t="shared" si="148"/>
        <v>126.7889881104</v>
      </c>
    </row>
    <row r="1185" spans="1:45" x14ac:dyDescent="0.3">
      <c r="A1185">
        <v>2025</v>
      </c>
      <c r="B1185">
        <v>9</v>
      </c>
      <c r="C1185" t="s">
        <v>55</v>
      </c>
      <c r="D1185">
        <v>10</v>
      </c>
      <c r="E1185" t="s">
        <v>36</v>
      </c>
      <c r="F1185" t="s">
        <v>37</v>
      </c>
      <c r="G1185" t="s">
        <v>38</v>
      </c>
      <c r="H1185" t="s">
        <v>101</v>
      </c>
      <c r="I1185" t="s">
        <v>375</v>
      </c>
      <c r="J1185" t="s">
        <v>376</v>
      </c>
      <c r="K1185" t="s">
        <v>41</v>
      </c>
      <c r="L1185" t="s">
        <v>1503</v>
      </c>
      <c r="M1185" t="s">
        <v>1504</v>
      </c>
      <c r="N1185" t="s">
        <v>377</v>
      </c>
      <c r="O1185" t="s">
        <v>1197</v>
      </c>
      <c r="Q1185" t="s">
        <v>62</v>
      </c>
      <c r="R1185" t="s">
        <v>1505</v>
      </c>
      <c r="S1185" t="s">
        <v>1505</v>
      </c>
      <c r="T1185" t="s">
        <v>47</v>
      </c>
      <c r="U1185" t="s">
        <v>118</v>
      </c>
      <c r="V1185" t="s">
        <v>49</v>
      </c>
      <c r="W1185" t="s">
        <v>714</v>
      </c>
      <c r="X1185" t="s">
        <v>388</v>
      </c>
      <c r="Y1185" t="s">
        <v>1518</v>
      </c>
      <c r="Z1185" t="s">
        <v>1518</v>
      </c>
      <c r="AA1185" t="s">
        <v>1519</v>
      </c>
      <c r="AB1185" s="3">
        <f t="shared" si="149"/>
        <v>5.999999999999897</v>
      </c>
      <c r="AC1185">
        <v>1160.71</v>
      </c>
      <c r="AD1185" s="2">
        <v>193.45166666667001</v>
      </c>
      <c r="AE1185" s="2">
        <v>179.82</v>
      </c>
      <c r="AF1185" s="2">
        <v>8.23</v>
      </c>
      <c r="AG1185" s="2">
        <v>1348.76</v>
      </c>
      <c r="AH1185">
        <v>0</v>
      </c>
      <c r="AI1185">
        <v>224.79333333333</v>
      </c>
      <c r="AJ1185">
        <v>6.7438000000000002</v>
      </c>
      <c r="AK1185" t="s">
        <v>54</v>
      </c>
      <c r="AL1185">
        <v>7.44</v>
      </c>
      <c r="AM1185" s="4">
        <f t="shared" si="150"/>
        <v>224.79333333333719</v>
      </c>
      <c r="AN1185" s="4">
        <f t="shared" si="151"/>
        <v>362.72187500000626</v>
      </c>
      <c r="AO1185" s="4">
        <f t="shared" si="152"/>
        <v>402.98400312500695</v>
      </c>
      <c r="AP1185" s="4">
        <f t="shared" si="153"/>
        <v>587.57316531251013</v>
      </c>
      <c r="AQ1185" s="10">
        <f t="shared" si="146"/>
        <v>390.93808600000671</v>
      </c>
      <c r="AR1185" s="10">
        <f t="shared" si="147"/>
        <v>434.37130735460744</v>
      </c>
      <c r="AS1185" s="10">
        <f t="shared" si="148"/>
        <v>608.61241228481038</v>
      </c>
    </row>
    <row r="1186" spans="1:45" x14ac:dyDescent="0.3">
      <c r="A1186">
        <v>2025</v>
      </c>
      <c r="B1186">
        <v>8</v>
      </c>
      <c r="C1186" t="s">
        <v>55</v>
      </c>
      <c r="D1186">
        <v>10</v>
      </c>
      <c r="E1186" t="s">
        <v>36</v>
      </c>
      <c r="F1186" t="s">
        <v>37</v>
      </c>
      <c r="G1186" t="s">
        <v>38</v>
      </c>
      <c r="H1186" t="s">
        <v>101</v>
      </c>
      <c r="I1186" t="s">
        <v>190</v>
      </c>
      <c r="J1186" t="s">
        <v>58</v>
      </c>
      <c r="K1186" t="s">
        <v>59</v>
      </c>
      <c r="L1186" t="s">
        <v>1194</v>
      </c>
      <c r="M1186" t="s">
        <v>1195</v>
      </c>
      <c r="N1186" t="s">
        <v>1196</v>
      </c>
      <c r="O1186" t="s">
        <v>1197</v>
      </c>
      <c r="Q1186" t="s">
        <v>62</v>
      </c>
      <c r="R1186" t="s">
        <v>1198</v>
      </c>
      <c r="S1186" t="s">
        <v>1198</v>
      </c>
      <c r="T1186" t="s">
        <v>47</v>
      </c>
      <c r="U1186" t="s">
        <v>559</v>
      </c>
      <c r="V1186" t="s">
        <v>49</v>
      </c>
      <c r="W1186" t="s">
        <v>560</v>
      </c>
      <c r="X1186" t="s">
        <v>388</v>
      </c>
      <c r="Y1186" t="s">
        <v>1518</v>
      </c>
      <c r="Z1186" t="s">
        <v>1518</v>
      </c>
      <c r="AA1186" t="s">
        <v>1522</v>
      </c>
      <c r="AB1186" s="3">
        <f t="shared" si="149"/>
        <v>4</v>
      </c>
      <c r="AC1186">
        <v>947.6</v>
      </c>
      <c r="AD1186" s="2">
        <v>236.9</v>
      </c>
      <c r="AE1186" s="2">
        <v>344.56</v>
      </c>
      <c r="AF1186" s="2">
        <v>7.93</v>
      </c>
      <c r="AG1186" s="2">
        <v>1300.9000000000001</v>
      </c>
      <c r="AH1186">
        <v>0</v>
      </c>
      <c r="AI1186">
        <v>325.22500000000002</v>
      </c>
      <c r="AJ1186">
        <v>6.5045000000000002</v>
      </c>
      <c r="AK1186" t="s">
        <v>54</v>
      </c>
      <c r="AL1186">
        <v>8.9</v>
      </c>
      <c r="AM1186" s="4">
        <f t="shared" si="150"/>
        <v>325.22500000000002</v>
      </c>
      <c r="AN1186" s="4">
        <f t="shared" si="151"/>
        <v>444.1875</v>
      </c>
      <c r="AO1186" s="4">
        <f t="shared" si="152"/>
        <v>493.49231249999997</v>
      </c>
      <c r="AP1186" s="4">
        <f t="shared" si="153"/>
        <v>719.53933124999992</v>
      </c>
      <c r="AQ1186" s="10">
        <f t="shared" ref="AQ1186:AQ1249" si="154">SUM(AM1186)*1.7391</f>
        <v>565.59879750000005</v>
      </c>
      <c r="AR1186" s="10">
        <f t="shared" ref="AR1186:AR1249" si="155">SUM(AQ1186)*1.1111</f>
        <v>628.43682390225001</v>
      </c>
      <c r="AS1186" s="10">
        <f t="shared" ref="AS1186:AS1249" si="156">SUM(AQ1186)*1.5568</f>
        <v>880.52420794800003</v>
      </c>
    </row>
    <row r="1187" spans="1:45" x14ac:dyDescent="0.3">
      <c r="A1187">
        <v>2025</v>
      </c>
      <c r="B1187">
        <v>9</v>
      </c>
      <c r="C1187" t="s">
        <v>55</v>
      </c>
      <c r="D1187">
        <v>10</v>
      </c>
      <c r="E1187" t="s">
        <v>36</v>
      </c>
      <c r="F1187" t="s">
        <v>37</v>
      </c>
      <c r="G1187" t="s">
        <v>38</v>
      </c>
      <c r="H1187" t="s">
        <v>101</v>
      </c>
      <c r="I1187" t="s">
        <v>375</v>
      </c>
      <c r="J1187" t="s">
        <v>376</v>
      </c>
      <c r="K1187" t="s">
        <v>59</v>
      </c>
      <c r="L1187" t="s">
        <v>1483</v>
      </c>
      <c r="M1187" t="s">
        <v>1484</v>
      </c>
      <c r="N1187" t="s">
        <v>1485</v>
      </c>
      <c r="O1187" t="s">
        <v>1197</v>
      </c>
      <c r="Q1187" t="s">
        <v>62</v>
      </c>
      <c r="R1187" t="s">
        <v>1486</v>
      </c>
      <c r="S1187" t="s">
        <v>1486</v>
      </c>
      <c r="T1187" t="s">
        <v>47</v>
      </c>
      <c r="U1187" t="s">
        <v>167</v>
      </c>
      <c r="V1187" t="s">
        <v>49</v>
      </c>
      <c r="W1187" t="s">
        <v>168</v>
      </c>
      <c r="X1187" t="s">
        <v>51</v>
      </c>
      <c r="Y1187" t="s">
        <v>1393</v>
      </c>
      <c r="Z1187" t="s">
        <v>1393</v>
      </c>
      <c r="AA1187" t="s">
        <v>1394</v>
      </c>
      <c r="AB1187" s="3">
        <f t="shared" si="149"/>
        <v>4.9999999999999991</v>
      </c>
      <c r="AC1187">
        <v>600.66</v>
      </c>
      <c r="AD1187" s="2">
        <v>120.13200000000001</v>
      </c>
      <c r="AE1187" s="2">
        <v>43.5</v>
      </c>
      <c r="AF1187" s="2">
        <v>3.89</v>
      </c>
      <c r="AG1187" s="2">
        <v>647.59</v>
      </c>
      <c r="AH1187">
        <v>0</v>
      </c>
      <c r="AI1187">
        <v>129.518</v>
      </c>
      <c r="AJ1187">
        <v>3.2379500000000001</v>
      </c>
      <c r="AK1187" t="s">
        <v>54</v>
      </c>
      <c r="AL1187">
        <v>5.6</v>
      </c>
      <c r="AM1187" s="4">
        <f t="shared" si="150"/>
        <v>129.51800000000003</v>
      </c>
      <c r="AN1187" s="4">
        <f t="shared" si="151"/>
        <v>225.2475</v>
      </c>
      <c r="AO1187" s="4">
        <f t="shared" si="152"/>
        <v>250.24997250000001</v>
      </c>
      <c r="AP1187" s="4">
        <f t="shared" si="153"/>
        <v>364.87842524999996</v>
      </c>
      <c r="AQ1187" s="10">
        <f t="shared" si="154"/>
        <v>225.24475380000007</v>
      </c>
      <c r="AR1187" s="10">
        <f t="shared" si="155"/>
        <v>250.26944594718006</v>
      </c>
      <c r="AS1187" s="10">
        <f t="shared" si="156"/>
        <v>350.66103271584012</v>
      </c>
    </row>
    <row r="1188" spans="1:45" x14ac:dyDescent="0.3">
      <c r="A1188">
        <v>2025</v>
      </c>
      <c r="B1188">
        <v>11</v>
      </c>
      <c r="C1188" t="s">
        <v>55</v>
      </c>
      <c r="D1188">
        <v>10</v>
      </c>
      <c r="E1188" t="s">
        <v>36</v>
      </c>
      <c r="F1188" t="s">
        <v>37</v>
      </c>
      <c r="G1188" t="s">
        <v>38</v>
      </c>
      <c r="H1188" t="s">
        <v>83</v>
      </c>
      <c r="I1188" t="s">
        <v>190</v>
      </c>
      <c r="J1188" t="s">
        <v>58</v>
      </c>
      <c r="K1188" t="s">
        <v>59</v>
      </c>
      <c r="L1188" t="s">
        <v>1629</v>
      </c>
      <c r="M1188" t="s">
        <v>1630</v>
      </c>
      <c r="N1188" t="s">
        <v>1485</v>
      </c>
      <c r="O1188" t="s">
        <v>1197</v>
      </c>
      <c r="Q1188" t="s">
        <v>62</v>
      </c>
      <c r="R1188" t="s">
        <v>1631</v>
      </c>
      <c r="S1188" t="s">
        <v>1631</v>
      </c>
      <c r="T1188" t="s">
        <v>47</v>
      </c>
      <c r="U1188" t="s">
        <v>167</v>
      </c>
      <c r="V1188" t="s">
        <v>49</v>
      </c>
      <c r="W1188" t="s">
        <v>168</v>
      </c>
      <c r="X1188" t="s">
        <v>1578</v>
      </c>
      <c r="Y1188" t="s">
        <v>1393</v>
      </c>
      <c r="Z1188" t="s">
        <v>1393</v>
      </c>
      <c r="AA1188" t="s">
        <v>1394</v>
      </c>
      <c r="AB1188" s="3">
        <f t="shared" si="149"/>
        <v>6</v>
      </c>
      <c r="AC1188">
        <v>709.47</v>
      </c>
      <c r="AD1188" s="2">
        <v>118.245</v>
      </c>
      <c r="AE1188" s="2">
        <v>109.97</v>
      </c>
      <c r="AF1188" s="2">
        <v>5.3</v>
      </c>
      <c r="AG1188" s="2">
        <v>824.47</v>
      </c>
      <c r="AH1188">
        <v>0</v>
      </c>
      <c r="AI1188">
        <v>137.41166666666999</v>
      </c>
      <c r="AJ1188">
        <v>4.12235</v>
      </c>
      <c r="AK1188" t="s">
        <v>54</v>
      </c>
      <c r="AL1188">
        <v>4.55</v>
      </c>
      <c r="AM1188" s="4">
        <f t="shared" si="150"/>
        <v>137.41166666666666</v>
      </c>
      <c r="AN1188" s="4">
        <f t="shared" si="151"/>
        <v>221.70937500000002</v>
      </c>
      <c r="AO1188" s="4">
        <f t="shared" si="152"/>
        <v>246.31911562500002</v>
      </c>
      <c r="AP1188" s="4">
        <f t="shared" si="153"/>
        <v>359.14701656250003</v>
      </c>
      <c r="AQ1188" s="10">
        <f t="shared" si="154"/>
        <v>238.97262950000001</v>
      </c>
      <c r="AR1188" s="10">
        <f t="shared" si="155"/>
        <v>265.52248863745001</v>
      </c>
      <c r="AS1188" s="10">
        <f t="shared" si="156"/>
        <v>372.03258960559998</v>
      </c>
    </row>
    <row r="1189" spans="1:45" x14ac:dyDescent="0.3">
      <c r="A1189">
        <v>2025</v>
      </c>
      <c r="B1189">
        <v>4</v>
      </c>
      <c r="C1189" t="s">
        <v>55</v>
      </c>
      <c r="D1189">
        <v>10</v>
      </c>
      <c r="E1189" t="s">
        <v>36</v>
      </c>
      <c r="F1189" t="s">
        <v>37</v>
      </c>
      <c r="G1189" t="s">
        <v>38</v>
      </c>
      <c r="H1189" t="s">
        <v>83</v>
      </c>
      <c r="I1189" t="s">
        <v>375</v>
      </c>
      <c r="J1189" t="s">
        <v>376</v>
      </c>
      <c r="K1189" t="s">
        <v>59</v>
      </c>
      <c r="M1189">
        <v>2503061</v>
      </c>
      <c r="N1189" t="s">
        <v>377</v>
      </c>
      <c r="O1189" t="s">
        <v>36</v>
      </c>
      <c r="Q1189" t="s">
        <v>62</v>
      </c>
      <c r="R1189" t="s">
        <v>378</v>
      </c>
      <c r="S1189" t="s">
        <v>378</v>
      </c>
      <c r="T1189" t="s">
        <v>47</v>
      </c>
      <c r="U1189" t="s">
        <v>367</v>
      </c>
      <c r="V1189" t="s">
        <v>49</v>
      </c>
      <c r="W1189" t="s">
        <v>368</v>
      </c>
      <c r="X1189" t="s">
        <v>51</v>
      </c>
      <c r="Y1189" t="s">
        <v>1393</v>
      </c>
      <c r="Z1189" t="s">
        <v>1393</v>
      </c>
      <c r="AA1189" t="s">
        <v>1394</v>
      </c>
      <c r="AB1189" s="3">
        <f t="shared" si="149"/>
        <v>10</v>
      </c>
      <c r="AC1189">
        <v>1205.43</v>
      </c>
      <c r="AD1189" s="2">
        <v>120.54300000000001</v>
      </c>
      <c r="AE1189" s="2">
        <v>313.86</v>
      </c>
      <c r="AF1189" s="2">
        <v>9.2899999999999991</v>
      </c>
      <c r="AG1189" s="2">
        <v>1528.57</v>
      </c>
      <c r="AH1189">
        <v>0</v>
      </c>
      <c r="AI1189">
        <v>152.857</v>
      </c>
      <c r="AJ1189">
        <v>7.6428500000000001</v>
      </c>
      <c r="AK1189" t="s">
        <v>54</v>
      </c>
      <c r="AL1189">
        <v>15.17</v>
      </c>
      <c r="AM1189" s="4">
        <f t="shared" si="150"/>
        <v>152.857</v>
      </c>
      <c r="AN1189" s="4">
        <f t="shared" si="151"/>
        <v>226.018125</v>
      </c>
      <c r="AO1189" s="4">
        <f t="shared" si="152"/>
        <v>251.106136875</v>
      </c>
      <c r="AP1189" s="4">
        <f t="shared" si="153"/>
        <v>366.1267606875</v>
      </c>
      <c r="AQ1189" s="10">
        <f t="shared" si="154"/>
        <v>265.83360870000001</v>
      </c>
      <c r="AR1189" s="10">
        <f t="shared" si="155"/>
        <v>295.36772262657001</v>
      </c>
      <c r="AS1189" s="10">
        <f t="shared" si="156"/>
        <v>413.84976202415999</v>
      </c>
    </row>
    <row r="1190" spans="1:45" x14ac:dyDescent="0.3">
      <c r="A1190">
        <v>2025</v>
      </c>
      <c r="B1190">
        <v>4</v>
      </c>
      <c r="C1190" t="s">
        <v>55</v>
      </c>
      <c r="D1190">
        <v>10</v>
      </c>
      <c r="E1190" t="s">
        <v>36</v>
      </c>
      <c r="F1190" t="s">
        <v>37</v>
      </c>
      <c r="G1190" t="s">
        <v>38</v>
      </c>
      <c r="H1190" t="s">
        <v>83</v>
      </c>
      <c r="I1190" t="s">
        <v>190</v>
      </c>
      <c r="J1190" t="s">
        <v>58</v>
      </c>
      <c r="K1190" t="s">
        <v>59</v>
      </c>
      <c r="M1190" t="s">
        <v>383</v>
      </c>
      <c r="N1190" t="s">
        <v>384</v>
      </c>
      <c r="O1190" t="s">
        <v>36</v>
      </c>
      <c r="Q1190" t="s">
        <v>62</v>
      </c>
      <c r="R1190" t="s">
        <v>385</v>
      </c>
      <c r="S1190" t="s">
        <v>385</v>
      </c>
      <c r="T1190" t="s">
        <v>47</v>
      </c>
      <c r="U1190" t="s">
        <v>359</v>
      </c>
      <c r="V1190" t="s">
        <v>49</v>
      </c>
      <c r="W1190" t="s">
        <v>360</v>
      </c>
      <c r="X1190" t="s">
        <v>388</v>
      </c>
      <c r="Y1190" t="s">
        <v>655</v>
      </c>
      <c r="Z1190" t="s">
        <v>655</v>
      </c>
      <c r="AA1190" t="s">
        <v>656</v>
      </c>
      <c r="AB1190" s="3">
        <f t="shared" si="149"/>
        <v>1.7300000000000004</v>
      </c>
      <c r="AC1190">
        <v>37.85</v>
      </c>
      <c r="AD1190" s="2">
        <v>21.878612716763001</v>
      </c>
      <c r="AE1190" s="2">
        <v>23.68</v>
      </c>
      <c r="AF1190" s="2">
        <v>0.25</v>
      </c>
      <c r="AG1190" s="2">
        <v>61.78</v>
      </c>
      <c r="AH1190">
        <v>0</v>
      </c>
      <c r="AI1190">
        <v>35.710982658959999</v>
      </c>
      <c r="AJ1190">
        <v>0.30890000000000001</v>
      </c>
      <c r="AK1190" t="s">
        <v>54</v>
      </c>
      <c r="AL1190">
        <v>1.1299999999999999</v>
      </c>
      <c r="AM1190" s="4">
        <f t="shared" si="150"/>
        <v>35.71098265895953</v>
      </c>
      <c r="AN1190" s="4">
        <f t="shared" si="151"/>
        <v>41.022398843930631</v>
      </c>
      <c r="AO1190" s="4">
        <f t="shared" si="152"/>
        <v>45.57588511560693</v>
      </c>
      <c r="AP1190" s="4">
        <f t="shared" si="153"/>
        <v>66.452183887283226</v>
      </c>
      <c r="AQ1190" s="10">
        <f t="shared" si="154"/>
        <v>62.104969942196519</v>
      </c>
      <c r="AR1190" s="10">
        <f t="shared" si="155"/>
        <v>69.004832102774557</v>
      </c>
      <c r="AS1190" s="10">
        <f t="shared" si="156"/>
        <v>96.685017206011537</v>
      </c>
    </row>
    <row r="1191" spans="1:45" x14ac:dyDescent="0.3">
      <c r="A1191">
        <v>2025</v>
      </c>
      <c r="B1191">
        <v>11</v>
      </c>
      <c r="C1191" t="s">
        <v>55</v>
      </c>
      <c r="D1191">
        <v>10</v>
      </c>
      <c r="E1191" t="s">
        <v>36</v>
      </c>
      <c r="F1191" t="s">
        <v>37</v>
      </c>
      <c r="G1191" t="s">
        <v>38</v>
      </c>
      <c r="H1191" t="s">
        <v>83</v>
      </c>
      <c r="I1191" t="s">
        <v>190</v>
      </c>
      <c r="J1191" t="s">
        <v>58</v>
      </c>
      <c r="K1191" t="s">
        <v>59</v>
      </c>
      <c r="L1191" t="s">
        <v>1629</v>
      </c>
      <c r="M1191" t="s">
        <v>1630</v>
      </c>
      <c r="N1191" t="s">
        <v>1485</v>
      </c>
      <c r="O1191" t="s">
        <v>1197</v>
      </c>
      <c r="Q1191" t="s">
        <v>62</v>
      </c>
      <c r="R1191" t="s">
        <v>1631</v>
      </c>
      <c r="S1191" t="s">
        <v>1631</v>
      </c>
      <c r="T1191" t="s">
        <v>47</v>
      </c>
      <c r="U1191" t="s">
        <v>359</v>
      </c>
      <c r="V1191" t="s">
        <v>49</v>
      </c>
      <c r="W1191" t="s">
        <v>896</v>
      </c>
      <c r="X1191" t="s">
        <v>1578</v>
      </c>
      <c r="Y1191" t="s">
        <v>620</v>
      </c>
      <c r="Z1191" t="s">
        <v>620</v>
      </c>
      <c r="AA1191" t="s">
        <v>621</v>
      </c>
      <c r="AB1191" s="3">
        <f t="shared" si="149"/>
        <v>6.0000000000000213</v>
      </c>
      <c r="AC1191">
        <v>552.41</v>
      </c>
      <c r="AD1191" s="2">
        <v>92.068333333333001</v>
      </c>
      <c r="AE1191" s="2">
        <v>91.95</v>
      </c>
      <c r="AF1191" s="2">
        <v>3.58</v>
      </c>
      <c r="AG1191" s="2">
        <v>647.92999999999995</v>
      </c>
      <c r="AH1191">
        <v>0</v>
      </c>
      <c r="AI1191">
        <v>107.98833333333</v>
      </c>
      <c r="AJ1191">
        <v>3.2396500000000001</v>
      </c>
      <c r="AK1191" t="s">
        <v>54</v>
      </c>
      <c r="AL1191">
        <v>4.68</v>
      </c>
      <c r="AM1191" s="4">
        <f t="shared" si="150"/>
        <v>107.98833333333295</v>
      </c>
      <c r="AN1191" s="4">
        <f t="shared" si="151"/>
        <v>172.62812499999939</v>
      </c>
      <c r="AO1191" s="4">
        <f t="shared" si="152"/>
        <v>191.78984687499931</v>
      </c>
      <c r="AP1191" s="4">
        <f t="shared" si="153"/>
        <v>279.64029968749901</v>
      </c>
      <c r="AQ1191" s="10">
        <f t="shared" si="154"/>
        <v>187.80251049999933</v>
      </c>
      <c r="AR1191" s="10">
        <f t="shared" si="155"/>
        <v>208.66736941654926</v>
      </c>
      <c r="AS1191" s="10">
        <f t="shared" si="156"/>
        <v>292.37094834639896</v>
      </c>
    </row>
    <row r="1192" spans="1:45" x14ac:dyDescent="0.3">
      <c r="A1192">
        <v>2025</v>
      </c>
      <c r="B1192">
        <v>1</v>
      </c>
      <c r="C1192" t="s">
        <v>55</v>
      </c>
      <c r="D1192">
        <v>10</v>
      </c>
      <c r="E1192" t="s">
        <v>36</v>
      </c>
      <c r="F1192" t="s">
        <v>37</v>
      </c>
      <c r="G1192" t="s">
        <v>38</v>
      </c>
      <c r="H1192" t="s">
        <v>83</v>
      </c>
      <c r="I1192" t="s">
        <v>57</v>
      </c>
      <c r="J1192" t="s">
        <v>58</v>
      </c>
      <c r="K1192" t="s">
        <v>59</v>
      </c>
      <c r="M1192" t="s">
        <v>60</v>
      </c>
      <c r="N1192" t="s">
        <v>61</v>
      </c>
      <c r="O1192" t="s">
        <v>43</v>
      </c>
      <c r="Q1192" t="s">
        <v>62</v>
      </c>
      <c r="R1192" t="s">
        <v>63</v>
      </c>
      <c r="S1192" t="s">
        <v>63</v>
      </c>
      <c r="T1192" t="s">
        <v>47</v>
      </c>
      <c r="U1192" t="s">
        <v>173</v>
      </c>
      <c r="V1192" t="s">
        <v>49</v>
      </c>
      <c r="W1192" t="s">
        <v>174</v>
      </c>
      <c r="X1192" t="s">
        <v>51</v>
      </c>
      <c r="Y1192" t="s">
        <v>1742</v>
      </c>
      <c r="Z1192" t="s">
        <v>1742</v>
      </c>
      <c r="AA1192" t="s">
        <v>621</v>
      </c>
      <c r="AB1192" s="3">
        <f t="shared" si="149"/>
        <v>8</v>
      </c>
      <c r="AC1192">
        <v>739</v>
      </c>
      <c r="AD1192" s="2">
        <v>92.375</v>
      </c>
      <c r="AE1192" s="2">
        <v>192.42</v>
      </c>
      <c r="AF1192" s="2">
        <v>5.69</v>
      </c>
      <c r="AG1192" s="2">
        <v>937.11</v>
      </c>
      <c r="AH1192">
        <v>0</v>
      </c>
      <c r="AI1192">
        <v>117.13875</v>
      </c>
      <c r="AJ1192">
        <v>4.6855500000000001</v>
      </c>
      <c r="AK1192" t="s">
        <v>54</v>
      </c>
      <c r="AL1192">
        <v>9.3000000000000007</v>
      </c>
      <c r="AM1192" s="4">
        <f t="shared" si="150"/>
        <v>117.13875</v>
      </c>
      <c r="AN1192" s="4">
        <f t="shared" si="151"/>
        <v>173.203125</v>
      </c>
      <c r="AO1192" s="4">
        <f t="shared" si="152"/>
        <v>192.42867187499999</v>
      </c>
      <c r="AP1192" s="4">
        <f t="shared" si="153"/>
        <v>280.57174218749998</v>
      </c>
      <c r="AQ1192" s="10">
        <f t="shared" si="154"/>
        <v>203.71600012500002</v>
      </c>
      <c r="AR1192" s="10">
        <f t="shared" si="155"/>
        <v>226.34884773888751</v>
      </c>
      <c r="AS1192" s="10">
        <f t="shared" si="156"/>
        <v>317.14506899460002</v>
      </c>
    </row>
    <row r="1193" spans="1:45" x14ac:dyDescent="0.3">
      <c r="A1193">
        <v>2025</v>
      </c>
      <c r="B1193">
        <v>8</v>
      </c>
      <c r="C1193" t="s">
        <v>55</v>
      </c>
      <c r="D1193">
        <v>10</v>
      </c>
      <c r="E1193" t="s">
        <v>36</v>
      </c>
      <c r="F1193" t="s">
        <v>37</v>
      </c>
      <c r="G1193" t="s">
        <v>38</v>
      </c>
      <c r="H1193" t="s">
        <v>83</v>
      </c>
      <c r="I1193" t="s">
        <v>190</v>
      </c>
      <c r="J1193" t="s">
        <v>58</v>
      </c>
      <c r="K1193" t="s">
        <v>59</v>
      </c>
      <c r="L1193" t="s">
        <v>1194</v>
      </c>
      <c r="M1193" t="s">
        <v>1195</v>
      </c>
      <c r="N1193" t="s">
        <v>1196</v>
      </c>
      <c r="O1193" t="s">
        <v>1197</v>
      </c>
      <c r="Q1193" t="s">
        <v>62</v>
      </c>
      <c r="R1193" t="s">
        <v>1198</v>
      </c>
      <c r="S1193" t="s">
        <v>1198</v>
      </c>
      <c r="T1193" t="s">
        <v>47</v>
      </c>
      <c r="U1193" t="s">
        <v>173</v>
      </c>
      <c r="V1193" t="s">
        <v>49</v>
      </c>
      <c r="W1193" t="s">
        <v>174</v>
      </c>
      <c r="X1193" t="s">
        <v>388</v>
      </c>
      <c r="Y1193" t="s">
        <v>175</v>
      </c>
      <c r="Z1193" t="s">
        <v>64</v>
      </c>
      <c r="AA1193" t="s">
        <v>177</v>
      </c>
      <c r="AB1193" s="3">
        <f t="shared" si="149"/>
        <v>2</v>
      </c>
      <c r="AC1193">
        <v>548.9</v>
      </c>
      <c r="AD1193" s="2">
        <v>274.45</v>
      </c>
      <c r="AE1193" s="2">
        <v>131.88</v>
      </c>
      <c r="AF1193" s="2">
        <v>3.79</v>
      </c>
      <c r="AG1193" s="2">
        <v>684.57</v>
      </c>
      <c r="AH1193">
        <v>0</v>
      </c>
      <c r="AI1193">
        <v>342.28500000000003</v>
      </c>
      <c r="AJ1193">
        <v>3.4228499999999999</v>
      </c>
      <c r="AK1193" t="s">
        <v>54</v>
      </c>
      <c r="AL1193">
        <v>6.01</v>
      </c>
      <c r="AM1193" s="4">
        <f t="shared" si="150"/>
        <v>342.28500000000003</v>
      </c>
      <c r="AN1193" s="4">
        <f t="shared" si="151"/>
        <v>514.59375</v>
      </c>
      <c r="AO1193" s="4">
        <f t="shared" si="152"/>
        <v>571.71365624999999</v>
      </c>
      <c r="AP1193" s="4">
        <f t="shared" si="153"/>
        <v>833.59041562499999</v>
      </c>
      <c r="AQ1193" s="10">
        <f t="shared" si="154"/>
        <v>595.26784350000003</v>
      </c>
      <c r="AR1193" s="10">
        <f t="shared" si="155"/>
        <v>661.40210091284996</v>
      </c>
      <c r="AS1193" s="10">
        <f t="shared" si="156"/>
        <v>926.71297876080007</v>
      </c>
    </row>
    <row r="1194" spans="1:45" x14ac:dyDescent="0.3">
      <c r="A1194">
        <v>2025</v>
      </c>
      <c r="B1194">
        <v>9</v>
      </c>
      <c r="C1194" t="s">
        <v>55</v>
      </c>
      <c r="D1194">
        <v>10</v>
      </c>
      <c r="E1194" t="s">
        <v>36</v>
      </c>
      <c r="F1194" t="s">
        <v>37</v>
      </c>
      <c r="G1194" t="s">
        <v>38</v>
      </c>
      <c r="H1194" t="s">
        <v>83</v>
      </c>
      <c r="I1194" t="s">
        <v>375</v>
      </c>
      <c r="J1194" t="s">
        <v>376</v>
      </c>
      <c r="K1194" t="s">
        <v>59</v>
      </c>
      <c r="L1194" t="s">
        <v>1483</v>
      </c>
      <c r="M1194" t="s">
        <v>1484</v>
      </c>
      <c r="N1194" t="s">
        <v>1485</v>
      </c>
      <c r="O1194" t="s">
        <v>1197</v>
      </c>
      <c r="Q1194" t="s">
        <v>62</v>
      </c>
      <c r="R1194" t="s">
        <v>1486</v>
      </c>
      <c r="S1194" t="s">
        <v>1486</v>
      </c>
      <c r="T1194" t="s">
        <v>47</v>
      </c>
      <c r="U1194" t="s">
        <v>173</v>
      </c>
      <c r="V1194" t="s">
        <v>49</v>
      </c>
      <c r="W1194" t="s">
        <v>174</v>
      </c>
      <c r="X1194" t="s">
        <v>51</v>
      </c>
      <c r="Y1194" t="s">
        <v>1424</v>
      </c>
      <c r="Z1194" t="s">
        <v>1424</v>
      </c>
      <c r="AA1194" t="s">
        <v>177</v>
      </c>
      <c r="AB1194" s="3">
        <f t="shared" si="149"/>
        <v>3.0000000000000449</v>
      </c>
      <c r="AC1194">
        <v>672.7</v>
      </c>
      <c r="AD1194" s="2">
        <v>224.23333333332999</v>
      </c>
      <c r="AE1194" s="2">
        <v>48.21</v>
      </c>
      <c r="AF1194" s="2">
        <v>4.3499999999999996</v>
      </c>
      <c r="AG1194" s="2">
        <v>725.26</v>
      </c>
      <c r="AH1194">
        <v>0</v>
      </c>
      <c r="AI1194">
        <v>241.75333333333</v>
      </c>
      <c r="AJ1194">
        <v>3.6263000000000001</v>
      </c>
      <c r="AK1194" t="s">
        <v>54</v>
      </c>
      <c r="AL1194">
        <v>5.66</v>
      </c>
      <c r="AM1194" s="4">
        <f t="shared" si="150"/>
        <v>241.75333333332972</v>
      </c>
      <c r="AN1194" s="4">
        <f t="shared" si="151"/>
        <v>420.43749999999375</v>
      </c>
      <c r="AO1194" s="4">
        <f t="shared" si="152"/>
        <v>467.10606249999307</v>
      </c>
      <c r="AP1194" s="4">
        <f t="shared" si="153"/>
        <v>681.06670624998981</v>
      </c>
      <c r="AQ1194" s="10">
        <f t="shared" si="154"/>
        <v>420.43322199999375</v>
      </c>
      <c r="AR1194" s="10">
        <f t="shared" si="155"/>
        <v>467.14335296419307</v>
      </c>
      <c r="AS1194" s="10">
        <f t="shared" si="156"/>
        <v>654.53044000959028</v>
      </c>
    </row>
    <row r="1195" spans="1:45" x14ac:dyDescent="0.3">
      <c r="A1195">
        <v>2025</v>
      </c>
      <c r="B1195">
        <v>12</v>
      </c>
      <c r="C1195" t="s">
        <v>55</v>
      </c>
      <c r="D1195">
        <v>10</v>
      </c>
      <c r="E1195" t="s">
        <v>36</v>
      </c>
      <c r="F1195" t="s">
        <v>37</v>
      </c>
      <c r="G1195" t="s">
        <v>38</v>
      </c>
      <c r="H1195" t="s">
        <v>83</v>
      </c>
      <c r="I1195" t="s">
        <v>57</v>
      </c>
      <c r="J1195" t="s">
        <v>58</v>
      </c>
      <c r="K1195" t="s">
        <v>59</v>
      </c>
      <c r="L1195" t="s">
        <v>1769</v>
      </c>
      <c r="M1195" t="s">
        <v>1770</v>
      </c>
      <c r="N1195" t="s">
        <v>1771</v>
      </c>
      <c r="O1195" t="s">
        <v>1197</v>
      </c>
      <c r="Q1195" t="s">
        <v>62</v>
      </c>
      <c r="R1195" t="s">
        <v>1772</v>
      </c>
      <c r="S1195" t="s">
        <v>1772</v>
      </c>
      <c r="T1195" t="s">
        <v>47</v>
      </c>
      <c r="U1195" t="s">
        <v>173</v>
      </c>
      <c r="V1195" t="s">
        <v>49</v>
      </c>
      <c r="W1195" t="s">
        <v>174</v>
      </c>
      <c r="X1195" t="s">
        <v>51</v>
      </c>
      <c r="Y1195" t="s">
        <v>1424</v>
      </c>
      <c r="Z1195" t="s">
        <v>1424</v>
      </c>
      <c r="AA1195" t="s">
        <v>177</v>
      </c>
      <c r="AB1195" s="3">
        <f t="shared" si="149"/>
        <v>1</v>
      </c>
      <c r="AC1195">
        <v>220.71</v>
      </c>
      <c r="AD1195" s="2">
        <v>220.71</v>
      </c>
      <c r="AE1195" s="2">
        <v>34.32</v>
      </c>
      <c r="AF1195" s="2">
        <v>1.56</v>
      </c>
      <c r="AG1195" s="2">
        <v>256.58999999999997</v>
      </c>
      <c r="AH1195">
        <v>0</v>
      </c>
      <c r="AI1195">
        <v>256.58999999999997</v>
      </c>
      <c r="AJ1195">
        <v>1.28295</v>
      </c>
      <c r="AK1195" t="s">
        <v>54</v>
      </c>
      <c r="AL1195">
        <v>1.42</v>
      </c>
      <c r="AM1195" s="4">
        <f t="shared" si="150"/>
        <v>256.58999999999997</v>
      </c>
      <c r="AN1195" s="4">
        <f t="shared" si="151"/>
        <v>413.83125000000001</v>
      </c>
      <c r="AO1195" s="4">
        <f t="shared" si="152"/>
        <v>459.76651874999999</v>
      </c>
      <c r="AP1195" s="4">
        <f t="shared" si="153"/>
        <v>670.36524187499992</v>
      </c>
      <c r="AQ1195" s="10">
        <f t="shared" si="154"/>
        <v>446.23566899999997</v>
      </c>
      <c r="AR1195" s="10">
        <f t="shared" si="155"/>
        <v>495.81245182589998</v>
      </c>
      <c r="AS1195" s="10">
        <f t="shared" si="156"/>
        <v>694.69968949919996</v>
      </c>
    </row>
    <row r="1196" spans="1:45" x14ac:dyDescent="0.3">
      <c r="A1196">
        <v>2025</v>
      </c>
      <c r="B1196">
        <v>1</v>
      </c>
      <c r="C1196" t="s">
        <v>55</v>
      </c>
      <c r="D1196">
        <v>10</v>
      </c>
      <c r="E1196" t="s">
        <v>36</v>
      </c>
      <c r="F1196" t="s">
        <v>37</v>
      </c>
      <c r="G1196" t="s">
        <v>38</v>
      </c>
      <c r="H1196" t="s">
        <v>83</v>
      </c>
      <c r="I1196" t="s">
        <v>57</v>
      </c>
      <c r="J1196" t="s">
        <v>58</v>
      </c>
      <c r="K1196" t="s">
        <v>59</v>
      </c>
      <c r="M1196" t="s">
        <v>60</v>
      </c>
      <c r="N1196" t="s">
        <v>61</v>
      </c>
      <c r="O1196" t="s">
        <v>43</v>
      </c>
      <c r="Q1196" t="s">
        <v>62</v>
      </c>
      <c r="R1196" t="s">
        <v>63</v>
      </c>
      <c r="S1196" t="s">
        <v>63</v>
      </c>
      <c r="T1196" t="s">
        <v>47</v>
      </c>
      <c r="U1196" t="s">
        <v>118</v>
      </c>
      <c r="V1196" t="s">
        <v>49</v>
      </c>
      <c r="W1196" t="s">
        <v>119</v>
      </c>
      <c r="X1196" t="s">
        <v>51</v>
      </c>
      <c r="Y1196" t="s">
        <v>1424</v>
      </c>
      <c r="Z1196" t="s">
        <v>1424</v>
      </c>
      <c r="AA1196" t="s">
        <v>177</v>
      </c>
      <c r="AB1196" s="3">
        <f t="shared" si="149"/>
        <v>4</v>
      </c>
      <c r="AC1196">
        <v>904.4</v>
      </c>
      <c r="AD1196" s="2">
        <v>226.1</v>
      </c>
      <c r="AE1196" s="2">
        <v>268.37</v>
      </c>
      <c r="AF1196" s="2">
        <v>6.79</v>
      </c>
      <c r="AG1196" s="2">
        <v>1179.2</v>
      </c>
      <c r="AH1196">
        <v>0</v>
      </c>
      <c r="AI1196">
        <v>294.8</v>
      </c>
      <c r="AJ1196">
        <v>5.8959999999999999</v>
      </c>
      <c r="AK1196" t="s">
        <v>54</v>
      </c>
      <c r="AL1196">
        <v>6.72</v>
      </c>
      <c r="AM1196" s="4">
        <f t="shared" si="150"/>
        <v>294.8</v>
      </c>
      <c r="AN1196" s="4">
        <f t="shared" si="151"/>
        <v>423.9375</v>
      </c>
      <c r="AO1196" s="4">
        <f t="shared" si="152"/>
        <v>470.99456249999997</v>
      </c>
      <c r="AP1196" s="4">
        <f t="shared" si="153"/>
        <v>686.73635624999997</v>
      </c>
      <c r="AQ1196" s="10">
        <f t="shared" si="154"/>
        <v>512.68668000000002</v>
      </c>
      <c r="AR1196" s="10">
        <f t="shared" si="155"/>
        <v>569.64617014800001</v>
      </c>
      <c r="AS1196" s="10">
        <f t="shared" si="156"/>
        <v>798.15062342400006</v>
      </c>
    </row>
    <row r="1197" spans="1:45" x14ac:dyDescent="0.3">
      <c r="A1197">
        <v>2025</v>
      </c>
      <c r="B1197">
        <v>3</v>
      </c>
      <c r="C1197" t="s">
        <v>55</v>
      </c>
      <c r="D1197">
        <v>10</v>
      </c>
      <c r="E1197" t="s">
        <v>36</v>
      </c>
      <c r="F1197" t="s">
        <v>37</v>
      </c>
      <c r="G1197" t="s">
        <v>38</v>
      </c>
      <c r="H1197" t="s">
        <v>83</v>
      </c>
      <c r="I1197" t="s">
        <v>190</v>
      </c>
      <c r="J1197" t="s">
        <v>58</v>
      </c>
      <c r="K1197" t="s">
        <v>59</v>
      </c>
      <c r="M1197" t="s">
        <v>209</v>
      </c>
      <c r="N1197" t="s">
        <v>61</v>
      </c>
      <c r="O1197" t="s">
        <v>43</v>
      </c>
      <c r="Q1197" t="s">
        <v>62</v>
      </c>
      <c r="R1197" t="s">
        <v>210</v>
      </c>
      <c r="S1197" t="s">
        <v>211</v>
      </c>
      <c r="T1197" t="s">
        <v>47</v>
      </c>
      <c r="U1197" t="s">
        <v>118</v>
      </c>
      <c r="V1197" t="s">
        <v>49</v>
      </c>
      <c r="W1197" t="s">
        <v>119</v>
      </c>
      <c r="X1197" t="s">
        <v>51</v>
      </c>
      <c r="Y1197" t="s">
        <v>122</v>
      </c>
      <c r="Z1197" t="s">
        <v>64</v>
      </c>
      <c r="AA1197" t="s">
        <v>123</v>
      </c>
      <c r="AB1197" s="3">
        <f t="shared" si="149"/>
        <v>5</v>
      </c>
      <c r="AC1197">
        <v>1197.6500000000001</v>
      </c>
      <c r="AD1197" s="2">
        <v>239.53</v>
      </c>
      <c r="AE1197" s="2">
        <v>287.74</v>
      </c>
      <c r="AF1197" s="2">
        <v>8.27</v>
      </c>
      <c r="AG1197" s="2">
        <v>1493.66</v>
      </c>
      <c r="AH1197">
        <v>0</v>
      </c>
      <c r="AI1197">
        <v>298.73200000000003</v>
      </c>
      <c r="AJ1197">
        <v>7.4683000000000002</v>
      </c>
      <c r="AK1197" t="s">
        <v>54</v>
      </c>
      <c r="AL1197">
        <v>15.03</v>
      </c>
      <c r="AM1197" s="4">
        <f t="shared" si="150"/>
        <v>298.73200000000003</v>
      </c>
      <c r="AN1197" s="4">
        <f t="shared" si="151"/>
        <v>449.11874999999998</v>
      </c>
      <c r="AO1197" s="4">
        <f t="shared" si="152"/>
        <v>498.97093124999998</v>
      </c>
      <c r="AP1197" s="4">
        <f t="shared" si="153"/>
        <v>727.52746312499994</v>
      </c>
      <c r="AQ1197" s="10">
        <f t="shared" si="154"/>
        <v>519.52482120000002</v>
      </c>
      <c r="AR1197" s="10">
        <f t="shared" si="155"/>
        <v>577.24402883532002</v>
      </c>
      <c r="AS1197" s="10">
        <f t="shared" si="156"/>
        <v>808.79624164415998</v>
      </c>
    </row>
    <row r="1198" spans="1:45" x14ac:dyDescent="0.3">
      <c r="A1198">
        <v>2025</v>
      </c>
      <c r="B1198">
        <v>3</v>
      </c>
      <c r="C1198" t="s">
        <v>55</v>
      </c>
      <c r="D1198">
        <v>10</v>
      </c>
      <c r="E1198" t="s">
        <v>36</v>
      </c>
      <c r="F1198" t="s">
        <v>37</v>
      </c>
      <c r="G1198" t="s">
        <v>38</v>
      </c>
      <c r="H1198" t="s">
        <v>83</v>
      </c>
      <c r="I1198" t="s">
        <v>190</v>
      </c>
      <c r="J1198" t="s">
        <v>58</v>
      </c>
      <c r="K1198" t="s">
        <v>59</v>
      </c>
      <c r="M1198" t="s">
        <v>213</v>
      </c>
      <c r="N1198" t="s">
        <v>61</v>
      </c>
      <c r="O1198" t="s">
        <v>43</v>
      </c>
      <c r="Q1198" t="s">
        <v>62</v>
      </c>
      <c r="R1198" t="s">
        <v>214</v>
      </c>
      <c r="S1198" t="s">
        <v>215</v>
      </c>
      <c r="T1198" t="s">
        <v>47</v>
      </c>
      <c r="U1198" t="s">
        <v>118</v>
      </c>
      <c r="V1198" t="s">
        <v>49</v>
      </c>
      <c r="W1198" t="s">
        <v>119</v>
      </c>
      <c r="X1198" t="s">
        <v>51</v>
      </c>
      <c r="Y1198" t="s">
        <v>122</v>
      </c>
      <c r="Z1198" t="s">
        <v>64</v>
      </c>
      <c r="AA1198" t="s">
        <v>123</v>
      </c>
      <c r="AB1198" s="3">
        <f t="shared" si="149"/>
        <v>6.0000000000000844</v>
      </c>
      <c r="AC1198">
        <v>1419.32</v>
      </c>
      <c r="AD1198" s="2">
        <v>236.55333333332999</v>
      </c>
      <c r="AE1198" s="2">
        <v>317.02999999999997</v>
      </c>
      <c r="AF1198" s="2">
        <v>10.4</v>
      </c>
      <c r="AG1198" s="2">
        <v>1746.74</v>
      </c>
      <c r="AH1198">
        <v>0</v>
      </c>
      <c r="AI1198">
        <v>291.12333333332998</v>
      </c>
      <c r="AJ1198">
        <v>8.7337000000000007</v>
      </c>
      <c r="AK1198" t="s">
        <v>54</v>
      </c>
      <c r="AL1198">
        <v>13.21</v>
      </c>
      <c r="AM1198" s="4">
        <f t="shared" si="150"/>
        <v>291.12333333332924</v>
      </c>
      <c r="AN1198" s="4">
        <f t="shared" si="151"/>
        <v>443.53749999999371</v>
      </c>
      <c r="AO1198" s="4">
        <f t="shared" si="152"/>
        <v>492.77016249999303</v>
      </c>
      <c r="AP1198" s="4">
        <f t="shared" si="153"/>
        <v>718.48639624998975</v>
      </c>
      <c r="AQ1198" s="10">
        <f t="shared" si="154"/>
        <v>506.29258899999292</v>
      </c>
      <c r="AR1198" s="10">
        <f t="shared" si="155"/>
        <v>562.54169563789208</v>
      </c>
      <c r="AS1198" s="10">
        <f t="shared" si="156"/>
        <v>788.19630255518894</v>
      </c>
    </row>
    <row r="1199" spans="1:45" x14ac:dyDescent="0.3">
      <c r="A1199">
        <v>2025</v>
      </c>
      <c r="B1199">
        <v>4</v>
      </c>
      <c r="C1199" t="s">
        <v>55</v>
      </c>
      <c r="D1199">
        <v>10</v>
      </c>
      <c r="E1199" t="s">
        <v>36</v>
      </c>
      <c r="F1199" t="s">
        <v>37</v>
      </c>
      <c r="G1199" t="s">
        <v>38</v>
      </c>
      <c r="H1199" t="s">
        <v>83</v>
      </c>
      <c r="I1199" t="s">
        <v>190</v>
      </c>
      <c r="J1199" t="s">
        <v>58</v>
      </c>
      <c r="K1199" t="s">
        <v>59</v>
      </c>
      <c r="M1199" t="s">
        <v>383</v>
      </c>
      <c r="N1199" t="s">
        <v>384</v>
      </c>
      <c r="O1199" t="s">
        <v>36</v>
      </c>
      <c r="Q1199" t="s">
        <v>62</v>
      </c>
      <c r="R1199" t="s">
        <v>385</v>
      </c>
      <c r="S1199" t="s">
        <v>385</v>
      </c>
      <c r="T1199" t="s">
        <v>47</v>
      </c>
      <c r="U1199" t="s">
        <v>118</v>
      </c>
      <c r="V1199" t="s">
        <v>49</v>
      </c>
      <c r="W1199" t="s">
        <v>119</v>
      </c>
      <c r="X1199" t="s">
        <v>388</v>
      </c>
      <c r="Y1199" t="s">
        <v>122</v>
      </c>
      <c r="Z1199" t="s">
        <v>64</v>
      </c>
      <c r="AA1199" t="s">
        <v>123</v>
      </c>
      <c r="AB1199" s="3">
        <f t="shared" si="149"/>
        <v>10</v>
      </c>
      <c r="AC1199">
        <v>2402.4899999999998</v>
      </c>
      <c r="AD1199" s="2">
        <v>240.249</v>
      </c>
      <c r="AE1199" s="2">
        <v>504.17</v>
      </c>
      <c r="AF1199" s="2">
        <v>17.78</v>
      </c>
      <c r="AG1199" s="2">
        <v>2924.44</v>
      </c>
      <c r="AH1199">
        <v>0</v>
      </c>
      <c r="AI1199">
        <v>292.44400000000002</v>
      </c>
      <c r="AJ1199">
        <v>14.622199999999999</v>
      </c>
      <c r="AK1199" t="s">
        <v>54</v>
      </c>
      <c r="AL1199">
        <v>19.440000000000001</v>
      </c>
      <c r="AM1199" s="4">
        <f t="shared" si="150"/>
        <v>292.44400000000002</v>
      </c>
      <c r="AN1199" s="4">
        <f t="shared" si="151"/>
        <v>450.46687500000002</v>
      </c>
      <c r="AO1199" s="4">
        <f t="shared" si="152"/>
        <v>500.468698125</v>
      </c>
      <c r="AP1199" s="4">
        <f t="shared" si="153"/>
        <v>729.71129081250001</v>
      </c>
      <c r="AQ1199" s="10">
        <f t="shared" si="154"/>
        <v>508.58936040000003</v>
      </c>
      <c r="AR1199" s="10">
        <f t="shared" si="155"/>
        <v>565.09363834044007</v>
      </c>
      <c r="AS1199" s="10">
        <f t="shared" si="156"/>
        <v>791.77191627072</v>
      </c>
    </row>
    <row r="1200" spans="1:45" x14ac:dyDescent="0.3">
      <c r="A1200">
        <v>2025</v>
      </c>
      <c r="B1200">
        <v>11</v>
      </c>
      <c r="C1200" t="s">
        <v>55</v>
      </c>
      <c r="D1200">
        <v>10</v>
      </c>
      <c r="E1200" t="s">
        <v>36</v>
      </c>
      <c r="F1200" t="s">
        <v>37</v>
      </c>
      <c r="G1200" t="s">
        <v>38</v>
      </c>
      <c r="H1200" t="s">
        <v>83</v>
      </c>
      <c r="I1200" t="s">
        <v>190</v>
      </c>
      <c r="J1200" t="s">
        <v>58</v>
      </c>
      <c r="K1200" t="s">
        <v>59</v>
      </c>
      <c r="L1200" t="s">
        <v>1629</v>
      </c>
      <c r="M1200" t="s">
        <v>1630</v>
      </c>
      <c r="N1200" t="s">
        <v>1485</v>
      </c>
      <c r="O1200" t="s">
        <v>1197</v>
      </c>
      <c r="Q1200" t="s">
        <v>62</v>
      </c>
      <c r="R1200" t="s">
        <v>1631</v>
      </c>
      <c r="S1200" t="s">
        <v>1631</v>
      </c>
      <c r="T1200" t="s">
        <v>47</v>
      </c>
      <c r="U1200" t="s">
        <v>118</v>
      </c>
      <c r="V1200" t="s">
        <v>49</v>
      </c>
      <c r="W1200" t="s">
        <v>714</v>
      </c>
      <c r="X1200" t="s">
        <v>1578</v>
      </c>
      <c r="Y1200" t="s">
        <v>515</v>
      </c>
      <c r="Z1200" t="s">
        <v>515</v>
      </c>
      <c r="AA1200" t="s">
        <v>123</v>
      </c>
      <c r="AB1200" s="3">
        <f t="shared" si="149"/>
        <v>6.0000000000000888</v>
      </c>
      <c r="AC1200">
        <v>1338.35</v>
      </c>
      <c r="AD1200" s="2">
        <v>223.05833333333001</v>
      </c>
      <c r="AE1200" s="2">
        <v>91.95</v>
      </c>
      <c r="AF1200" s="2">
        <v>9.01</v>
      </c>
      <c r="AG1200" s="2">
        <v>1439.3</v>
      </c>
      <c r="AH1200">
        <v>0</v>
      </c>
      <c r="AI1200">
        <v>239.88333333333</v>
      </c>
      <c r="AJ1200">
        <v>7.1965000000000003</v>
      </c>
      <c r="AK1200" t="s">
        <v>54</v>
      </c>
      <c r="AL1200">
        <v>4.68</v>
      </c>
      <c r="AM1200" s="4">
        <f t="shared" si="150"/>
        <v>239.88333333332977</v>
      </c>
      <c r="AN1200" s="4">
        <f t="shared" si="151"/>
        <v>418.23437499999375</v>
      </c>
      <c r="AO1200" s="4">
        <f t="shared" si="152"/>
        <v>464.65839062499305</v>
      </c>
      <c r="AP1200" s="4">
        <f t="shared" si="153"/>
        <v>677.49786406248984</v>
      </c>
      <c r="AQ1200" s="10">
        <f t="shared" si="154"/>
        <v>417.18110499999381</v>
      </c>
      <c r="AR1200" s="10">
        <f t="shared" si="155"/>
        <v>463.52992576549309</v>
      </c>
      <c r="AS1200" s="10">
        <f t="shared" si="156"/>
        <v>649.46754426399036</v>
      </c>
    </row>
    <row r="1201" spans="1:45" x14ac:dyDescent="0.3">
      <c r="A1201">
        <v>2025</v>
      </c>
      <c r="B1201">
        <v>1</v>
      </c>
      <c r="C1201" t="s">
        <v>55</v>
      </c>
      <c r="D1201">
        <v>10</v>
      </c>
      <c r="E1201" t="s">
        <v>36</v>
      </c>
      <c r="F1201" t="s">
        <v>37</v>
      </c>
      <c r="G1201" t="s">
        <v>38</v>
      </c>
      <c r="H1201" t="s">
        <v>83</v>
      </c>
      <c r="I1201" t="s">
        <v>57</v>
      </c>
      <c r="J1201" t="s">
        <v>58</v>
      </c>
      <c r="K1201" t="s">
        <v>59</v>
      </c>
      <c r="M1201" t="s">
        <v>60</v>
      </c>
      <c r="N1201" t="s">
        <v>61</v>
      </c>
      <c r="O1201" t="s">
        <v>43</v>
      </c>
      <c r="Q1201" t="s">
        <v>62</v>
      </c>
      <c r="R1201" t="s">
        <v>63</v>
      </c>
      <c r="S1201" t="s">
        <v>63</v>
      </c>
      <c r="T1201" t="s">
        <v>47</v>
      </c>
      <c r="U1201" t="s">
        <v>118</v>
      </c>
      <c r="V1201" t="s">
        <v>49</v>
      </c>
      <c r="W1201" t="s">
        <v>119</v>
      </c>
      <c r="X1201" t="s">
        <v>51</v>
      </c>
      <c r="Y1201" t="s">
        <v>1704</v>
      </c>
      <c r="Z1201" t="s">
        <v>1704</v>
      </c>
      <c r="AA1201" t="s">
        <v>123</v>
      </c>
      <c r="AB1201" s="3">
        <f t="shared" si="149"/>
        <v>4</v>
      </c>
      <c r="AC1201">
        <v>791.8</v>
      </c>
      <c r="AD1201" s="2">
        <v>197.95</v>
      </c>
      <c r="AE1201" s="2">
        <v>206.16</v>
      </c>
      <c r="AF1201" s="2">
        <v>6.1</v>
      </c>
      <c r="AG1201" s="2">
        <v>1004.6</v>
      </c>
      <c r="AH1201">
        <v>0</v>
      </c>
      <c r="AI1201">
        <v>251.15</v>
      </c>
      <c r="AJ1201">
        <v>5.0229999999999997</v>
      </c>
      <c r="AK1201" t="s">
        <v>54</v>
      </c>
      <c r="AL1201">
        <v>9.9700000000000006</v>
      </c>
      <c r="AM1201" s="4">
        <f t="shared" si="150"/>
        <v>251.15</v>
      </c>
      <c r="AN1201" s="4">
        <f t="shared" si="151"/>
        <v>371.15625</v>
      </c>
      <c r="AO1201" s="4">
        <f t="shared" si="152"/>
        <v>412.35459374999999</v>
      </c>
      <c r="AP1201" s="4">
        <f t="shared" si="153"/>
        <v>601.23600937499998</v>
      </c>
      <c r="AQ1201" s="10">
        <f t="shared" si="154"/>
        <v>436.77496500000001</v>
      </c>
      <c r="AR1201" s="10">
        <f t="shared" si="155"/>
        <v>485.3006636115</v>
      </c>
      <c r="AS1201" s="10">
        <f t="shared" si="156"/>
        <v>679.97126551199995</v>
      </c>
    </row>
    <row r="1202" spans="1:45" x14ac:dyDescent="0.3">
      <c r="A1202">
        <v>2025</v>
      </c>
      <c r="B1202">
        <v>1</v>
      </c>
      <c r="C1202" t="s">
        <v>55</v>
      </c>
      <c r="D1202">
        <v>10</v>
      </c>
      <c r="E1202" t="s">
        <v>36</v>
      </c>
      <c r="F1202" t="s">
        <v>37</v>
      </c>
      <c r="G1202" t="s">
        <v>38</v>
      </c>
      <c r="H1202" t="s">
        <v>78</v>
      </c>
      <c r="I1202" t="s">
        <v>57</v>
      </c>
      <c r="J1202" t="s">
        <v>58</v>
      </c>
      <c r="K1202" t="s">
        <v>59</v>
      </c>
      <c r="M1202" t="s">
        <v>60</v>
      </c>
      <c r="N1202" t="s">
        <v>61</v>
      </c>
      <c r="O1202" t="s">
        <v>43</v>
      </c>
      <c r="Q1202" t="s">
        <v>62</v>
      </c>
      <c r="R1202" t="s">
        <v>63</v>
      </c>
      <c r="S1202" t="s">
        <v>63</v>
      </c>
      <c r="T1202" t="s">
        <v>47</v>
      </c>
      <c r="U1202" t="s">
        <v>118</v>
      </c>
      <c r="V1202" t="s">
        <v>49</v>
      </c>
      <c r="W1202" t="s">
        <v>119</v>
      </c>
      <c r="X1202" t="s">
        <v>51</v>
      </c>
      <c r="Y1202" t="s">
        <v>122</v>
      </c>
      <c r="Z1202" t="s">
        <v>64</v>
      </c>
      <c r="AA1202" t="s">
        <v>124</v>
      </c>
      <c r="AB1202" s="3">
        <f t="shared" si="149"/>
        <v>2.9999999999999996</v>
      </c>
      <c r="AC1202">
        <v>1105.1099999999999</v>
      </c>
      <c r="AD1202" s="2">
        <v>368.37</v>
      </c>
      <c r="AE1202" s="2">
        <v>265.51</v>
      </c>
      <c r="AF1202" s="2">
        <v>7.63</v>
      </c>
      <c r="AG1202" s="2">
        <v>1378.25</v>
      </c>
      <c r="AH1202">
        <v>0</v>
      </c>
      <c r="AI1202">
        <v>459.41666666666998</v>
      </c>
      <c r="AJ1202">
        <v>6.8912500000000003</v>
      </c>
      <c r="AK1202" t="s">
        <v>54</v>
      </c>
      <c r="AL1202">
        <v>9.02</v>
      </c>
      <c r="AM1202" s="4">
        <f t="shared" si="150"/>
        <v>459.41666666666674</v>
      </c>
      <c r="AN1202" s="4">
        <f t="shared" si="151"/>
        <v>690.69375000000002</v>
      </c>
      <c r="AO1202" s="4">
        <f t="shared" si="152"/>
        <v>767.36075625000001</v>
      </c>
      <c r="AP1202" s="4">
        <f t="shared" si="153"/>
        <v>1118.8548056249999</v>
      </c>
      <c r="AQ1202" s="10">
        <f t="shared" si="154"/>
        <v>798.97152500000016</v>
      </c>
      <c r="AR1202" s="10">
        <f t="shared" si="155"/>
        <v>887.73726142750013</v>
      </c>
      <c r="AS1202" s="10">
        <f t="shared" si="156"/>
        <v>1243.8388701200001</v>
      </c>
    </row>
    <row r="1203" spans="1:45" x14ac:dyDescent="0.3">
      <c r="A1203">
        <v>2025</v>
      </c>
      <c r="B1203">
        <v>3</v>
      </c>
      <c r="C1203" t="s">
        <v>55</v>
      </c>
      <c r="D1203">
        <v>10</v>
      </c>
      <c r="E1203" t="s">
        <v>36</v>
      </c>
      <c r="F1203" t="s">
        <v>37</v>
      </c>
      <c r="G1203" t="s">
        <v>38</v>
      </c>
      <c r="H1203" t="s">
        <v>78</v>
      </c>
      <c r="I1203" t="s">
        <v>190</v>
      </c>
      <c r="J1203" t="s">
        <v>58</v>
      </c>
      <c r="K1203" t="s">
        <v>59</v>
      </c>
      <c r="M1203" t="s">
        <v>213</v>
      </c>
      <c r="N1203" t="s">
        <v>61</v>
      </c>
      <c r="O1203" t="s">
        <v>43</v>
      </c>
      <c r="Q1203" t="s">
        <v>62</v>
      </c>
      <c r="R1203" t="s">
        <v>214</v>
      </c>
      <c r="S1203" t="s">
        <v>215</v>
      </c>
      <c r="T1203" t="s">
        <v>47</v>
      </c>
      <c r="U1203" t="s">
        <v>118</v>
      </c>
      <c r="V1203" t="s">
        <v>49</v>
      </c>
      <c r="W1203" t="s">
        <v>119</v>
      </c>
      <c r="X1203" t="s">
        <v>51</v>
      </c>
      <c r="Y1203" t="s">
        <v>125</v>
      </c>
      <c r="Z1203" t="s">
        <v>64</v>
      </c>
      <c r="AA1203" t="s">
        <v>126</v>
      </c>
      <c r="AB1203" s="3">
        <f t="shared" si="149"/>
        <v>5.9999999999999991</v>
      </c>
      <c r="AC1203">
        <v>2288.85</v>
      </c>
      <c r="AD1203" s="2">
        <v>381.47500000000002</v>
      </c>
      <c r="AE1203" s="2">
        <v>549.91</v>
      </c>
      <c r="AF1203" s="2">
        <v>15.81</v>
      </c>
      <c r="AG1203" s="2">
        <v>2854.56</v>
      </c>
      <c r="AH1203">
        <v>0</v>
      </c>
      <c r="AI1203">
        <v>475.76</v>
      </c>
      <c r="AJ1203">
        <v>14.2728</v>
      </c>
      <c r="AK1203" t="s">
        <v>54</v>
      </c>
      <c r="AL1203">
        <v>18.03</v>
      </c>
      <c r="AM1203" s="4">
        <f t="shared" si="150"/>
        <v>475.76000000000005</v>
      </c>
      <c r="AN1203" s="4">
        <f t="shared" si="151"/>
        <v>715.265625</v>
      </c>
      <c r="AO1203" s="4">
        <f t="shared" si="152"/>
        <v>794.66010937500005</v>
      </c>
      <c r="AP1203" s="4">
        <f t="shared" si="153"/>
        <v>1158.6587859374999</v>
      </c>
      <c r="AQ1203" s="10">
        <f t="shared" si="154"/>
        <v>827.39421600000014</v>
      </c>
      <c r="AR1203" s="10">
        <f t="shared" si="155"/>
        <v>919.31771339760019</v>
      </c>
      <c r="AS1203" s="10">
        <f t="shared" si="156"/>
        <v>1288.0873154688002</v>
      </c>
    </row>
    <row r="1204" spans="1:45" x14ac:dyDescent="0.3">
      <c r="A1204">
        <v>2025</v>
      </c>
      <c r="B1204">
        <v>3</v>
      </c>
      <c r="C1204" t="s">
        <v>55</v>
      </c>
      <c r="D1204">
        <v>10</v>
      </c>
      <c r="E1204" t="s">
        <v>36</v>
      </c>
      <c r="F1204" t="s">
        <v>37</v>
      </c>
      <c r="G1204" t="s">
        <v>38</v>
      </c>
      <c r="H1204" t="s">
        <v>78</v>
      </c>
      <c r="I1204" t="s">
        <v>190</v>
      </c>
      <c r="J1204" t="s">
        <v>58</v>
      </c>
      <c r="K1204" t="s">
        <v>59</v>
      </c>
      <c r="M1204" t="s">
        <v>213</v>
      </c>
      <c r="N1204" t="s">
        <v>61</v>
      </c>
      <c r="O1204" t="s">
        <v>43</v>
      </c>
      <c r="Q1204" t="s">
        <v>62</v>
      </c>
      <c r="R1204" t="s">
        <v>214</v>
      </c>
      <c r="S1204" t="s">
        <v>215</v>
      </c>
      <c r="T1204" t="s">
        <v>47</v>
      </c>
      <c r="U1204" t="s">
        <v>118</v>
      </c>
      <c r="V1204" t="s">
        <v>49</v>
      </c>
      <c r="W1204" t="s">
        <v>119</v>
      </c>
      <c r="X1204" t="s">
        <v>51</v>
      </c>
      <c r="Y1204" t="s">
        <v>125</v>
      </c>
      <c r="Z1204" t="s">
        <v>64</v>
      </c>
      <c r="AA1204" t="s">
        <v>126</v>
      </c>
      <c r="AB1204" s="3">
        <f t="shared" si="149"/>
        <v>8</v>
      </c>
      <c r="AC1204">
        <v>3060.96</v>
      </c>
      <c r="AD1204" s="2">
        <v>382.62</v>
      </c>
      <c r="AE1204" s="2">
        <v>642.35</v>
      </c>
      <c r="AF1204" s="2">
        <v>22.66</v>
      </c>
      <c r="AG1204" s="2">
        <v>3725.97</v>
      </c>
      <c r="AH1204">
        <v>0</v>
      </c>
      <c r="AI1204">
        <v>465.74624999999997</v>
      </c>
      <c r="AJ1204">
        <v>18.629850000000001</v>
      </c>
      <c r="AK1204" t="s">
        <v>54</v>
      </c>
      <c r="AL1204">
        <v>15.55</v>
      </c>
      <c r="AM1204" s="4">
        <f t="shared" si="150"/>
        <v>465.74624999999997</v>
      </c>
      <c r="AN1204" s="4">
        <f t="shared" si="151"/>
        <v>717.41250000000002</v>
      </c>
      <c r="AO1204" s="4">
        <f t="shared" si="152"/>
        <v>797.04528749999997</v>
      </c>
      <c r="AP1204" s="4">
        <f t="shared" si="153"/>
        <v>1162.1365087500001</v>
      </c>
      <c r="AQ1204" s="10">
        <f t="shared" si="154"/>
        <v>809.97930337499997</v>
      </c>
      <c r="AR1204" s="10">
        <f t="shared" si="155"/>
        <v>899.96800397996242</v>
      </c>
      <c r="AS1204" s="10">
        <f t="shared" si="156"/>
        <v>1260.9757794942</v>
      </c>
    </row>
    <row r="1205" spans="1:45" x14ac:dyDescent="0.3">
      <c r="A1205">
        <v>2025</v>
      </c>
      <c r="B1205">
        <v>4</v>
      </c>
      <c r="C1205" t="s">
        <v>55</v>
      </c>
      <c r="D1205">
        <v>10</v>
      </c>
      <c r="E1205" t="s">
        <v>36</v>
      </c>
      <c r="F1205" t="s">
        <v>37</v>
      </c>
      <c r="G1205" t="s">
        <v>38</v>
      </c>
      <c r="H1205" t="s">
        <v>78</v>
      </c>
      <c r="I1205" t="s">
        <v>375</v>
      </c>
      <c r="J1205" t="s">
        <v>376</v>
      </c>
      <c r="K1205" t="s">
        <v>59</v>
      </c>
      <c r="M1205">
        <v>2503061</v>
      </c>
      <c r="N1205" t="s">
        <v>377</v>
      </c>
      <c r="O1205" t="s">
        <v>36</v>
      </c>
      <c r="Q1205" t="s">
        <v>62</v>
      </c>
      <c r="R1205" t="s">
        <v>378</v>
      </c>
      <c r="S1205" t="s">
        <v>378</v>
      </c>
      <c r="T1205" t="s">
        <v>47</v>
      </c>
      <c r="U1205" t="s">
        <v>118</v>
      </c>
      <c r="V1205" t="s">
        <v>49</v>
      </c>
      <c r="W1205" t="s">
        <v>119</v>
      </c>
      <c r="X1205" t="s">
        <v>51</v>
      </c>
      <c r="Y1205" t="s">
        <v>125</v>
      </c>
      <c r="Z1205" t="s">
        <v>64</v>
      </c>
      <c r="AA1205" t="s">
        <v>126</v>
      </c>
      <c r="AB1205" s="3">
        <f t="shared" si="149"/>
        <v>2</v>
      </c>
      <c r="AC1205">
        <v>765.24</v>
      </c>
      <c r="AD1205" s="2">
        <v>382.62</v>
      </c>
      <c r="AE1205" s="2">
        <v>160.59</v>
      </c>
      <c r="AF1205" s="2">
        <v>5.66</v>
      </c>
      <c r="AG1205" s="2">
        <v>931.49</v>
      </c>
      <c r="AH1205">
        <v>0</v>
      </c>
      <c r="AI1205">
        <v>465.745</v>
      </c>
      <c r="AJ1205">
        <v>4.6574499999999999</v>
      </c>
      <c r="AK1205" t="s">
        <v>54</v>
      </c>
      <c r="AL1205">
        <v>3.89</v>
      </c>
      <c r="AM1205" s="4">
        <f t="shared" si="150"/>
        <v>465.745</v>
      </c>
      <c r="AN1205" s="4">
        <f t="shared" si="151"/>
        <v>717.41250000000002</v>
      </c>
      <c r="AO1205" s="4">
        <f t="shared" si="152"/>
        <v>797.04528749999997</v>
      </c>
      <c r="AP1205" s="4">
        <f t="shared" si="153"/>
        <v>1162.1365087500001</v>
      </c>
      <c r="AQ1205" s="10">
        <f t="shared" si="154"/>
        <v>809.97712950000005</v>
      </c>
      <c r="AR1205" s="10">
        <f t="shared" si="155"/>
        <v>899.96558858745004</v>
      </c>
      <c r="AS1205" s="10">
        <f t="shared" si="156"/>
        <v>1260.9723952056002</v>
      </c>
    </row>
    <row r="1206" spans="1:45" x14ac:dyDescent="0.3">
      <c r="A1206">
        <v>2025</v>
      </c>
      <c r="B1206">
        <v>4</v>
      </c>
      <c r="C1206" t="s">
        <v>55</v>
      </c>
      <c r="D1206">
        <v>10</v>
      </c>
      <c r="E1206" t="s">
        <v>36</v>
      </c>
      <c r="F1206" t="s">
        <v>37</v>
      </c>
      <c r="G1206" t="s">
        <v>38</v>
      </c>
      <c r="H1206" t="s">
        <v>78</v>
      </c>
      <c r="I1206" t="s">
        <v>375</v>
      </c>
      <c r="J1206" t="s">
        <v>376</v>
      </c>
      <c r="K1206" t="s">
        <v>59</v>
      </c>
      <c r="M1206">
        <v>2503061</v>
      </c>
      <c r="N1206" t="s">
        <v>377</v>
      </c>
      <c r="O1206" t="s">
        <v>36</v>
      </c>
      <c r="Q1206" t="s">
        <v>62</v>
      </c>
      <c r="R1206" t="s">
        <v>378</v>
      </c>
      <c r="S1206" t="s">
        <v>378</v>
      </c>
      <c r="T1206" t="s">
        <v>47</v>
      </c>
      <c r="U1206" t="s">
        <v>118</v>
      </c>
      <c r="V1206" t="s">
        <v>49</v>
      </c>
      <c r="W1206" t="s">
        <v>119</v>
      </c>
      <c r="X1206" t="s">
        <v>51</v>
      </c>
      <c r="Y1206" t="s">
        <v>125</v>
      </c>
      <c r="Z1206" t="s">
        <v>125</v>
      </c>
      <c r="AA1206" t="s">
        <v>126</v>
      </c>
      <c r="AB1206" s="3">
        <f t="shared" si="149"/>
        <v>5.9999999999999449</v>
      </c>
      <c r="AC1206">
        <v>2213.9499999999998</v>
      </c>
      <c r="AD1206" s="2">
        <v>368.99166666667003</v>
      </c>
      <c r="AE1206" s="2">
        <v>89.89</v>
      </c>
      <c r="AF1206" s="2">
        <v>15.78</v>
      </c>
      <c r="AG1206" s="2">
        <v>2319.62</v>
      </c>
      <c r="AH1206">
        <v>0</v>
      </c>
      <c r="AI1206">
        <v>386.60333333333</v>
      </c>
      <c r="AJ1206">
        <v>11.598100000000001</v>
      </c>
      <c r="AK1206" t="s">
        <v>54</v>
      </c>
      <c r="AL1206">
        <v>4.29</v>
      </c>
      <c r="AM1206" s="4">
        <f t="shared" si="150"/>
        <v>386.60333333333688</v>
      </c>
      <c r="AN1206" s="4">
        <f t="shared" si="151"/>
        <v>691.85937500000625</v>
      </c>
      <c r="AO1206" s="4">
        <f t="shared" si="152"/>
        <v>768.65576562500689</v>
      </c>
      <c r="AP1206" s="4">
        <f t="shared" si="153"/>
        <v>1120.74300156251</v>
      </c>
      <c r="AQ1206" s="10">
        <f t="shared" si="154"/>
        <v>672.34185700000614</v>
      </c>
      <c r="AR1206" s="10">
        <f t="shared" si="155"/>
        <v>747.0390373127068</v>
      </c>
      <c r="AS1206" s="10">
        <f t="shared" si="156"/>
        <v>1046.7018029776095</v>
      </c>
    </row>
    <row r="1207" spans="1:45" x14ac:dyDescent="0.3">
      <c r="A1207">
        <v>2025</v>
      </c>
      <c r="B1207">
        <v>4</v>
      </c>
      <c r="C1207" t="s">
        <v>55</v>
      </c>
      <c r="D1207">
        <v>10</v>
      </c>
      <c r="E1207" t="s">
        <v>36</v>
      </c>
      <c r="F1207" t="s">
        <v>37</v>
      </c>
      <c r="G1207" t="s">
        <v>38</v>
      </c>
      <c r="H1207" t="s">
        <v>78</v>
      </c>
      <c r="I1207" t="s">
        <v>190</v>
      </c>
      <c r="J1207" t="s">
        <v>58</v>
      </c>
      <c r="K1207" t="s">
        <v>59</v>
      </c>
      <c r="M1207" t="s">
        <v>383</v>
      </c>
      <c r="N1207" t="s">
        <v>384</v>
      </c>
      <c r="O1207" t="s">
        <v>36</v>
      </c>
      <c r="Q1207" t="s">
        <v>62</v>
      </c>
      <c r="R1207" t="s">
        <v>385</v>
      </c>
      <c r="S1207" t="s">
        <v>385</v>
      </c>
      <c r="T1207" t="s">
        <v>47</v>
      </c>
      <c r="U1207" t="s">
        <v>118</v>
      </c>
      <c r="V1207" t="s">
        <v>49</v>
      </c>
      <c r="W1207" t="s">
        <v>119</v>
      </c>
      <c r="X1207" t="s">
        <v>388</v>
      </c>
      <c r="Y1207" t="s">
        <v>125</v>
      </c>
      <c r="Z1207" t="s">
        <v>125</v>
      </c>
      <c r="AA1207" t="s">
        <v>126</v>
      </c>
      <c r="AB1207" s="3">
        <f t="shared" si="149"/>
        <v>5</v>
      </c>
      <c r="AC1207">
        <v>1850.59</v>
      </c>
      <c r="AD1207" s="2">
        <v>370.11799999999999</v>
      </c>
      <c r="AE1207" s="2">
        <v>117.97</v>
      </c>
      <c r="AF1207" s="2">
        <v>13.19</v>
      </c>
      <c r="AG1207" s="2">
        <v>1981.75</v>
      </c>
      <c r="AH1207">
        <v>0</v>
      </c>
      <c r="AI1207">
        <v>396.35</v>
      </c>
      <c r="AJ1207">
        <v>9.9087499999999995</v>
      </c>
      <c r="AK1207" t="s">
        <v>54</v>
      </c>
      <c r="AL1207">
        <v>5.63</v>
      </c>
      <c r="AM1207" s="4">
        <f t="shared" si="150"/>
        <v>396.35</v>
      </c>
      <c r="AN1207" s="4">
        <f t="shared" si="151"/>
        <v>693.97124999999994</v>
      </c>
      <c r="AO1207" s="4">
        <f t="shared" si="152"/>
        <v>771.00205874999995</v>
      </c>
      <c r="AP1207" s="4">
        <f t="shared" si="153"/>
        <v>1124.1640278749999</v>
      </c>
      <c r="AQ1207" s="10">
        <f t="shared" si="154"/>
        <v>689.29228500000011</v>
      </c>
      <c r="AR1207" s="10">
        <f t="shared" si="155"/>
        <v>765.87265786350008</v>
      </c>
      <c r="AS1207" s="10">
        <f t="shared" si="156"/>
        <v>1073.090229288</v>
      </c>
    </row>
    <row r="1208" spans="1:45" x14ac:dyDescent="0.3">
      <c r="A1208">
        <v>2025</v>
      </c>
      <c r="B1208">
        <v>8</v>
      </c>
      <c r="C1208" t="s">
        <v>55</v>
      </c>
      <c r="D1208">
        <v>10</v>
      </c>
      <c r="E1208" t="s">
        <v>36</v>
      </c>
      <c r="F1208" t="s">
        <v>37</v>
      </c>
      <c r="G1208" t="s">
        <v>38</v>
      </c>
      <c r="H1208" t="s">
        <v>78</v>
      </c>
      <c r="I1208" t="s">
        <v>190</v>
      </c>
      <c r="J1208" t="s">
        <v>58</v>
      </c>
      <c r="K1208" t="s">
        <v>59</v>
      </c>
      <c r="L1208" t="s">
        <v>1194</v>
      </c>
      <c r="M1208" t="s">
        <v>1195</v>
      </c>
      <c r="N1208" t="s">
        <v>1196</v>
      </c>
      <c r="O1208" t="s">
        <v>1197</v>
      </c>
      <c r="Q1208" t="s">
        <v>62</v>
      </c>
      <c r="R1208" t="s">
        <v>1198</v>
      </c>
      <c r="S1208" t="s">
        <v>1198</v>
      </c>
      <c r="T1208" t="s">
        <v>47</v>
      </c>
      <c r="U1208" t="s">
        <v>118</v>
      </c>
      <c r="V1208" t="s">
        <v>49</v>
      </c>
      <c r="W1208" t="s">
        <v>714</v>
      </c>
      <c r="X1208" t="s">
        <v>388</v>
      </c>
      <c r="Y1208" t="s">
        <v>125</v>
      </c>
      <c r="Z1208" t="s">
        <v>125</v>
      </c>
      <c r="AA1208" t="s">
        <v>126</v>
      </c>
      <c r="AB1208" s="3">
        <f t="shared" si="149"/>
        <v>8</v>
      </c>
      <c r="AC1208">
        <v>2981.02</v>
      </c>
      <c r="AD1208" s="2">
        <v>372.6275</v>
      </c>
      <c r="AE1208" s="2">
        <v>122.59</v>
      </c>
      <c r="AF1208" s="2">
        <v>20.27</v>
      </c>
      <c r="AG1208" s="2">
        <v>3123.88</v>
      </c>
      <c r="AH1208">
        <v>0</v>
      </c>
      <c r="AI1208">
        <v>390.48500000000001</v>
      </c>
      <c r="AJ1208">
        <v>15.619400000000001</v>
      </c>
      <c r="AK1208" t="s">
        <v>54</v>
      </c>
      <c r="AL1208">
        <v>6.24</v>
      </c>
      <c r="AM1208" s="4">
        <f t="shared" si="150"/>
        <v>390.48500000000001</v>
      </c>
      <c r="AN1208" s="4">
        <f t="shared" si="151"/>
        <v>698.67656250000005</v>
      </c>
      <c r="AO1208" s="4">
        <f t="shared" si="152"/>
        <v>776.22966093750006</v>
      </c>
      <c r="AP1208" s="4">
        <f t="shared" si="153"/>
        <v>1131.78616359375</v>
      </c>
      <c r="AQ1208" s="10">
        <f t="shared" si="154"/>
        <v>679.09246350000001</v>
      </c>
      <c r="AR1208" s="10">
        <f t="shared" si="155"/>
        <v>754.53963619485</v>
      </c>
      <c r="AS1208" s="10">
        <f t="shared" si="156"/>
        <v>1057.2111471768001</v>
      </c>
    </row>
    <row r="1209" spans="1:45" x14ac:dyDescent="0.3">
      <c r="A1209">
        <v>2025</v>
      </c>
      <c r="B1209">
        <v>8</v>
      </c>
      <c r="C1209" t="s">
        <v>55</v>
      </c>
      <c r="D1209">
        <v>10</v>
      </c>
      <c r="E1209" t="s">
        <v>36</v>
      </c>
      <c r="F1209" t="s">
        <v>37</v>
      </c>
      <c r="G1209" t="s">
        <v>38</v>
      </c>
      <c r="H1209" t="s">
        <v>78</v>
      </c>
      <c r="I1209" t="s">
        <v>190</v>
      </c>
      <c r="J1209" t="s">
        <v>58</v>
      </c>
      <c r="K1209" t="s">
        <v>59</v>
      </c>
      <c r="L1209" t="s">
        <v>1194</v>
      </c>
      <c r="M1209" t="s">
        <v>1195</v>
      </c>
      <c r="N1209" t="s">
        <v>1196</v>
      </c>
      <c r="O1209" t="s">
        <v>1197</v>
      </c>
      <c r="Q1209" t="s">
        <v>62</v>
      </c>
      <c r="R1209" t="s">
        <v>1198</v>
      </c>
      <c r="S1209" t="s">
        <v>1198</v>
      </c>
      <c r="T1209" t="s">
        <v>47</v>
      </c>
      <c r="U1209" t="s">
        <v>118</v>
      </c>
      <c r="V1209" t="s">
        <v>49</v>
      </c>
      <c r="W1209" t="s">
        <v>714</v>
      </c>
      <c r="X1209" t="s">
        <v>388</v>
      </c>
      <c r="Y1209" t="s">
        <v>824</v>
      </c>
      <c r="Z1209" t="s">
        <v>824</v>
      </c>
      <c r="AA1209" t="s">
        <v>126</v>
      </c>
      <c r="AB1209" s="3">
        <f t="shared" si="149"/>
        <v>5.9999999999999325</v>
      </c>
      <c r="AC1209">
        <v>1769.68</v>
      </c>
      <c r="AD1209" s="2">
        <v>294.94666666667001</v>
      </c>
      <c r="AE1209" s="2">
        <v>126.82</v>
      </c>
      <c r="AF1209" s="2">
        <v>11.45</v>
      </c>
      <c r="AG1209" s="2">
        <v>1907.95</v>
      </c>
      <c r="AH1209">
        <v>0</v>
      </c>
      <c r="AI1209">
        <v>317.99166666667003</v>
      </c>
      <c r="AJ1209">
        <v>9.5397499999999997</v>
      </c>
      <c r="AK1209" t="s">
        <v>54</v>
      </c>
      <c r="AL1209">
        <v>14.9</v>
      </c>
      <c r="AM1209" s="4">
        <f t="shared" si="150"/>
        <v>317.99166666667026</v>
      </c>
      <c r="AN1209" s="4">
        <f t="shared" si="151"/>
        <v>553.02500000000623</v>
      </c>
      <c r="AO1209" s="4">
        <f t="shared" si="152"/>
        <v>614.41077500000688</v>
      </c>
      <c r="AP1209" s="4">
        <f t="shared" si="153"/>
        <v>895.84519750001004</v>
      </c>
      <c r="AQ1209" s="10">
        <f t="shared" si="154"/>
        <v>553.01930750000622</v>
      </c>
      <c r="AR1209" s="10">
        <f t="shared" si="155"/>
        <v>614.45975256325687</v>
      </c>
      <c r="AS1209" s="10">
        <f t="shared" si="156"/>
        <v>860.94045791600968</v>
      </c>
    </row>
    <row r="1210" spans="1:45" x14ac:dyDescent="0.3">
      <c r="A1210">
        <v>2025</v>
      </c>
      <c r="B1210">
        <v>9</v>
      </c>
      <c r="C1210" t="s">
        <v>55</v>
      </c>
      <c r="D1210">
        <v>10</v>
      </c>
      <c r="E1210" t="s">
        <v>36</v>
      </c>
      <c r="F1210" t="s">
        <v>37</v>
      </c>
      <c r="G1210" t="s">
        <v>38</v>
      </c>
      <c r="H1210" t="s">
        <v>78</v>
      </c>
      <c r="I1210" t="s">
        <v>375</v>
      </c>
      <c r="J1210" t="s">
        <v>376</v>
      </c>
      <c r="K1210" t="s">
        <v>59</v>
      </c>
      <c r="L1210" t="s">
        <v>1483</v>
      </c>
      <c r="M1210" t="s">
        <v>1484</v>
      </c>
      <c r="N1210" t="s">
        <v>1485</v>
      </c>
      <c r="O1210" t="s">
        <v>1197</v>
      </c>
      <c r="Q1210" t="s">
        <v>62</v>
      </c>
      <c r="R1210" t="s">
        <v>1486</v>
      </c>
      <c r="S1210" t="s">
        <v>1486</v>
      </c>
      <c r="T1210" t="s">
        <v>47</v>
      </c>
      <c r="U1210" t="s">
        <v>118</v>
      </c>
      <c r="V1210" t="s">
        <v>49</v>
      </c>
      <c r="W1210" t="s">
        <v>714</v>
      </c>
      <c r="X1210" t="s">
        <v>51</v>
      </c>
      <c r="Y1210" t="s">
        <v>824</v>
      </c>
      <c r="Z1210" t="s">
        <v>824</v>
      </c>
      <c r="AA1210" t="s">
        <v>126</v>
      </c>
      <c r="AB1210" s="3">
        <f t="shared" si="149"/>
        <v>10</v>
      </c>
      <c r="AC1210">
        <v>2949.47</v>
      </c>
      <c r="AD1210" s="2">
        <v>294.947</v>
      </c>
      <c r="AE1210" s="2">
        <v>211.37</v>
      </c>
      <c r="AF1210" s="2">
        <v>19.8</v>
      </c>
      <c r="AG1210" s="2">
        <v>3179.92</v>
      </c>
      <c r="AH1210">
        <v>0</v>
      </c>
      <c r="AI1210">
        <v>317.99200000000002</v>
      </c>
      <c r="AJ1210">
        <v>15.8996</v>
      </c>
      <c r="AK1210" t="s">
        <v>54</v>
      </c>
      <c r="AL1210">
        <v>24.83</v>
      </c>
      <c r="AM1210" s="4">
        <f t="shared" si="150"/>
        <v>317.99200000000002</v>
      </c>
      <c r="AN1210" s="4">
        <f t="shared" si="151"/>
        <v>553.02562499999999</v>
      </c>
      <c r="AO1210" s="4">
        <f t="shared" si="152"/>
        <v>614.41146937500002</v>
      </c>
      <c r="AP1210" s="4">
        <f t="shared" si="153"/>
        <v>895.84620993749991</v>
      </c>
      <c r="AQ1210" s="10">
        <f t="shared" si="154"/>
        <v>553.01988720000008</v>
      </c>
      <c r="AR1210" s="10">
        <f t="shared" si="155"/>
        <v>614.46039666792012</v>
      </c>
      <c r="AS1210" s="10">
        <f t="shared" si="156"/>
        <v>860.94136039296006</v>
      </c>
    </row>
    <row r="1211" spans="1:45" x14ac:dyDescent="0.3">
      <c r="A1211">
        <v>2025</v>
      </c>
      <c r="B1211">
        <v>9</v>
      </c>
      <c r="C1211" t="s">
        <v>55</v>
      </c>
      <c r="D1211">
        <v>10</v>
      </c>
      <c r="E1211" t="s">
        <v>36</v>
      </c>
      <c r="F1211" t="s">
        <v>37</v>
      </c>
      <c r="G1211" t="s">
        <v>38</v>
      </c>
      <c r="H1211" t="s">
        <v>78</v>
      </c>
      <c r="I1211" t="s">
        <v>375</v>
      </c>
      <c r="J1211" t="s">
        <v>376</v>
      </c>
      <c r="K1211" t="s">
        <v>41</v>
      </c>
      <c r="L1211" t="s">
        <v>1503</v>
      </c>
      <c r="M1211" t="s">
        <v>1504</v>
      </c>
      <c r="N1211" t="s">
        <v>377</v>
      </c>
      <c r="O1211" t="s">
        <v>1197</v>
      </c>
      <c r="Q1211" t="s">
        <v>62</v>
      </c>
      <c r="R1211" t="s">
        <v>1505</v>
      </c>
      <c r="S1211" t="s">
        <v>1505</v>
      </c>
      <c r="T1211" t="s">
        <v>47</v>
      </c>
      <c r="U1211" t="s">
        <v>118</v>
      </c>
      <c r="V1211" t="s">
        <v>49</v>
      </c>
      <c r="W1211" t="s">
        <v>714</v>
      </c>
      <c r="X1211" t="s">
        <v>388</v>
      </c>
      <c r="Y1211" t="s">
        <v>824</v>
      </c>
      <c r="Z1211" t="s">
        <v>824</v>
      </c>
      <c r="AA1211" t="s">
        <v>126</v>
      </c>
      <c r="AB1211" s="3">
        <f t="shared" si="149"/>
        <v>10</v>
      </c>
      <c r="AC1211">
        <v>2903.1</v>
      </c>
      <c r="AD1211" s="2">
        <v>290.31</v>
      </c>
      <c r="AE1211" s="2">
        <v>450.3</v>
      </c>
      <c r="AF1211" s="2">
        <v>20.57</v>
      </c>
      <c r="AG1211" s="2">
        <v>3373.7</v>
      </c>
      <c r="AH1211">
        <v>0</v>
      </c>
      <c r="AI1211">
        <v>337.37</v>
      </c>
      <c r="AJ1211">
        <v>16.868500000000001</v>
      </c>
      <c r="AK1211" t="s">
        <v>54</v>
      </c>
      <c r="AL1211">
        <v>18.62</v>
      </c>
      <c r="AM1211" s="4">
        <f t="shared" si="150"/>
        <v>337.37</v>
      </c>
      <c r="AN1211" s="4">
        <f t="shared" si="151"/>
        <v>544.33124999999995</v>
      </c>
      <c r="AO1211" s="4">
        <f t="shared" si="152"/>
        <v>604.75201874999993</v>
      </c>
      <c r="AP1211" s="4">
        <f t="shared" si="153"/>
        <v>881.76219187499987</v>
      </c>
      <c r="AQ1211" s="10">
        <f t="shared" si="154"/>
        <v>586.72016700000006</v>
      </c>
      <c r="AR1211" s="10">
        <f t="shared" si="155"/>
        <v>651.9047775537</v>
      </c>
      <c r="AS1211" s="10">
        <f t="shared" si="156"/>
        <v>913.40595598560003</v>
      </c>
    </row>
    <row r="1212" spans="1:45" x14ac:dyDescent="0.3">
      <c r="A1212">
        <v>2025</v>
      </c>
      <c r="B1212">
        <v>11</v>
      </c>
      <c r="C1212" t="s">
        <v>55</v>
      </c>
      <c r="D1212">
        <v>10</v>
      </c>
      <c r="E1212" t="s">
        <v>36</v>
      </c>
      <c r="F1212" t="s">
        <v>37</v>
      </c>
      <c r="G1212" t="s">
        <v>38</v>
      </c>
      <c r="H1212" t="s">
        <v>78</v>
      </c>
      <c r="I1212" t="s">
        <v>190</v>
      </c>
      <c r="J1212" t="s">
        <v>58</v>
      </c>
      <c r="K1212" t="s">
        <v>59</v>
      </c>
      <c r="L1212" t="s">
        <v>1629</v>
      </c>
      <c r="M1212" t="s">
        <v>1630</v>
      </c>
      <c r="N1212" t="s">
        <v>1485</v>
      </c>
      <c r="O1212" t="s">
        <v>1197</v>
      </c>
      <c r="Q1212" t="s">
        <v>62</v>
      </c>
      <c r="R1212" t="s">
        <v>1631</v>
      </c>
      <c r="S1212" t="s">
        <v>1631</v>
      </c>
      <c r="T1212" t="s">
        <v>47</v>
      </c>
      <c r="U1212" t="s">
        <v>118</v>
      </c>
      <c r="V1212" t="s">
        <v>49</v>
      </c>
      <c r="W1212" t="s">
        <v>714</v>
      </c>
      <c r="X1212" t="s">
        <v>1578</v>
      </c>
      <c r="Y1212" t="s">
        <v>1081</v>
      </c>
      <c r="Z1212" t="s">
        <v>1081</v>
      </c>
      <c r="AA1212" t="s">
        <v>126</v>
      </c>
      <c r="AB1212" s="3">
        <f t="shared" si="149"/>
        <v>10</v>
      </c>
      <c r="AC1212">
        <v>2886.74</v>
      </c>
      <c r="AD1212" s="2">
        <v>288.67399999999998</v>
      </c>
      <c r="AE1212" s="2">
        <v>1049.5999999999999</v>
      </c>
      <c r="AF1212" s="2">
        <v>24.17</v>
      </c>
      <c r="AG1212" s="2">
        <v>3960.51</v>
      </c>
      <c r="AH1212">
        <v>0</v>
      </c>
      <c r="AI1212">
        <v>396.05099999999999</v>
      </c>
      <c r="AJ1212">
        <v>19.80255</v>
      </c>
      <c r="AK1212" t="s">
        <v>54</v>
      </c>
      <c r="AL1212">
        <v>22.25</v>
      </c>
      <c r="AM1212" s="4">
        <f t="shared" si="150"/>
        <v>396.05100000000004</v>
      </c>
      <c r="AN1212" s="4">
        <f t="shared" si="151"/>
        <v>541.26374999999996</v>
      </c>
      <c r="AO1212" s="4">
        <f t="shared" si="152"/>
        <v>601.34402624999996</v>
      </c>
      <c r="AP1212" s="4">
        <f t="shared" si="153"/>
        <v>876.79314862499984</v>
      </c>
      <c r="AQ1212" s="10">
        <f t="shared" si="154"/>
        <v>688.77229410000007</v>
      </c>
      <c r="AR1212" s="10">
        <f t="shared" si="155"/>
        <v>765.29489597451004</v>
      </c>
      <c r="AS1212" s="10">
        <f t="shared" si="156"/>
        <v>1072.28070745488</v>
      </c>
    </row>
    <row r="1213" spans="1:45" x14ac:dyDescent="0.3">
      <c r="A1213">
        <v>2025</v>
      </c>
      <c r="B1213">
        <v>8</v>
      </c>
      <c r="C1213" t="s">
        <v>55</v>
      </c>
      <c r="D1213">
        <v>10</v>
      </c>
      <c r="E1213" t="s">
        <v>36</v>
      </c>
      <c r="F1213" t="s">
        <v>37</v>
      </c>
      <c r="G1213" t="s">
        <v>38</v>
      </c>
      <c r="H1213" t="s">
        <v>83</v>
      </c>
      <c r="I1213" t="s">
        <v>190</v>
      </c>
      <c r="J1213" t="s">
        <v>58</v>
      </c>
      <c r="K1213" t="s">
        <v>59</v>
      </c>
      <c r="L1213" t="s">
        <v>1194</v>
      </c>
      <c r="M1213" t="s">
        <v>1195</v>
      </c>
      <c r="N1213" t="s">
        <v>1196</v>
      </c>
      <c r="O1213" t="s">
        <v>1197</v>
      </c>
      <c r="Q1213" t="s">
        <v>62</v>
      </c>
      <c r="R1213" t="s">
        <v>1198</v>
      </c>
      <c r="S1213" t="s">
        <v>1198</v>
      </c>
      <c r="T1213" t="s">
        <v>47</v>
      </c>
      <c r="U1213" t="s">
        <v>118</v>
      </c>
      <c r="V1213" t="s">
        <v>49</v>
      </c>
      <c r="W1213" t="s">
        <v>714</v>
      </c>
      <c r="X1213" t="s">
        <v>388</v>
      </c>
      <c r="Y1213" t="s">
        <v>1101</v>
      </c>
      <c r="Z1213" t="s">
        <v>1101</v>
      </c>
      <c r="AA1213" t="s">
        <v>126</v>
      </c>
      <c r="AB1213" s="3">
        <f t="shared" si="149"/>
        <v>2</v>
      </c>
      <c r="AC1213">
        <v>591.91</v>
      </c>
      <c r="AD1213" s="2">
        <v>295.95499999999998</v>
      </c>
      <c r="AE1213" s="2">
        <v>154.12</v>
      </c>
      <c r="AF1213" s="2">
        <v>4.5599999999999996</v>
      </c>
      <c r="AG1213" s="2">
        <v>750.59</v>
      </c>
      <c r="AH1213">
        <v>0</v>
      </c>
      <c r="AI1213">
        <v>375.29500000000002</v>
      </c>
      <c r="AJ1213">
        <v>3.7529499999999998</v>
      </c>
      <c r="AK1213" t="s">
        <v>54</v>
      </c>
      <c r="AL1213">
        <v>7.45</v>
      </c>
      <c r="AM1213" s="4">
        <f t="shared" si="150"/>
        <v>375.29500000000002</v>
      </c>
      <c r="AN1213" s="4">
        <f t="shared" si="151"/>
        <v>554.91562499999998</v>
      </c>
      <c r="AO1213" s="4">
        <f t="shared" si="152"/>
        <v>616.51125937500001</v>
      </c>
      <c r="AP1213" s="4">
        <f t="shared" si="153"/>
        <v>898.90782093749988</v>
      </c>
      <c r="AQ1213" s="10">
        <f t="shared" si="154"/>
        <v>652.67553450000003</v>
      </c>
      <c r="AR1213" s="10">
        <f t="shared" si="155"/>
        <v>725.18778638294998</v>
      </c>
      <c r="AS1213" s="10">
        <f t="shared" si="156"/>
        <v>1016.0852721096001</v>
      </c>
    </row>
    <row r="1214" spans="1:45" x14ac:dyDescent="0.3">
      <c r="A1214">
        <v>2025</v>
      </c>
      <c r="B1214">
        <v>12</v>
      </c>
      <c r="C1214" t="s">
        <v>55</v>
      </c>
      <c r="D1214">
        <v>10</v>
      </c>
      <c r="E1214" t="s">
        <v>36</v>
      </c>
      <c r="F1214" t="s">
        <v>37</v>
      </c>
      <c r="G1214" t="s">
        <v>38</v>
      </c>
      <c r="H1214" t="s">
        <v>83</v>
      </c>
      <c r="I1214" t="s">
        <v>57</v>
      </c>
      <c r="J1214" t="s">
        <v>58</v>
      </c>
      <c r="K1214" t="s">
        <v>59</v>
      </c>
      <c r="L1214" t="s">
        <v>1769</v>
      </c>
      <c r="M1214" t="s">
        <v>1770</v>
      </c>
      <c r="N1214" t="s">
        <v>1771</v>
      </c>
      <c r="O1214" t="s">
        <v>1197</v>
      </c>
      <c r="Q1214" t="s">
        <v>62</v>
      </c>
      <c r="R1214" t="s">
        <v>1772</v>
      </c>
      <c r="S1214" t="s">
        <v>1772</v>
      </c>
      <c r="T1214" t="s">
        <v>47</v>
      </c>
      <c r="U1214" t="s">
        <v>118</v>
      </c>
      <c r="V1214" t="s">
        <v>49</v>
      </c>
      <c r="W1214" t="s">
        <v>714</v>
      </c>
      <c r="X1214" t="s">
        <v>51</v>
      </c>
      <c r="Y1214" t="s">
        <v>1345</v>
      </c>
      <c r="Z1214" t="s">
        <v>1345</v>
      </c>
      <c r="AA1214" t="s">
        <v>1346</v>
      </c>
      <c r="AB1214" s="3">
        <f t="shared" si="149"/>
        <v>1</v>
      </c>
      <c r="AC1214">
        <v>441.12</v>
      </c>
      <c r="AD1214" s="2">
        <v>441.12</v>
      </c>
      <c r="AE1214" s="2">
        <v>31.61</v>
      </c>
      <c r="AF1214" s="2">
        <v>2.85</v>
      </c>
      <c r="AG1214" s="2">
        <v>475.58</v>
      </c>
      <c r="AH1214">
        <v>0</v>
      </c>
      <c r="AI1214">
        <v>475.58</v>
      </c>
      <c r="AJ1214">
        <v>2.3778999999999999</v>
      </c>
      <c r="AK1214" t="s">
        <v>54</v>
      </c>
      <c r="AL1214">
        <v>3.71</v>
      </c>
      <c r="AM1214" s="4">
        <f t="shared" si="150"/>
        <v>475.58</v>
      </c>
      <c r="AN1214" s="4">
        <f t="shared" si="151"/>
        <v>827.1</v>
      </c>
      <c r="AO1214" s="4">
        <f t="shared" si="152"/>
        <v>918.90809999999999</v>
      </c>
      <c r="AP1214" s="4">
        <f t="shared" si="153"/>
        <v>1339.8192899999999</v>
      </c>
      <c r="AQ1214" s="10">
        <f t="shared" si="154"/>
        <v>827.08117800000002</v>
      </c>
      <c r="AR1214" s="10">
        <f t="shared" si="155"/>
        <v>918.96989687580003</v>
      </c>
      <c r="AS1214" s="10">
        <f t="shared" si="156"/>
        <v>1287.5999779104</v>
      </c>
    </row>
    <row r="1215" spans="1:45" x14ac:dyDescent="0.3">
      <c r="A1215">
        <v>2025</v>
      </c>
      <c r="B1215">
        <v>4</v>
      </c>
      <c r="C1215" t="s">
        <v>55</v>
      </c>
      <c r="D1215">
        <v>10</v>
      </c>
      <c r="E1215" t="s">
        <v>36</v>
      </c>
      <c r="F1215" t="s">
        <v>37</v>
      </c>
      <c r="G1215" t="s">
        <v>38</v>
      </c>
      <c r="H1215" t="s">
        <v>83</v>
      </c>
      <c r="I1215" t="s">
        <v>375</v>
      </c>
      <c r="J1215" t="s">
        <v>376</v>
      </c>
      <c r="K1215" t="s">
        <v>59</v>
      </c>
      <c r="M1215">
        <v>2503061</v>
      </c>
      <c r="N1215" t="s">
        <v>377</v>
      </c>
      <c r="O1215" t="s">
        <v>36</v>
      </c>
      <c r="Q1215" t="s">
        <v>62</v>
      </c>
      <c r="R1215" t="s">
        <v>378</v>
      </c>
      <c r="S1215" t="s">
        <v>378</v>
      </c>
      <c r="T1215" t="s">
        <v>47</v>
      </c>
      <c r="U1215" t="s">
        <v>118</v>
      </c>
      <c r="V1215" t="s">
        <v>49</v>
      </c>
      <c r="W1215" t="s">
        <v>119</v>
      </c>
      <c r="X1215" t="s">
        <v>51</v>
      </c>
      <c r="Y1215" t="s">
        <v>1345</v>
      </c>
      <c r="Z1215" t="s">
        <v>1345</v>
      </c>
      <c r="AA1215" t="s">
        <v>1346</v>
      </c>
      <c r="AB1215" s="3">
        <f t="shared" si="149"/>
        <v>1</v>
      </c>
      <c r="AC1215">
        <v>444.61</v>
      </c>
      <c r="AD1215" s="2">
        <v>444.61</v>
      </c>
      <c r="AE1215" s="2">
        <v>131.99</v>
      </c>
      <c r="AF1215" s="2">
        <v>3.34</v>
      </c>
      <c r="AG1215" s="2">
        <v>579.92999999999995</v>
      </c>
      <c r="AH1215">
        <v>0</v>
      </c>
      <c r="AI1215">
        <v>579.92999999999995</v>
      </c>
      <c r="AJ1215">
        <v>2.8996499999999998</v>
      </c>
      <c r="AK1215" t="s">
        <v>54</v>
      </c>
      <c r="AL1215">
        <v>3.3</v>
      </c>
      <c r="AM1215" s="4">
        <f t="shared" si="150"/>
        <v>579.92999999999995</v>
      </c>
      <c r="AN1215" s="4">
        <f t="shared" si="151"/>
        <v>833.64375000000007</v>
      </c>
      <c r="AO1215" s="4">
        <f t="shared" si="152"/>
        <v>926.17820625000002</v>
      </c>
      <c r="AP1215" s="4">
        <f t="shared" si="153"/>
        <v>1350.4195106249999</v>
      </c>
      <c r="AQ1215" s="10">
        <f t="shared" si="154"/>
        <v>1008.5562629999999</v>
      </c>
      <c r="AR1215" s="10">
        <f t="shared" si="155"/>
        <v>1120.6068638192999</v>
      </c>
      <c r="AS1215" s="10">
        <f t="shared" si="156"/>
        <v>1570.1203902384</v>
      </c>
    </row>
    <row r="1216" spans="1:45" x14ac:dyDescent="0.3">
      <c r="A1216">
        <v>2025</v>
      </c>
      <c r="B1216">
        <v>12</v>
      </c>
      <c r="C1216" t="s">
        <v>55</v>
      </c>
      <c r="D1216">
        <v>10</v>
      </c>
      <c r="E1216" t="s">
        <v>36</v>
      </c>
      <c r="F1216" t="s">
        <v>37</v>
      </c>
      <c r="G1216" t="s">
        <v>38</v>
      </c>
      <c r="H1216" t="s">
        <v>83</v>
      </c>
      <c r="I1216" t="s">
        <v>57</v>
      </c>
      <c r="J1216" t="s">
        <v>58</v>
      </c>
      <c r="K1216" t="s">
        <v>59</v>
      </c>
      <c r="L1216" t="s">
        <v>1769</v>
      </c>
      <c r="M1216" t="s">
        <v>1770</v>
      </c>
      <c r="N1216" t="s">
        <v>1771</v>
      </c>
      <c r="O1216" t="s">
        <v>1197</v>
      </c>
      <c r="Q1216" t="s">
        <v>62</v>
      </c>
      <c r="R1216" t="s">
        <v>1772</v>
      </c>
      <c r="S1216" t="s">
        <v>1772</v>
      </c>
      <c r="T1216" t="s">
        <v>47</v>
      </c>
      <c r="U1216" t="s">
        <v>118</v>
      </c>
      <c r="V1216" t="s">
        <v>49</v>
      </c>
      <c r="W1216" t="s">
        <v>714</v>
      </c>
      <c r="X1216" t="s">
        <v>51</v>
      </c>
      <c r="Y1216" t="s">
        <v>487</v>
      </c>
      <c r="Z1216" t="s">
        <v>487</v>
      </c>
      <c r="AA1216" t="s">
        <v>496</v>
      </c>
      <c r="AB1216" s="3">
        <f t="shared" si="149"/>
        <v>1</v>
      </c>
      <c r="AC1216">
        <v>618.34</v>
      </c>
      <c r="AD1216" s="2">
        <v>618.34</v>
      </c>
      <c r="AE1216" s="2">
        <v>23.68</v>
      </c>
      <c r="AF1216" s="2">
        <v>4.42</v>
      </c>
      <c r="AG1216" s="2">
        <v>646.44000000000005</v>
      </c>
      <c r="AH1216">
        <v>0</v>
      </c>
      <c r="AI1216">
        <v>646.44000000000005</v>
      </c>
      <c r="AJ1216">
        <v>3.2322000000000002</v>
      </c>
      <c r="AK1216" t="s">
        <v>54</v>
      </c>
      <c r="AL1216">
        <v>1.1299999999999999</v>
      </c>
      <c r="AM1216" s="4">
        <f t="shared" si="150"/>
        <v>646.44000000000005</v>
      </c>
      <c r="AN1216" s="4">
        <f t="shared" si="151"/>
        <v>1159.3875</v>
      </c>
      <c r="AO1216" s="4">
        <f t="shared" si="152"/>
        <v>1288.0795125</v>
      </c>
      <c r="AP1216" s="4">
        <f t="shared" si="153"/>
        <v>1878.0918112499999</v>
      </c>
      <c r="AQ1216" s="10">
        <f t="shared" si="154"/>
        <v>1124.2238040000002</v>
      </c>
      <c r="AR1216" s="10">
        <f t="shared" si="155"/>
        <v>1249.1250686244002</v>
      </c>
      <c r="AS1216" s="10">
        <f t="shared" si="156"/>
        <v>1750.1916180672004</v>
      </c>
    </row>
    <row r="1217" spans="1:45" x14ac:dyDescent="0.3">
      <c r="A1217">
        <v>2025</v>
      </c>
      <c r="B1217">
        <v>10</v>
      </c>
      <c r="C1217" t="s">
        <v>55</v>
      </c>
      <c r="D1217">
        <v>10</v>
      </c>
      <c r="E1217" t="s">
        <v>36</v>
      </c>
      <c r="F1217" t="s">
        <v>37</v>
      </c>
      <c r="G1217" t="s">
        <v>38</v>
      </c>
      <c r="H1217" t="s">
        <v>83</v>
      </c>
      <c r="I1217" t="s">
        <v>375</v>
      </c>
      <c r="J1217" t="s">
        <v>376</v>
      </c>
      <c r="K1217" t="s">
        <v>59</v>
      </c>
      <c r="L1217" t="s">
        <v>1549</v>
      </c>
      <c r="M1217" t="s">
        <v>1550</v>
      </c>
      <c r="N1217" t="s">
        <v>1551</v>
      </c>
      <c r="O1217" t="s">
        <v>1197</v>
      </c>
      <c r="Q1217" t="s">
        <v>62</v>
      </c>
      <c r="R1217" t="s">
        <v>1552</v>
      </c>
      <c r="S1217" t="s">
        <v>1552</v>
      </c>
      <c r="T1217" t="s">
        <v>47</v>
      </c>
      <c r="U1217" t="s">
        <v>118</v>
      </c>
      <c r="V1217" t="s">
        <v>49</v>
      </c>
      <c r="W1217" t="s">
        <v>714</v>
      </c>
      <c r="X1217" t="s">
        <v>51</v>
      </c>
      <c r="Y1217" t="s">
        <v>1345</v>
      </c>
      <c r="Z1217" t="s">
        <v>1345</v>
      </c>
      <c r="AA1217" t="s">
        <v>496</v>
      </c>
      <c r="AB1217" s="3">
        <f t="shared" si="149"/>
        <v>1</v>
      </c>
      <c r="AC1217">
        <v>528.51</v>
      </c>
      <c r="AD1217" s="2">
        <v>528.51</v>
      </c>
      <c r="AE1217" s="2">
        <v>156.9</v>
      </c>
      <c r="AF1217" s="2">
        <v>3.97</v>
      </c>
      <c r="AG1217" s="2">
        <v>689.37</v>
      </c>
      <c r="AH1217">
        <v>0</v>
      </c>
      <c r="AI1217">
        <v>689.37</v>
      </c>
      <c r="AJ1217">
        <v>3.44685</v>
      </c>
      <c r="AK1217" t="s">
        <v>54</v>
      </c>
      <c r="AL1217">
        <v>3.93</v>
      </c>
      <c r="AM1217" s="4">
        <f t="shared" si="150"/>
        <v>689.37</v>
      </c>
      <c r="AN1217" s="4">
        <f t="shared" si="151"/>
        <v>990.95624999999995</v>
      </c>
      <c r="AO1217" s="4">
        <f t="shared" si="152"/>
        <v>1100.9523937499998</v>
      </c>
      <c r="AP1217" s="4">
        <f t="shared" si="153"/>
        <v>1605.2500293749997</v>
      </c>
      <c r="AQ1217" s="10">
        <f t="shared" si="154"/>
        <v>1198.8833670000001</v>
      </c>
      <c r="AR1217" s="10">
        <f t="shared" si="155"/>
        <v>1332.0793090737002</v>
      </c>
      <c r="AS1217" s="10">
        <f t="shared" si="156"/>
        <v>1866.4216257456001</v>
      </c>
    </row>
    <row r="1218" spans="1:45" x14ac:dyDescent="0.3">
      <c r="A1218">
        <v>2025</v>
      </c>
      <c r="B1218">
        <v>3</v>
      </c>
      <c r="C1218" t="s">
        <v>55</v>
      </c>
      <c r="D1218">
        <v>10</v>
      </c>
      <c r="E1218" t="s">
        <v>36</v>
      </c>
      <c r="F1218" t="s">
        <v>37</v>
      </c>
      <c r="G1218" t="s">
        <v>38</v>
      </c>
      <c r="H1218" t="s">
        <v>83</v>
      </c>
      <c r="I1218" t="s">
        <v>190</v>
      </c>
      <c r="J1218" t="s">
        <v>58</v>
      </c>
      <c r="K1218" t="s">
        <v>59</v>
      </c>
      <c r="M1218" t="s">
        <v>209</v>
      </c>
      <c r="N1218" t="s">
        <v>61</v>
      </c>
      <c r="O1218" t="s">
        <v>43</v>
      </c>
      <c r="Q1218" t="s">
        <v>62</v>
      </c>
      <c r="R1218" t="s">
        <v>210</v>
      </c>
      <c r="S1218" t="s">
        <v>211</v>
      </c>
      <c r="T1218" t="s">
        <v>47</v>
      </c>
      <c r="U1218" t="s">
        <v>105</v>
      </c>
      <c r="V1218" t="s">
        <v>49</v>
      </c>
      <c r="W1218" t="s">
        <v>106</v>
      </c>
      <c r="X1218" t="s">
        <v>51</v>
      </c>
      <c r="Y1218" t="s">
        <v>1581</v>
      </c>
      <c r="Z1218" t="s">
        <v>1581</v>
      </c>
      <c r="AA1218" t="s">
        <v>1582</v>
      </c>
      <c r="AB1218" s="3">
        <f t="shared" si="149"/>
        <v>4</v>
      </c>
      <c r="AC1218">
        <v>783</v>
      </c>
      <c r="AD1218" s="2">
        <v>195.75</v>
      </c>
      <c r="AE1218" s="2">
        <v>357.89</v>
      </c>
      <c r="AF1218" s="2">
        <v>6.98</v>
      </c>
      <c r="AG1218" s="2">
        <v>1147.8800000000001</v>
      </c>
      <c r="AH1218">
        <v>0</v>
      </c>
      <c r="AI1218">
        <v>286.97000000000003</v>
      </c>
      <c r="AJ1218">
        <v>5.7393999999999998</v>
      </c>
      <c r="AK1218" t="s">
        <v>54</v>
      </c>
      <c r="AL1218">
        <v>16.21</v>
      </c>
      <c r="AM1218" s="4">
        <f t="shared" si="150"/>
        <v>286.97000000000003</v>
      </c>
      <c r="AN1218" s="4">
        <f t="shared" si="151"/>
        <v>367.03125</v>
      </c>
      <c r="AO1218" s="4">
        <f t="shared" si="152"/>
        <v>407.77171874999999</v>
      </c>
      <c r="AP1218" s="4">
        <f t="shared" si="153"/>
        <v>594.55392187500001</v>
      </c>
      <c r="AQ1218" s="10">
        <f t="shared" si="154"/>
        <v>499.06952700000005</v>
      </c>
      <c r="AR1218" s="10">
        <f t="shared" si="155"/>
        <v>554.51615144970003</v>
      </c>
      <c r="AS1218" s="10">
        <f t="shared" si="156"/>
        <v>776.9514396336001</v>
      </c>
    </row>
    <row r="1219" spans="1:45" x14ac:dyDescent="0.3">
      <c r="A1219">
        <v>2025</v>
      </c>
      <c r="B1219">
        <v>10</v>
      </c>
      <c r="C1219" t="s">
        <v>55</v>
      </c>
      <c r="D1219">
        <v>10</v>
      </c>
      <c r="E1219" t="s">
        <v>36</v>
      </c>
      <c r="F1219" t="s">
        <v>37</v>
      </c>
      <c r="G1219" t="s">
        <v>38</v>
      </c>
      <c r="H1219" t="s">
        <v>83</v>
      </c>
      <c r="I1219" t="s">
        <v>375</v>
      </c>
      <c r="J1219" t="s">
        <v>376</v>
      </c>
      <c r="K1219" t="s">
        <v>59</v>
      </c>
      <c r="L1219" t="s">
        <v>1549</v>
      </c>
      <c r="M1219" t="s">
        <v>1550</v>
      </c>
      <c r="N1219" t="s">
        <v>1551</v>
      </c>
      <c r="O1219" t="s">
        <v>1197</v>
      </c>
      <c r="Q1219" t="s">
        <v>62</v>
      </c>
      <c r="R1219" t="s">
        <v>1552</v>
      </c>
      <c r="S1219" t="s">
        <v>1552</v>
      </c>
      <c r="T1219" t="s">
        <v>47</v>
      </c>
      <c r="U1219" t="s">
        <v>105</v>
      </c>
      <c r="V1219" t="s">
        <v>49</v>
      </c>
      <c r="W1219" t="s">
        <v>708</v>
      </c>
      <c r="X1219" t="s">
        <v>51</v>
      </c>
      <c r="Y1219" t="s">
        <v>265</v>
      </c>
      <c r="Z1219" t="s">
        <v>64</v>
      </c>
      <c r="AA1219" t="s">
        <v>266</v>
      </c>
      <c r="AB1219" s="3">
        <f t="shared" ref="AB1219:AB1282" si="157">SUM(AC1219/AD1219)</f>
        <v>1</v>
      </c>
      <c r="AC1219">
        <v>91.27</v>
      </c>
      <c r="AD1219" s="2">
        <v>91.27</v>
      </c>
      <c r="AE1219" s="2">
        <v>20.39</v>
      </c>
      <c r="AF1219" s="2">
        <v>0.67</v>
      </c>
      <c r="AG1219" s="2">
        <v>112.33</v>
      </c>
      <c r="AH1219">
        <v>0</v>
      </c>
      <c r="AI1219">
        <v>112.33</v>
      </c>
      <c r="AJ1219">
        <v>0.56164999999999998</v>
      </c>
      <c r="AK1219" t="s">
        <v>54</v>
      </c>
      <c r="AL1219">
        <v>2.2000000000000002</v>
      </c>
      <c r="AM1219" s="4">
        <f t="shared" ref="AM1219:AM1282" si="158">SUM(AG1219/AB1219)</f>
        <v>112.33</v>
      </c>
      <c r="AN1219" s="4">
        <f t="shared" ref="AN1219:AN1282" si="159">SUM(AD1219*1.875)</f>
        <v>171.13124999999999</v>
      </c>
      <c r="AO1219" s="4">
        <f t="shared" si="152"/>
        <v>190.12681874999998</v>
      </c>
      <c r="AP1219" s="4">
        <f t="shared" si="153"/>
        <v>277.21551187499995</v>
      </c>
      <c r="AQ1219" s="10">
        <f t="shared" si="154"/>
        <v>195.353103</v>
      </c>
      <c r="AR1219" s="10">
        <f t="shared" si="155"/>
        <v>217.05683274329999</v>
      </c>
      <c r="AS1219" s="10">
        <f t="shared" si="156"/>
        <v>304.1257107504</v>
      </c>
    </row>
    <row r="1220" spans="1:45" x14ac:dyDescent="0.3">
      <c r="A1220">
        <v>2025</v>
      </c>
      <c r="B1220">
        <v>3</v>
      </c>
      <c r="C1220" t="s">
        <v>55</v>
      </c>
      <c r="D1220">
        <v>10</v>
      </c>
      <c r="E1220" t="s">
        <v>36</v>
      </c>
      <c r="F1220" t="s">
        <v>37</v>
      </c>
      <c r="G1220" t="s">
        <v>38</v>
      </c>
      <c r="H1220" t="s">
        <v>83</v>
      </c>
      <c r="I1220" t="s">
        <v>190</v>
      </c>
      <c r="J1220" t="s">
        <v>58</v>
      </c>
      <c r="K1220" t="s">
        <v>59</v>
      </c>
      <c r="M1220" t="s">
        <v>209</v>
      </c>
      <c r="N1220" t="s">
        <v>61</v>
      </c>
      <c r="O1220" t="s">
        <v>43</v>
      </c>
      <c r="Q1220" t="s">
        <v>62</v>
      </c>
      <c r="R1220" t="s">
        <v>210</v>
      </c>
      <c r="S1220" t="s">
        <v>211</v>
      </c>
      <c r="T1220" t="s">
        <v>47</v>
      </c>
      <c r="U1220" t="s">
        <v>118</v>
      </c>
      <c r="V1220" t="s">
        <v>49</v>
      </c>
      <c r="W1220" t="s">
        <v>119</v>
      </c>
      <c r="X1220" t="s">
        <v>51</v>
      </c>
      <c r="Y1220" t="s">
        <v>1066</v>
      </c>
      <c r="Z1220" t="s">
        <v>1067</v>
      </c>
      <c r="AA1220" t="s">
        <v>266</v>
      </c>
      <c r="AB1220" s="3">
        <f t="shared" si="157"/>
        <v>2</v>
      </c>
      <c r="AC1220">
        <v>187.7</v>
      </c>
      <c r="AD1220" s="2">
        <v>93.85</v>
      </c>
      <c r="AE1220" s="2">
        <v>85.5</v>
      </c>
      <c r="AF1220" s="2">
        <v>1.67</v>
      </c>
      <c r="AG1220" s="2">
        <v>274.24</v>
      </c>
      <c r="AH1220">
        <v>0</v>
      </c>
      <c r="AI1220">
        <v>137.12</v>
      </c>
      <c r="AJ1220">
        <v>1.3712</v>
      </c>
      <c r="AK1220" t="s">
        <v>54</v>
      </c>
      <c r="AL1220">
        <v>3.87</v>
      </c>
      <c r="AM1220" s="4">
        <f t="shared" si="158"/>
        <v>137.12</v>
      </c>
      <c r="AN1220" s="4">
        <f t="shared" si="159"/>
        <v>175.96875</v>
      </c>
      <c r="AO1220" s="4">
        <f t="shared" ref="AO1220:AO1283" si="160">SUM(AN1220)*1.111</f>
        <v>195.50128125000001</v>
      </c>
      <c r="AP1220" s="4">
        <f t="shared" ref="AP1220:AP1283" si="161">SUM(AN1220)*1.6199</f>
        <v>285.051778125</v>
      </c>
      <c r="AQ1220" s="10">
        <f t="shared" si="154"/>
        <v>238.46539200000001</v>
      </c>
      <c r="AR1220" s="10">
        <f t="shared" si="155"/>
        <v>264.95889705119998</v>
      </c>
      <c r="AS1220" s="10">
        <f t="shared" si="156"/>
        <v>371.24292226559999</v>
      </c>
    </row>
    <row r="1221" spans="1:45" x14ac:dyDescent="0.3">
      <c r="A1221">
        <v>2025</v>
      </c>
      <c r="B1221">
        <v>10</v>
      </c>
      <c r="C1221" t="s">
        <v>55</v>
      </c>
      <c r="D1221">
        <v>10</v>
      </c>
      <c r="E1221" t="s">
        <v>36</v>
      </c>
      <c r="F1221" t="s">
        <v>37</v>
      </c>
      <c r="G1221" t="s">
        <v>38</v>
      </c>
      <c r="H1221" t="s">
        <v>83</v>
      </c>
      <c r="I1221" t="s">
        <v>375</v>
      </c>
      <c r="J1221" t="s">
        <v>376</v>
      </c>
      <c r="K1221" t="s">
        <v>59</v>
      </c>
      <c r="L1221" t="s">
        <v>1549</v>
      </c>
      <c r="M1221" t="s">
        <v>1550</v>
      </c>
      <c r="N1221" t="s">
        <v>1551</v>
      </c>
      <c r="O1221" t="s">
        <v>1197</v>
      </c>
      <c r="Q1221" t="s">
        <v>62</v>
      </c>
      <c r="R1221" t="s">
        <v>1552</v>
      </c>
      <c r="S1221" t="s">
        <v>1552</v>
      </c>
      <c r="T1221" t="s">
        <v>47</v>
      </c>
      <c r="U1221" t="s">
        <v>118</v>
      </c>
      <c r="V1221" t="s">
        <v>49</v>
      </c>
      <c r="W1221" t="s">
        <v>714</v>
      </c>
      <c r="X1221" t="s">
        <v>51</v>
      </c>
      <c r="Y1221" t="s">
        <v>297</v>
      </c>
      <c r="Z1221" t="s">
        <v>64</v>
      </c>
      <c r="AA1221" t="s">
        <v>298</v>
      </c>
      <c r="AB1221" s="3">
        <f t="shared" si="157"/>
        <v>1</v>
      </c>
      <c r="AC1221">
        <v>510.44</v>
      </c>
      <c r="AD1221" s="2">
        <v>510.44</v>
      </c>
      <c r="AE1221" s="2">
        <v>114.01</v>
      </c>
      <c r="AF1221" s="2">
        <v>3.74</v>
      </c>
      <c r="AG1221" s="2">
        <v>628.19000000000005</v>
      </c>
      <c r="AH1221">
        <v>0</v>
      </c>
      <c r="AI1221">
        <v>628.19000000000005</v>
      </c>
      <c r="AJ1221">
        <v>3.1409500000000001</v>
      </c>
      <c r="AK1221" t="s">
        <v>54</v>
      </c>
      <c r="AL1221">
        <v>2.2000000000000002</v>
      </c>
      <c r="AM1221" s="4">
        <f t="shared" si="158"/>
        <v>628.19000000000005</v>
      </c>
      <c r="AN1221" s="4">
        <f t="shared" si="159"/>
        <v>957.07500000000005</v>
      </c>
      <c r="AO1221" s="4">
        <f t="shared" si="160"/>
        <v>1063.3103250000001</v>
      </c>
      <c r="AP1221" s="4">
        <f t="shared" si="161"/>
        <v>1550.3657925</v>
      </c>
      <c r="AQ1221" s="10">
        <f t="shared" si="154"/>
        <v>1092.4852290000001</v>
      </c>
      <c r="AR1221" s="10">
        <f t="shared" si="155"/>
        <v>1213.8603379419001</v>
      </c>
      <c r="AS1221" s="10">
        <f t="shared" si="156"/>
        <v>1700.7810045072001</v>
      </c>
    </row>
    <row r="1222" spans="1:45" x14ac:dyDescent="0.3">
      <c r="A1222">
        <v>2025</v>
      </c>
      <c r="B1222">
        <v>11</v>
      </c>
      <c r="C1222" t="s">
        <v>55</v>
      </c>
      <c r="D1222">
        <v>10</v>
      </c>
      <c r="E1222" t="s">
        <v>36</v>
      </c>
      <c r="F1222" t="s">
        <v>37</v>
      </c>
      <c r="G1222" t="s">
        <v>38</v>
      </c>
      <c r="H1222" t="s">
        <v>83</v>
      </c>
      <c r="I1222" t="s">
        <v>375</v>
      </c>
      <c r="J1222" t="s">
        <v>376</v>
      </c>
      <c r="K1222" t="s">
        <v>51</v>
      </c>
      <c r="L1222" t="s">
        <v>1622</v>
      </c>
      <c r="M1222" t="s">
        <v>1623</v>
      </c>
      <c r="N1222" t="s">
        <v>1485</v>
      </c>
      <c r="O1222" t="s">
        <v>1197</v>
      </c>
      <c r="Q1222" t="s">
        <v>62</v>
      </c>
      <c r="R1222" t="s">
        <v>1624</v>
      </c>
      <c r="S1222" t="s">
        <v>1624</v>
      </c>
      <c r="T1222" t="s">
        <v>47</v>
      </c>
      <c r="U1222" t="s">
        <v>1760</v>
      </c>
      <c r="V1222" t="s">
        <v>49</v>
      </c>
      <c r="W1222" t="s">
        <v>939</v>
      </c>
      <c r="X1222" t="s">
        <v>51</v>
      </c>
      <c r="Y1222" t="s">
        <v>1583</v>
      </c>
      <c r="Z1222" t="s">
        <v>1583</v>
      </c>
      <c r="AA1222" t="s">
        <v>298</v>
      </c>
      <c r="AB1222" s="3">
        <f t="shared" si="157"/>
        <v>2</v>
      </c>
      <c r="AC1222">
        <v>951.28</v>
      </c>
      <c r="AD1222" s="2">
        <v>475.64</v>
      </c>
      <c r="AE1222" s="2">
        <v>434.83</v>
      </c>
      <c r="AF1222" s="2">
        <v>8.48</v>
      </c>
      <c r="AG1222" s="2">
        <v>1394.59</v>
      </c>
      <c r="AH1222">
        <v>0</v>
      </c>
      <c r="AI1222">
        <v>697.29499999999996</v>
      </c>
      <c r="AJ1222">
        <v>6.97295</v>
      </c>
      <c r="AK1222" t="s">
        <v>54</v>
      </c>
      <c r="AL1222">
        <v>19.690000000000001</v>
      </c>
      <c r="AM1222" s="4">
        <f t="shared" si="158"/>
        <v>697.29499999999996</v>
      </c>
      <c r="AN1222" s="4">
        <f t="shared" si="159"/>
        <v>891.82499999999993</v>
      </c>
      <c r="AO1222" s="4">
        <f t="shared" si="160"/>
        <v>990.81757499999992</v>
      </c>
      <c r="AP1222" s="4">
        <f t="shared" si="161"/>
        <v>1444.6673174999999</v>
      </c>
      <c r="AQ1222" s="10">
        <f t="shared" si="154"/>
        <v>1212.6657345000001</v>
      </c>
      <c r="AR1222" s="10">
        <f t="shared" si="155"/>
        <v>1347.3928976029501</v>
      </c>
      <c r="AS1222" s="10">
        <f t="shared" si="156"/>
        <v>1887.8780154696001</v>
      </c>
    </row>
    <row r="1223" spans="1:45" x14ac:dyDescent="0.3">
      <c r="A1223">
        <v>2025</v>
      </c>
      <c r="B1223">
        <v>4</v>
      </c>
      <c r="C1223" t="s">
        <v>55</v>
      </c>
      <c r="D1223">
        <v>10</v>
      </c>
      <c r="E1223" t="s">
        <v>36</v>
      </c>
      <c r="F1223" t="s">
        <v>37</v>
      </c>
      <c r="G1223" t="s">
        <v>38</v>
      </c>
      <c r="H1223" t="s">
        <v>83</v>
      </c>
      <c r="I1223" t="s">
        <v>375</v>
      </c>
      <c r="J1223" t="s">
        <v>376</v>
      </c>
      <c r="K1223" t="s">
        <v>59</v>
      </c>
      <c r="M1223">
        <v>2503061</v>
      </c>
      <c r="N1223" t="s">
        <v>377</v>
      </c>
      <c r="O1223" t="s">
        <v>36</v>
      </c>
      <c r="Q1223" t="s">
        <v>62</v>
      </c>
      <c r="R1223" t="s">
        <v>378</v>
      </c>
      <c r="S1223" t="s">
        <v>378</v>
      </c>
      <c r="T1223" t="s">
        <v>47</v>
      </c>
      <c r="U1223" t="s">
        <v>118</v>
      </c>
      <c r="V1223" t="s">
        <v>49</v>
      </c>
      <c r="W1223" t="s">
        <v>119</v>
      </c>
      <c r="X1223" t="s">
        <v>51</v>
      </c>
      <c r="Y1223" t="s">
        <v>1761</v>
      </c>
      <c r="Z1223" t="s">
        <v>1761</v>
      </c>
      <c r="AA1223" t="s">
        <v>1762</v>
      </c>
      <c r="AB1223" s="3">
        <f t="shared" si="157"/>
        <v>2</v>
      </c>
      <c r="AC1223">
        <v>2698.17</v>
      </c>
      <c r="AD1223" s="2">
        <v>1349.085</v>
      </c>
      <c r="AE1223" s="2">
        <v>377.81</v>
      </c>
      <c r="AF1223" s="2">
        <v>18.68</v>
      </c>
      <c r="AG1223" s="2">
        <v>3094.65</v>
      </c>
      <c r="AH1223">
        <v>0</v>
      </c>
      <c r="AI1223">
        <v>1547.325</v>
      </c>
      <c r="AJ1223">
        <v>15.47325</v>
      </c>
      <c r="AK1223" t="s">
        <v>54</v>
      </c>
      <c r="AL1223">
        <v>20.56</v>
      </c>
      <c r="AM1223" s="4">
        <f t="shared" si="158"/>
        <v>1547.325</v>
      </c>
      <c r="AN1223" s="4">
        <f t="shared" si="159"/>
        <v>2529.5343750000002</v>
      </c>
      <c r="AO1223" s="4">
        <f t="shared" si="160"/>
        <v>2810.312690625</v>
      </c>
      <c r="AP1223" s="4">
        <f t="shared" si="161"/>
        <v>4097.5927340625003</v>
      </c>
      <c r="AQ1223" s="10">
        <f t="shared" si="154"/>
        <v>2690.9529075</v>
      </c>
      <c r="AR1223" s="10">
        <f t="shared" si="155"/>
        <v>2989.9177755232499</v>
      </c>
      <c r="AS1223" s="10">
        <f t="shared" si="156"/>
        <v>4189.2754863959999</v>
      </c>
    </row>
    <row r="1224" spans="1:45" x14ac:dyDescent="0.3">
      <c r="A1224">
        <v>2025</v>
      </c>
      <c r="B1224">
        <v>5</v>
      </c>
      <c r="C1224" t="s">
        <v>55</v>
      </c>
      <c r="D1224">
        <v>10</v>
      </c>
      <c r="E1224" t="s">
        <v>36</v>
      </c>
      <c r="F1224" t="s">
        <v>37</v>
      </c>
      <c r="G1224" t="s">
        <v>38</v>
      </c>
      <c r="H1224" t="s">
        <v>83</v>
      </c>
      <c r="I1224" t="s">
        <v>190</v>
      </c>
      <c r="J1224" t="s">
        <v>58</v>
      </c>
      <c r="K1224" t="s">
        <v>59</v>
      </c>
      <c r="M1224" t="s">
        <v>682</v>
      </c>
      <c r="N1224" t="s">
        <v>384</v>
      </c>
      <c r="O1224" t="s">
        <v>36</v>
      </c>
      <c r="Q1224" t="s">
        <v>62</v>
      </c>
      <c r="R1224" t="s">
        <v>683</v>
      </c>
      <c r="S1224" t="s">
        <v>683</v>
      </c>
      <c r="T1224" t="s">
        <v>47</v>
      </c>
      <c r="U1224" t="s">
        <v>118</v>
      </c>
      <c r="V1224" t="s">
        <v>49</v>
      </c>
      <c r="W1224" t="s">
        <v>714</v>
      </c>
      <c r="X1224" t="s">
        <v>686</v>
      </c>
      <c r="Y1224" t="s">
        <v>116</v>
      </c>
      <c r="Z1224" t="s">
        <v>116</v>
      </c>
      <c r="AA1224" t="s">
        <v>497</v>
      </c>
      <c r="AB1224" s="3">
        <f t="shared" si="157"/>
        <v>2</v>
      </c>
      <c r="AC1224">
        <v>1377.05</v>
      </c>
      <c r="AD1224" s="2">
        <v>688.52499999999998</v>
      </c>
      <c r="AE1224" s="2">
        <v>47.15</v>
      </c>
      <c r="AF1224" s="2">
        <v>9.85</v>
      </c>
      <c r="AG1224" s="2">
        <v>1434.05</v>
      </c>
      <c r="AH1224">
        <v>0</v>
      </c>
      <c r="AI1224">
        <v>717.02499999999998</v>
      </c>
      <c r="AJ1224">
        <v>7.1702500000000002</v>
      </c>
      <c r="AK1224" t="s">
        <v>54</v>
      </c>
      <c r="AL1224">
        <v>2.25</v>
      </c>
      <c r="AM1224" s="4">
        <f t="shared" si="158"/>
        <v>717.02499999999998</v>
      </c>
      <c r="AN1224" s="4">
        <f t="shared" si="159"/>
        <v>1290.984375</v>
      </c>
      <c r="AO1224" s="4">
        <f t="shared" si="160"/>
        <v>1434.2836406250001</v>
      </c>
      <c r="AP1224" s="4">
        <f t="shared" si="161"/>
        <v>2091.2655890624997</v>
      </c>
      <c r="AQ1224" s="10">
        <f t="shared" si="154"/>
        <v>1246.9781775000001</v>
      </c>
      <c r="AR1224" s="10">
        <f t="shared" si="155"/>
        <v>1385.5174530202501</v>
      </c>
      <c r="AS1224" s="10">
        <f t="shared" si="156"/>
        <v>1941.2956267320001</v>
      </c>
    </row>
    <row r="1225" spans="1:45" x14ac:dyDescent="0.3">
      <c r="A1225">
        <v>2025</v>
      </c>
      <c r="B1225">
        <v>3</v>
      </c>
      <c r="C1225" t="s">
        <v>55</v>
      </c>
      <c r="D1225">
        <v>10</v>
      </c>
      <c r="E1225" t="s">
        <v>36</v>
      </c>
      <c r="F1225" t="s">
        <v>37</v>
      </c>
      <c r="G1225" t="s">
        <v>38</v>
      </c>
      <c r="H1225" t="s">
        <v>83</v>
      </c>
      <c r="I1225" t="s">
        <v>190</v>
      </c>
      <c r="J1225" t="s">
        <v>58</v>
      </c>
      <c r="K1225" t="s">
        <v>59</v>
      </c>
      <c r="M1225" t="s">
        <v>209</v>
      </c>
      <c r="N1225" t="s">
        <v>61</v>
      </c>
      <c r="O1225" t="s">
        <v>43</v>
      </c>
      <c r="Q1225" t="s">
        <v>62</v>
      </c>
      <c r="R1225" t="s">
        <v>210</v>
      </c>
      <c r="S1225" t="s">
        <v>211</v>
      </c>
      <c r="T1225" t="s">
        <v>47</v>
      </c>
      <c r="U1225" t="s">
        <v>118</v>
      </c>
      <c r="V1225" t="s">
        <v>49</v>
      </c>
      <c r="W1225" t="s">
        <v>119</v>
      </c>
      <c r="X1225" t="s">
        <v>51</v>
      </c>
      <c r="Y1225" t="s">
        <v>116</v>
      </c>
      <c r="Z1225" t="s">
        <v>116</v>
      </c>
      <c r="AA1225" t="s">
        <v>497</v>
      </c>
      <c r="AB1225" s="3">
        <f t="shared" si="157"/>
        <v>2</v>
      </c>
      <c r="AC1225">
        <v>1094.4000000000001</v>
      </c>
      <c r="AD1225" s="2">
        <v>547.20000000000005</v>
      </c>
      <c r="AE1225" s="2">
        <v>189.64</v>
      </c>
      <c r="AF1225" s="2">
        <v>10.29</v>
      </c>
      <c r="AG1225" s="2">
        <v>1294.3399999999999</v>
      </c>
      <c r="AH1225">
        <v>0</v>
      </c>
      <c r="AI1225">
        <v>647.16999999999996</v>
      </c>
      <c r="AJ1225">
        <v>6.4717000000000002</v>
      </c>
      <c r="AK1225" t="s">
        <v>54</v>
      </c>
      <c r="AL1225">
        <v>6.22</v>
      </c>
      <c r="AM1225" s="4">
        <f t="shared" si="158"/>
        <v>647.16999999999996</v>
      </c>
      <c r="AN1225" s="4">
        <f t="shared" si="159"/>
        <v>1026</v>
      </c>
      <c r="AO1225" s="4">
        <f t="shared" si="160"/>
        <v>1139.886</v>
      </c>
      <c r="AP1225" s="4">
        <f t="shared" si="161"/>
        <v>1662.0174</v>
      </c>
      <c r="AQ1225" s="10">
        <f t="shared" si="154"/>
        <v>1125.4933470000001</v>
      </c>
      <c r="AR1225" s="10">
        <f t="shared" si="155"/>
        <v>1250.5356578517001</v>
      </c>
      <c r="AS1225" s="10">
        <f t="shared" si="156"/>
        <v>1752.1680426096</v>
      </c>
    </row>
    <row r="1226" spans="1:45" x14ac:dyDescent="0.3">
      <c r="A1226">
        <v>2025</v>
      </c>
      <c r="B1226">
        <v>11</v>
      </c>
      <c r="C1226" t="s">
        <v>55</v>
      </c>
      <c r="D1226">
        <v>10</v>
      </c>
      <c r="E1226" t="s">
        <v>36</v>
      </c>
      <c r="F1226" t="s">
        <v>37</v>
      </c>
      <c r="G1226" t="s">
        <v>38</v>
      </c>
      <c r="H1226" t="s">
        <v>83</v>
      </c>
      <c r="I1226" t="s">
        <v>375</v>
      </c>
      <c r="J1226" t="s">
        <v>376</v>
      </c>
      <c r="K1226" t="s">
        <v>51</v>
      </c>
      <c r="L1226" t="s">
        <v>1622</v>
      </c>
      <c r="M1226" t="s">
        <v>1623</v>
      </c>
      <c r="N1226" t="s">
        <v>1485</v>
      </c>
      <c r="O1226" t="s">
        <v>1197</v>
      </c>
      <c r="Q1226" t="s">
        <v>62</v>
      </c>
      <c r="R1226" t="s">
        <v>1624</v>
      </c>
      <c r="S1226" t="s">
        <v>1624</v>
      </c>
      <c r="T1226" t="s">
        <v>47</v>
      </c>
      <c r="U1226" t="s">
        <v>118</v>
      </c>
      <c r="V1226" t="s">
        <v>49</v>
      </c>
      <c r="W1226" t="s">
        <v>714</v>
      </c>
      <c r="X1226" t="s">
        <v>51</v>
      </c>
      <c r="Y1226" t="s">
        <v>122</v>
      </c>
      <c r="Z1226" t="s">
        <v>64</v>
      </c>
      <c r="AA1226" t="s">
        <v>296</v>
      </c>
      <c r="AB1226" s="3">
        <f t="shared" si="157"/>
        <v>3</v>
      </c>
      <c r="AC1226">
        <v>1448.85</v>
      </c>
      <c r="AD1226" s="2">
        <v>482.95</v>
      </c>
      <c r="AE1226" s="2">
        <v>323.62</v>
      </c>
      <c r="AF1226" s="2">
        <v>10.62</v>
      </c>
      <c r="AG1226" s="2">
        <v>1783.09</v>
      </c>
      <c r="AH1226">
        <v>0</v>
      </c>
      <c r="AI1226">
        <v>594.36333333333005</v>
      </c>
      <c r="AJ1226">
        <v>8.9154499999999999</v>
      </c>
      <c r="AK1226" t="s">
        <v>54</v>
      </c>
      <c r="AL1226">
        <v>6.61</v>
      </c>
      <c r="AM1226" s="4">
        <f t="shared" si="158"/>
        <v>594.36333333333334</v>
      </c>
      <c r="AN1226" s="4">
        <f t="shared" si="159"/>
        <v>905.53125</v>
      </c>
      <c r="AO1226" s="4">
        <f t="shared" si="160"/>
        <v>1006.04521875</v>
      </c>
      <c r="AP1226" s="4">
        <f t="shared" si="161"/>
        <v>1466.8700718749999</v>
      </c>
      <c r="AQ1226" s="10">
        <f t="shared" si="154"/>
        <v>1033.657273</v>
      </c>
      <c r="AR1226" s="10">
        <f t="shared" si="155"/>
        <v>1148.4965960303</v>
      </c>
      <c r="AS1226" s="10">
        <f t="shared" si="156"/>
        <v>1609.1976426064</v>
      </c>
    </row>
    <row r="1227" spans="1:45" x14ac:dyDescent="0.3">
      <c r="A1227">
        <v>2025</v>
      </c>
      <c r="B1227">
        <v>12</v>
      </c>
      <c r="C1227" t="s">
        <v>55</v>
      </c>
      <c r="D1227">
        <v>10</v>
      </c>
      <c r="E1227" t="s">
        <v>36</v>
      </c>
      <c r="F1227" t="s">
        <v>37</v>
      </c>
      <c r="G1227" t="s">
        <v>38</v>
      </c>
      <c r="H1227" t="s">
        <v>83</v>
      </c>
      <c r="I1227" t="s">
        <v>57</v>
      </c>
      <c r="J1227" t="s">
        <v>58</v>
      </c>
      <c r="K1227" t="s">
        <v>59</v>
      </c>
      <c r="L1227" t="s">
        <v>1769</v>
      </c>
      <c r="M1227" t="s">
        <v>1770</v>
      </c>
      <c r="N1227" t="s">
        <v>1771</v>
      </c>
      <c r="O1227" t="s">
        <v>1197</v>
      </c>
      <c r="Q1227" t="s">
        <v>62</v>
      </c>
      <c r="R1227" t="s">
        <v>1772</v>
      </c>
      <c r="S1227" t="s">
        <v>1772</v>
      </c>
      <c r="T1227" t="s">
        <v>47</v>
      </c>
      <c r="U1227" t="s">
        <v>118</v>
      </c>
      <c r="V1227" t="s">
        <v>49</v>
      </c>
      <c r="W1227" t="s">
        <v>714</v>
      </c>
      <c r="X1227" t="s">
        <v>51</v>
      </c>
      <c r="Y1227" t="s">
        <v>1349</v>
      </c>
      <c r="Z1227" t="s">
        <v>1349</v>
      </c>
      <c r="AA1227" t="s">
        <v>296</v>
      </c>
      <c r="AB1227" s="3">
        <f t="shared" si="157"/>
        <v>2</v>
      </c>
      <c r="AC1227">
        <v>770.84</v>
      </c>
      <c r="AD1227" s="2">
        <v>385.42</v>
      </c>
      <c r="AE1227" s="2">
        <v>107.94</v>
      </c>
      <c r="AF1227" s="2">
        <v>5.34</v>
      </c>
      <c r="AG1227" s="2">
        <v>884.11</v>
      </c>
      <c r="AH1227">
        <v>0</v>
      </c>
      <c r="AI1227">
        <v>442.05500000000001</v>
      </c>
      <c r="AJ1227">
        <v>4.4205500000000004</v>
      </c>
      <c r="AK1227" t="s">
        <v>54</v>
      </c>
      <c r="AL1227">
        <v>4.5</v>
      </c>
      <c r="AM1227" s="4">
        <f t="shared" si="158"/>
        <v>442.05500000000001</v>
      </c>
      <c r="AN1227" s="4">
        <f t="shared" si="159"/>
        <v>722.66250000000002</v>
      </c>
      <c r="AO1227" s="4">
        <f t="shared" si="160"/>
        <v>802.8780375</v>
      </c>
      <c r="AP1227" s="4">
        <f t="shared" si="161"/>
        <v>1170.64098375</v>
      </c>
      <c r="AQ1227" s="10">
        <f t="shared" si="154"/>
        <v>768.7778505</v>
      </c>
      <c r="AR1227" s="10">
        <f t="shared" si="155"/>
        <v>854.18906969055001</v>
      </c>
      <c r="AS1227" s="10">
        <f t="shared" si="156"/>
        <v>1196.8333576584</v>
      </c>
    </row>
    <row r="1228" spans="1:45" x14ac:dyDescent="0.3">
      <c r="A1228">
        <v>2025</v>
      </c>
      <c r="B1228">
        <v>3</v>
      </c>
      <c r="C1228" t="s">
        <v>55</v>
      </c>
      <c r="D1228">
        <v>10</v>
      </c>
      <c r="E1228" t="s">
        <v>36</v>
      </c>
      <c r="F1228" t="s">
        <v>37</v>
      </c>
      <c r="G1228" t="s">
        <v>38</v>
      </c>
      <c r="H1228" t="s">
        <v>83</v>
      </c>
      <c r="I1228" t="s">
        <v>190</v>
      </c>
      <c r="J1228" t="s">
        <v>58</v>
      </c>
      <c r="K1228" t="s">
        <v>59</v>
      </c>
      <c r="M1228" t="s">
        <v>209</v>
      </c>
      <c r="N1228" t="s">
        <v>61</v>
      </c>
      <c r="O1228" t="s">
        <v>43</v>
      </c>
      <c r="Q1228" t="s">
        <v>62</v>
      </c>
      <c r="R1228" t="s">
        <v>210</v>
      </c>
      <c r="S1228" t="s">
        <v>211</v>
      </c>
      <c r="T1228" t="s">
        <v>47</v>
      </c>
      <c r="U1228" t="s">
        <v>363</v>
      </c>
      <c r="V1228" t="s">
        <v>49</v>
      </c>
      <c r="W1228" t="s">
        <v>364</v>
      </c>
      <c r="X1228" t="s">
        <v>51</v>
      </c>
      <c r="Y1228" t="s">
        <v>1871</v>
      </c>
      <c r="Z1228" t="s">
        <v>1871</v>
      </c>
      <c r="AA1228" t="s">
        <v>296</v>
      </c>
      <c r="AB1228" s="3">
        <f t="shared" si="157"/>
        <v>2</v>
      </c>
      <c r="AC1228">
        <v>808.38</v>
      </c>
      <c r="AD1228" s="2">
        <v>404.19</v>
      </c>
      <c r="AE1228" s="2">
        <v>239.98</v>
      </c>
      <c r="AF1228" s="2">
        <v>6.7</v>
      </c>
      <c r="AG1228" s="2">
        <v>1054.43</v>
      </c>
      <c r="AH1228">
        <v>0</v>
      </c>
      <c r="AI1228">
        <v>527.21500000000003</v>
      </c>
      <c r="AJ1228">
        <v>5.2721499999999999</v>
      </c>
      <c r="AK1228" t="s">
        <v>54</v>
      </c>
      <c r="AL1228">
        <v>6.1</v>
      </c>
      <c r="AM1228" s="4">
        <f t="shared" si="158"/>
        <v>527.21500000000003</v>
      </c>
      <c r="AN1228" s="4">
        <f t="shared" si="159"/>
        <v>757.85625000000005</v>
      </c>
      <c r="AO1228" s="4">
        <f t="shared" si="160"/>
        <v>841.97829375000003</v>
      </c>
      <c r="AP1228" s="4">
        <f t="shared" si="161"/>
        <v>1227.6513393749999</v>
      </c>
      <c r="AQ1228" s="10">
        <f t="shared" si="154"/>
        <v>916.87960650000014</v>
      </c>
      <c r="AR1228" s="10">
        <f t="shared" si="155"/>
        <v>1018.7449307821502</v>
      </c>
      <c r="AS1228" s="10">
        <f t="shared" si="156"/>
        <v>1427.3981713992002</v>
      </c>
    </row>
    <row r="1229" spans="1:45" x14ac:dyDescent="0.3">
      <c r="A1229">
        <v>2025</v>
      </c>
      <c r="B1229">
        <v>1</v>
      </c>
      <c r="C1229" t="s">
        <v>55</v>
      </c>
      <c r="D1229">
        <v>10</v>
      </c>
      <c r="E1229" t="s">
        <v>36</v>
      </c>
      <c r="F1229" t="s">
        <v>37</v>
      </c>
      <c r="G1229" t="s">
        <v>38</v>
      </c>
      <c r="H1229" t="s">
        <v>83</v>
      </c>
      <c r="I1229" t="s">
        <v>57</v>
      </c>
      <c r="J1229" t="s">
        <v>58</v>
      </c>
      <c r="K1229" t="s">
        <v>59</v>
      </c>
      <c r="M1229" t="s">
        <v>60</v>
      </c>
      <c r="N1229" t="s">
        <v>61</v>
      </c>
      <c r="O1229" t="s">
        <v>43</v>
      </c>
      <c r="Q1229" t="s">
        <v>62</v>
      </c>
      <c r="R1229" t="s">
        <v>63</v>
      </c>
      <c r="S1229" t="s">
        <v>63</v>
      </c>
      <c r="T1229" t="s">
        <v>47</v>
      </c>
      <c r="U1229" t="s">
        <v>178</v>
      </c>
      <c r="V1229" t="s">
        <v>49</v>
      </c>
      <c r="W1229" t="s">
        <v>179</v>
      </c>
      <c r="X1229" t="s">
        <v>51</v>
      </c>
      <c r="Y1229" t="s">
        <v>365</v>
      </c>
      <c r="Z1229" t="s">
        <v>64</v>
      </c>
      <c r="AA1229" t="s">
        <v>366</v>
      </c>
      <c r="AB1229" s="3">
        <f t="shared" si="157"/>
        <v>2</v>
      </c>
      <c r="AC1229">
        <v>406.47</v>
      </c>
      <c r="AD1229" s="2">
        <v>203.23500000000001</v>
      </c>
      <c r="AE1229" s="2">
        <v>90.79</v>
      </c>
      <c r="AF1229" s="2">
        <v>2.98</v>
      </c>
      <c r="AG1229" s="2">
        <v>500.24</v>
      </c>
      <c r="AH1229">
        <v>0</v>
      </c>
      <c r="AI1229">
        <v>250.12</v>
      </c>
      <c r="AJ1229">
        <v>2.5011999999999999</v>
      </c>
      <c r="AK1229" t="s">
        <v>54</v>
      </c>
      <c r="AL1229">
        <v>4.4000000000000004</v>
      </c>
      <c r="AM1229" s="4">
        <f t="shared" si="158"/>
        <v>250.12</v>
      </c>
      <c r="AN1229" s="4">
        <f t="shared" si="159"/>
        <v>381.06562500000001</v>
      </c>
      <c r="AO1229" s="4">
        <f t="shared" si="160"/>
        <v>423.36390937499999</v>
      </c>
      <c r="AP1229" s="4">
        <f t="shared" si="161"/>
        <v>617.28820593749992</v>
      </c>
      <c r="AQ1229" s="10">
        <f t="shared" si="154"/>
        <v>434.98369200000002</v>
      </c>
      <c r="AR1229" s="10">
        <f t="shared" si="155"/>
        <v>483.3103801812</v>
      </c>
      <c r="AS1229" s="10">
        <f t="shared" si="156"/>
        <v>677.18261170560004</v>
      </c>
    </row>
    <row r="1230" spans="1:45" x14ac:dyDescent="0.3">
      <c r="A1230">
        <v>2025</v>
      </c>
      <c r="B1230">
        <v>1</v>
      </c>
      <c r="C1230" t="s">
        <v>55</v>
      </c>
      <c r="D1230">
        <v>10</v>
      </c>
      <c r="E1230" t="s">
        <v>36</v>
      </c>
      <c r="F1230" t="s">
        <v>37</v>
      </c>
      <c r="G1230" t="s">
        <v>38</v>
      </c>
      <c r="H1230" t="s">
        <v>83</v>
      </c>
      <c r="I1230" t="s">
        <v>57</v>
      </c>
      <c r="J1230" t="s">
        <v>58</v>
      </c>
      <c r="K1230" t="s">
        <v>59</v>
      </c>
      <c r="M1230" t="s">
        <v>60</v>
      </c>
      <c r="N1230" t="s">
        <v>61</v>
      </c>
      <c r="O1230" t="s">
        <v>43</v>
      </c>
      <c r="Q1230" t="s">
        <v>62</v>
      </c>
      <c r="R1230" t="s">
        <v>63</v>
      </c>
      <c r="S1230" t="s">
        <v>63</v>
      </c>
      <c r="T1230" t="s">
        <v>47</v>
      </c>
      <c r="U1230" t="s">
        <v>157</v>
      </c>
      <c r="V1230" t="s">
        <v>49</v>
      </c>
      <c r="W1230" t="s">
        <v>158</v>
      </c>
      <c r="X1230" t="s">
        <v>51</v>
      </c>
      <c r="Y1230" t="s">
        <v>180</v>
      </c>
      <c r="Z1230" t="s">
        <v>64</v>
      </c>
      <c r="AA1230" t="s">
        <v>181</v>
      </c>
      <c r="AB1230" s="3">
        <f t="shared" si="157"/>
        <v>1</v>
      </c>
      <c r="AC1230">
        <v>488.91</v>
      </c>
      <c r="AD1230" s="2">
        <v>488.91</v>
      </c>
      <c r="AE1230" s="2">
        <v>117.47</v>
      </c>
      <c r="AF1230" s="2">
        <v>3.38</v>
      </c>
      <c r="AG1230" s="2">
        <v>609.75</v>
      </c>
      <c r="AH1230">
        <v>0</v>
      </c>
      <c r="AI1230">
        <v>609.75</v>
      </c>
      <c r="AJ1230">
        <v>3.0487500000000001</v>
      </c>
      <c r="AK1230" t="s">
        <v>54</v>
      </c>
      <c r="AL1230">
        <v>3.01</v>
      </c>
      <c r="AM1230" s="4">
        <f t="shared" si="158"/>
        <v>609.75</v>
      </c>
      <c r="AN1230" s="4">
        <f t="shared" si="159"/>
        <v>916.70625000000007</v>
      </c>
      <c r="AO1230" s="4">
        <f t="shared" si="160"/>
        <v>1018.46064375</v>
      </c>
      <c r="AP1230" s="4">
        <f t="shared" si="161"/>
        <v>1484.9724543750001</v>
      </c>
      <c r="AQ1230" s="10">
        <f t="shared" si="154"/>
        <v>1060.4162250000002</v>
      </c>
      <c r="AR1230" s="10">
        <f t="shared" si="155"/>
        <v>1178.2284675975002</v>
      </c>
      <c r="AS1230" s="10">
        <f t="shared" si="156"/>
        <v>1650.8559790800002</v>
      </c>
    </row>
    <row r="1231" spans="1:45" x14ac:dyDescent="0.3">
      <c r="A1231">
        <v>2025</v>
      </c>
      <c r="B1231">
        <v>3</v>
      </c>
      <c r="C1231" t="s">
        <v>55</v>
      </c>
      <c r="D1231">
        <v>10</v>
      </c>
      <c r="E1231" t="s">
        <v>36</v>
      </c>
      <c r="F1231" t="s">
        <v>37</v>
      </c>
      <c r="G1231" t="s">
        <v>38</v>
      </c>
      <c r="H1231" t="s">
        <v>83</v>
      </c>
      <c r="I1231" t="s">
        <v>190</v>
      </c>
      <c r="J1231" t="s">
        <v>58</v>
      </c>
      <c r="K1231" t="s">
        <v>59</v>
      </c>
      <c r="M1231" t="s">
        <v>209</v>
      </c>
      <c r="N1231" t="s">
        <v>61</v>
      </c>
      <c r="O1231" t="s">
        <v>43</v>
      </c>
      <c r="Q1231" t="s">
        <v>62</v>
      </c>
      <c r="R1231" t="s">
        <v>210</v>
      </c>
      <c r="S1231" t="s">
        <v>211</v>
      </c>
      <c r="T1231" t="s">
        <v>47</v>
      </c>
      <c r="U1231" t="s">
        <v>118</v>
      </c>
      <c r="V1231" t="s">
        <v>49</v>
      </c>
      <c r="W1231" t="s">
        <v>119</v>
      </c>
      <c r="X1231" t="s">
        <v>51</v>
      </c>
      <c r="Y1231" t="s">
        <v>159</v>
      </c>
      <c r="Z1231" t="s">
        <v>64</v>
      </c>
      <c r="AA1231" t="s">
        <v>160</v>
      </c>
      <c r="AB1231" s="3">
        <f t="shared" si="157"/>
        <v>1</v>
      </c>
      <c r="AC1231">
        <v>147.72</v>
      </c>
      <c r="AD1231" s="2">
        <v>147.72</v>
      </c>
      <c r="AE1231" s="2">
        <v>35.49</v>
      </c>
      <c r="AF1231" s="2">
        <v>1.02</v>
      </c>
      <c r="AG1231" s="2">
        <v>184.24</v>
      </c>
      <c r="AH1231">
        <v>0</v>
      </c>
      <c r="AI1231">
        <v>184.24</v>
      </c>
      <c r="AJ1231">
        <v>0.92120000000000002</v>
      </c>
      <c r="AK1231" t="s">
        <v>54</v>
      </c>
      <c r="AL1231">
        <v>3.01</v>
      </c>
      <c r="AM1231" s="4">
        <f t="shared" si="158"/>
        <v>184.24</v>
      </c>
      <c r="AN1231" s="4">
        <f t="shared" si="159"/>
        <v>276.97500000000002</v>
      </c>
      <c r="AO1231" s="4">
        <f t="shared" si="160"/>
        <v>307.71922499999999</v>
      </c>
      <c r="AP1231" s="4">
        <f t="shared" si="161"/>
        <v>448.67180250000001</v>
      </c>
      <c r="AQ1231" s="10">
        <f t="shared" si="154"/>
        <v>320.41178400000001</v>
      </c>
      <c r="AR1231" s="10">
        <f t="shared" si="155"/>
        <v>356.00953320240001</v>
      </c>
      <c r="AS1231" s="10">
        <f t="shared" si="156"/>
        <v>498.81706533120001</v>
      </c>
    </row>
    <row r="1232" spans="1:45" x14ac:dyDescent="0.3">
      <c r="A1232">
        <v>2025</v>
      </c>
      <c r="B1232">
        <v>3</v>
      </c>
      <c r="C1232" t="s">
        <v>55</v>
      </c>
      <c r="D1232">
        <v>10</v>
      </c>
      <c r="E1232" t="s">
        <v>36</v>
      </c>
      <c r="F1232" t="s">
        <v>37</v>
      </c>
      <c r="G1232" t="s">
        <v>38</v>
      </c>
      <c r="H1232" t="s">
        <v>83</v>
      </c>
      <c r="I1232" t="s">
        <v>190</v>
      </c>
      <c r="J1232" t="s">
        <v>58</v>
      </c>
      <c r="K1232" t="s">
        <v>59</v>
      </c>
      <c r="M1232" t="s">
        <v>213</v>
      </c>
      <c r="N1232" t="s">
        <v>61</v>
      </c>
      <c r="O1232" t="s">
        <v>43</v>
      </c>
      <c r="Q1232" t="s">
        <v>62</v>
      </c>
      <c r="R1232" t="s">
        <v>214</v>
      </c>
      <c r="S1232" t="s">
        <v>215</v>
      </c>
      <c r="T1232" t="s">
        <v>47</v>
      </c>
      <c r="U1232" t="s">
        <v>118</v>
      </c>
      <c r="V1232" t="s">
        <v>49</v>
      </c>
      <c r="W1232" t="s">
        <v>119</v>
      </c>
      <c r="X1232" t="s">
        <v>51</v>
      </c>
      <c r="Y1232" t="s">
        <v>116</v>
      </c>
      <c r="Z1232" t="s">
        <v>64</v>
      </c>
      <c r="AA1232" t="s">
        <v>294</v>
      </c>
      <c r="AB1232" s="3">
        <f t="shared" si="157"/>
        <v>2.999999999999988</v>
      </c>
      <c r="AC1232">
        <v>2564.33</v>
      </c>
      <c r="AD1232" s="2">
        <v>854.77666666667005</v>
      </c>
      <c r="AE1232" s="2">
        <v>572.78</v>
      </c>
      <c r="AF1232" s="2">
        <v>18.79</v>
      </c>
      <c r="AG1232" s="2">
        <v>3155.9</v>
      </c>
      <c r="AH1232">
        <v>0</v>
      </c>
      <c r="AI1232">
        <v>1051.9666666666999</v>
      </c>
      <c r="AJ1232">
        <v>15.779500000000001</v>
      </c>
      <c r="AK1232" t="s">
        <v>54</v>
      </c>
      <c r="AL1232">
        <v>6.61</v>
      </c>
      <c r="AM1232" s="4">
        <f t="shared" si="158"/>
        <v>1051.9666666666708</v>
      </c>
      <c r="AN1232" s="4">
        <f t="shared" si="159"/>
        <v>1602.7062500000063</v>
      </c>
      <c r="AO1232" s="4">
        <f t="shared" si="160"/>
        <v>1780.6066437500069</v>
      </c>
      <c r="AP1232" s="4">
        <f t="shared" si="161"/>
        <v>2596.22385437501</v>
      </c>
      <c r="AQ1232" s="10">
        <f t="shared" si="154"/>
        <v>1829.4752300000073</v>
      </c>
      <c r="AR1232" s="10">
        <f t="shared" si="155"/>
        <v>2032.7299280530081</v>
      </c>
      <c r="AS1232" s="10">
        <f t="shared" si="156"/>
        <v>2848.1270380640112</v>
      </c>
    </row>
    <row r="1233" spans="1:45" x14ac:dyDescent="0.3">
      <c r="A1233">
        <v>2025</v>
      </c>
      <c r="B1233">
        <v>4</v>
      </c>
      <c r="C1233" t="s">
        <v>55</v>
      </c>
      <c r="D1233">
        <v>10</v>
      </c>
      <c r="E1233" t="s">
        <v>36</v>
      </c>
      <c r="F1233" t="s">
        <v>37</v>
      </c>
      <c r="G1233" t="s">
        <v>38</v>
      </c>
      <c r="H1233" t="s">
        <v>101</v>
      </c>
      <c r="I1233" t="s">
        <v>375</v>
      </c>
      <c r="J1233" t="s">
        <v>376</v>
      </c>
      <c r="K1233" t="s">
        <v>59</v>
      </c>
      <c r="M1233">
        <v>2503061</v>
      </c>
      <c r="N1233" t="s">
        <v>377</v>
      </c>
      <c r="O1233" t="s">
        <v>36</v>
      </c>
      <c r="Q1233" t="s">
        <v>62</v>
      </c>
      <c r="R1233" t="s">
        <v>378</v>
      </c>
      <c r="S1233" t="s">
        <v>378</v>
      </c>
      <c r="T1233" t="s">
        <v>47</v>
      </c>
      <c r="U1233" t="s">
        <v>167</v>
      </c>
      <c r="V1233" t="s">
        <v>49</v>
      </c>
      <c r="W1233" t="s">
        <v>168</v>
      </c>
      <c r="X1233" t="s">
        <v>51</v>
      </c>
      <c r="Y1233" t="s">
        <v>116</v>
      </c>
      <c r="Z1233" t="s">
        <v>64</v>
      </c>
      <c r="AA1233" t="s">
        <v>294</v>
      </c>
      <c r="AB1233" s="3">
        <f t="shared" si="157"/>
        <v>1</v>
      </c>
      <c r="AC1233">
        <v>868.13</v>
      </c>
      <c r="AD1233" s="2">
        <v>868.13</v>
      </c>
      <c r="AE1233" s="2">
        <v>182.18</v>
      </c>
      <c r="AF1233" s="2">
        <v>6.43</v>
      </c>
      <c r="AG1233" s="2">
        <v>1056.74</v>
      </c>
      <c r="AH1233">
        <v>0</v>
      </c>
      <c r="AI1233">
        <v>1056.74</v>
      </c>
      <c r="AJ1233">
        <v>5.2836999999999996</v>
      </c>
      <c r="AK1233" t="s">
        <v>54</v>
      </c>
      <c r="AL1233">
        <v>1.94</v>
      </c>
      <c r="AM1233" s="4">
        <f t="shared" si="158"/>
        <v>1056.74</v>
      </c>
      <c r="AN1233" s="4">
        <f t="shared" si="159"/>
        <v>1627.7437500000001</v>
      </c>
      <c r="AO1233" s="4">
        <f t="shared" si="160"/>
        <v>1808.42330625</v>
      </c>
      <c r="AP1233" s="4">
        <f t="shared" si="161"/>
        <v>2636.7821006250001</v>
      </c>
      <c r="AQ1233" s="10">
        <f t="shared" si="154"/>
        <v>1837.7765340000001</v>
      </c>
      <c r="AR1233" s="10">
        <f t="shared" si="155"/>
        <v>2041.9535069274</v>
      </c>
      <c r="AS1233" s="10">
        <f t="shared" si="156"/>
        <v>2861.0505081311999</v>
      </c>
    </row>
    <row r="1234" spans="1:45" x14ac:dyDescent="0.3">
      <c r="A1234">
        <v>2025</v>
      </c>
      <c r="B1234">
        <v>12</v>
      </c>
      <c r="C1234" t="s">
        <v>55</v>
      </c>
      <c r="D1234">
        <v>10</v>
      </c>
      <c r="E1234" t="s">
        <v>36</v>
      </c>
      <c r="F1234" t="s">
        <v>37</v>
      </c>
      <c r="G1234" t="s">
        <v>38</v>
      </c>
      <c r="H1234" t="s">
        <v>101</v>
      </c>
      <c r="I1234" t="s">
        <v>57</v>
      </c>
      <c r="J1234" t="s">
        <v>58</v>
      </c>
      <c r="K1234" t="s">
        <v>59</v>
      </c>
      <c r="L1234" t="s">
        <v>1769</v>
      </c>
      <c r="M1234" t="s">
        <v>1770</v>
      </c>
      <c r="N1234" t="s">
        <v>1771</v>
      </c>
      <c r="O1234" t="s">
        <v>1197</v>
      </c>
      <c r="Q1234" t="s">
        <v>62</v>
      </c>
      <c r="R1234" t="s">
        <v>1772</v>
      </c>
      <c r="S1234" t="s">
        <v>1772</v>
      </c>
      <c r="T1234" t="s">
        <v>47</v>
      </c>
      <c r="U1234" t="s">
        <v>167</v>
      </c>
      <c r="V1234" t="s">
        <v>49</v>
      </c>
      <c r="W1234" t="s">
        <v>168</v>
      </c>
      <c r="X1234" t="s">
        <v>51</v>
      </c>
      <c r="Y1234" t="s">
        <v>579</v>
      </c>
      <c r="Z1234" t="s">
        <v>579</v>
      </c>
      <c r="AA1234" t="s">
        <v>580</v>
      </c>
      <c r="AB1234" s="3">
        <f t="shared" si="157"/>
        <v>4</v>
      </c>
      <c r="AC1234">
        <v>347.9</v>
      </c>
      <c r="AD1234" s="2">
        <v>86.974999999999994</v>
      </c>
      <c r="AE1234" s="2">
        <v>60.35</v>
      </c>
      <c r="AF1234" s="2">
        <v>2.44</v>
      </c>
      <c r="AG1234" s="2">
        <v>410.69</v>
      </c>
      <c r="AH1234">
        <v>0</v>
      </c>
      <c r="AI1234">
        <v>102.6725</v>
      </c>
      <c r="AJ1234">
        <v>2.0534500000000002</v>
      </c>
      <c r="AK1234" t="s">
        <v>54</v>
      </c>
      <c r="AL1234">
        <v>2.88</v>
      </c>
      <c r="AM1234" s="4">
        <f t="shared" si="158"/>
        <v>102.6725</v>
      </c>
      <c r="AN1234" s="4">
        <f t="shared" si="159"/>
        <v>163.078125</v>
      </c>
      <c r="AO1234" s="4">
        <f t="shared" si="160"/>
        <v>181.17979687499999</v>
      </c>
      <c r="AP1234" s="4">
        <f t="shared" si="161"/>
        <v>264.17025468750001</v>
      </c>
      <c r="AQ1234" s="10">
        <f t="shared" si="154"/>
        <v>178.55774475000001</v>
      </c>
      <c r="AR1234" s="10">
        <f t="shared" si="155"/>
        <v>198.39551019172501</v>
      </c>
      <c r="AS1234" s="10">
        <f t="shared" si="156"/>
        <v>277.97869702680003</v>
      </c>
    </row>
    <row r="1235" spans="1:45" x14ac:dyDescent="0.3">
      <c r="A1235">
        <v>2025</v>
      </c>
      <c r="B1235">
        <v>12</v>
      </c>
      <c r="C1235" t="s">
        <v>55</v>
      </c>
      <c r="D1235">
        <v>10</v>
      </c>
      <c r="E1235" t="s">
        <v>36</v>
      </c>
      <c r="F1235" t="s">
        <v>37</v>
      </c>
      <c r="G1235" t="s">
        <v>38</v>
      </c>
      <c r="H1235" t="s">
        <v>101</v>
      </c>
      <c r="I1235" t="s">
        <v>57</v>
      </c>
      <c r="J1235" t="s">
        <v>58</v>
      </c>
      <c r="K1235" t="s">
        <v>59</v>
      </c>
      <c r="L1235" t="s">
        <v>1769</v>
      </c>
      <c r="M1235" t="s">
        <v>1770</v>
      </c>
      <c r="N1235" t="s">
        <v>1771</v>
      </c>
      <c r="O1235" t="s">
        <v>1197</v>
      </c>
      <c r="Q1235" t="s">
        <v>62</v>
      </c>
      <c r="R1235" t="s">
        <v>1772</v>
      </c>
      <c r="S1235" t="s">
        <v>1772</v>
      </c>
      <c r="T1235" t="s">
        <v>47</v>
      </c>
      <c r="U1235" t="s">
        <v>167</v>
      </c>
      <c r="V1235" t="s">
        <v>49</v>
      </c>
      <c r="W1235" t="s">
        <v>168</v>
      </c>
      <c r="X1235" t="s">
        <v>51</v>
      </c>
      <c r="Y1235" t="s">
        <v>1890</v>
      </c>
      <c r="Z1235" t="s">
        <v>1890</v>
      </c>
      <c r="AA1235" t="s">
        <v>580</v>
      </c>
      <c r="AB1235" s="3">
        <f t="shared" si="157"/>
        <v>4</v>
      </c>
      <c r="AC1235">
        <v>369.11</v>
      </c>
      <c r="AD1235" s="2">
        <v>92.277500000000003</v>
      </c>
      <c r="AE1235" s="2">
        <v>109.58</v>
      </c>
      <c r="AF1235" s="2">
        <v>2.77</v>
      </c>
      <c r="AG1235" s="2">
        <v>481.46</v>
      </c>
      <c r="AH1235">
        <v>0</v>
      </c>
      <c r="AI1235">
        <v>120.36499999999999</v>
      </c>
      <c r="AJ1235">
        <v>2.4073000000000002</v>
      </c>
      <c r="AK1235" t="s">
        <v>54</v>
      </c>
      <c r="AL1235">
        <v>2.74</v>
      </c>
      <c r="AM1235" s="4">
        <f t="shared" si="158"/>
        <v>120.36499999999999</v>
      </c>
      <c r="AN1235" s="4">
        <f t="shared" si="159"/>
        <v>173.02031250000002</v>
      </c>
      <c r="AO1235" s="4">
        <f t="shared" si="160"/>
        <v>192.22556718750002</v>
      </c>
      <c r="AP1235" s="4">
        <f t="shared" si="161"/>
        <v>280.27560421875</v>
      </c>
      <c r="AQ1235" s="10">
        <f t="shared" si="154"/>
        <v>209.32677150000001</v>
      </c>
      <c r="AR1235" s="10">
        <f t="shared" si="155"/>
        <v>232.58297581364999</v>
      </c>
      <c r="AS1235" s="10">
        <f t="shared" si="156"/>
        <v>325.87991787120001</v>
      </c>
    </row>
    <row r="1236" spans="1:45" x14ac:dyDescent="0.3">
      <c r="A1236">
        <v>2025</v>
      </c>
      <c r="B1236">
        <v>3</v>
      </c>
      <c r="C1236" t="s">
        <v>55</v>
      </c>
      <c r="D1236">
        <v>10</v>
      </c>
      <c r="E1236" t="s">
        <v>36</v>
      </c>
      <c r="F1236" t="s">
        <v>37</v>
      </c>
      <c r="G1236" t="s">
        <v>38</v>
      </c>
      <c r="H1236" t="s">
        <v>83</v>
      </c>
      <c r="I1236" t="s">
        <v>190</v>
      </c>
      <c r="J1236" t="s">
        <v>58</v>
      </c>
      <c r="K1236" t="s">
        <v>59</v>
      </c>
      <c r="M1236" t="s">
        <v>209</v>
      </c>
      <c r="N1236" t="s">
        <v>61</v>
      </c>
      <c r="O1236" t="s">
        <v>43</v>
      </c>
      <c r="Q1236" t="s">
        <v>62</v>
      </c>
      <c r="R1236" t="s">
        <v>210</v>
      </c>
      <c r="S1236" t="s">
        <v>211</v>
      </c>
      <c r="T1236" t="s">
        <v>47</v>
      </c>
      <c r="U1236" t="s">
        <v>105</v>
      </c>
      <c r="V1236" t="s">
        <v>49</v>
      </c>
      <c r="W1236" t="s">
        <v>106</v>
      </c>
      <c r="X1236" t="s">
        <v>51</v>
      </c>
      <c r="Y1236" t="s">
        <v>1890</v>
      </c>
      <c r="Z1236" t="s">
        <v>1890</v>
      </c>
      <c r="AA1236" t="s">
        <v>580</v>
      </c>
      <c r="AB1236" s="3">
        <f t="shared" si="157"/>
        <v>5.9999999999999778</v>
      </c>
      <c r="AC1236">
        <v>553.66</v>
      </c>
      <c r="AD1236" s="2">
        <v>92.276666666666998</v>
      </c>
      <c r="AE1236" s="2">
        <v>164.36</v>
      </c>
      <c r="AF1236" s="2">
        <v>4.16</v>
      </c>
      <c r="AG1236" s="2">
        <v>722.18</v>
      </c>
      <c r="AH1236">
        <v>0</v>
      </c>
      <c r="AI1236">
        <v>120.36333333333</v>
      </c>
      <c r="AJ1236">
        <v>3.6109</v>
      </c>
      <c r="AK1236" t="s">
        <v>54</v>
      </c>
      <c r="AL1236">
        <v>4.1100000000000003</v>
      </c>
      <c r="AM1236" s="4">
        <f t="shared" si="158"/>
        <v>120.36333333333377</v>
      </c>
      <c r="AN1236" s="4">
        <f t="shared" si="159"/>
        <v>173.01875000000061</v>
      </c>
      <c r="AO1236" s="4">
        <f t="shared" si="160"/>
        <v>192.22383125000067</v>
      </c>
      <c r="AP1236" s="4">
        <f t="shared" si="161"/>
        <v>280.27307312500096</v>
      </c>
      <c r="AQ1236" s="10">
        <f t="shared" si="154"/>
        <v>209.32387300000076</v>
      </c>
      <c r="AR1236" s="10">
        <f t="shared" si="155"/>
        <v>232.57975529030085</v>
      </c>
      <c r="AS1236" s="10">
        <f t="shared" si="156"/>
        <v>325.87540548640118</v>
      </c>
    </row>
    <row r="1237" spans="1:45" x14ac:dyDescent="0.3">
      <c r="A1237">
        <v>2025</v>
      </c>
      <c r="B1237">
        <v>3</v>
      </c>
      <c r="C1237" t="s">
        <v>55</v>
      </c>
      <c r="D1237">
        <v>10</v>
      </c>
      <c r="E1237" t="s">
        <v>36</v>
      </c>
      <c r="F1237" t="s">
        <v>37</v>
      </c>
      <c r="G1237" t="s">
        <v>38</v>
      </c>
      <c r="H1237" t="s">
        <v>83</v>
      </c>
      <c r="I1237" t="s">
        <v>190</v>
      </c>
      <c r="J1237" t="s">
        <v>58</v>
      </c>
      <c r="K1237" t="s">
        <v>59</v>
      </c>
      <c r="M1237" t="s">
        <v>209</v>
      </c>
      <c r="N1237" t="s">
        <v>61</v>
      </c>
      <c r="O1237" t="s">
        <v>43</v>
      </c>
      <c r="Q1237" t="s">
        <v>62</v>
      </c>
      <c r="R1237" t="s">
        <v>210</v>
      </c>
      <c r="S1237" t="s">
        <v>211</v>
      </c>
      <c r="T1237" t="s">
        <v>47</v>
      </c>
      <c r="U1237" t="s">
        <v>114</v>
      </c>
      <c r="V1237" t="s">
        <v>49</v>
      </c>
      <c r="W1237" t="s">
        <v>115</v>
      </c>
      <c r="X1237" t="s">
        <v>51</v>
      </c>
      <c r="Y1237" t="s">
        <v>127</v>
      </c>
      <c r="Z1237" t="s">
        <v>64</v>
      </c>
      <c r="AA1237" t="s">
        <v>264</v>
      </c>
      <c r="AB1237" s="3">
        <f t="shared" si="157"/>
        <v>2</v>
      </c>
      <c r="AC1237">
        <v>188.06</v>
      </c>
      <c r="AD1237" s="2">
        <v>94.03</v>
      </c>
      <c r="AE1237" s="2">
        <v>42.01</v>
      </c>
      <c r="AF1237" s="2">
        <v>1.38</v>
      </c>
      <c r="AG1237" s="2">
        <v>231.45</v>
      </c>
      <c r="AH1237">
        <v>0</v>
      </c>
      <c r="AI1237">
        <v>115.72499999999999</v>
      </c>
      <c r="AJ1237">
        <v>1.1572499999999999</v>
      </c>
      <c r="AK1237" t="s">
        <v>54</v>
      </c>
      <c r="AL1237">
        <v>4.4000000000000004</v>
      </c>
      <c r="AM1237" s="4">
        <f t="shared" si="158"/>
        <v>115.72499999999999</v>
      </c>
      <c r="AN1237" s="4">
        <f t="shared" si="159"/>
        <v>176.30625000000001</v>
      </c>
      <c r="AO1237" s="4">
        <f t="shared" si="160"/>
        <v>195.87624375000001</v>
      </c>
      <c r="AP1237" s="4">
        <f t="shared" si="161"/>
        <v>285.59849437499997</v>
      </c>
      <c r="AQ1237" s="10">
        <f t="shared" si="154"/>
        <v>201.25734750000001</v>
      </c>
      <c r="AR1237" s="10">
        <f t="shared" si="155"/>
        <v>223.61703880725</v>
      </c>
      <c r="AS1237" s="10">
        <f t="shared" si="156"/>
        <v>313.31743858800002</v>
      </c>
    </row>
    <row r="1238" spans="1:45" x14ac:dyDescent="0.3">
      <c r="A1238">
        <v>2025</v>
      </c>
      <c r="B1238">
        <v>3</v>
      </c>
      <c r="C1238" t="s">
        <v>55</v>
      </c>
      <c r="D1238">
        <v>10</v>
      </c>
      <c r="E1238" t="s">
        <v>36</v>
      </c>
      <c r="F1238" t="s">
        <v>37</v>
      </c>
      <c r="G1238" t="s">
        <v>38</v>
      </c>
      <c r="H1238" t="s">
        <v>83</v>
      </c>
      <c r="I1238" t="s">
        <v>190</v>
      </c>
      <c r="J1238" t="s">
        <v>58</v>
      </c>
      <c r="K1238" t="s">
        <v>59</v>
      </c>
      <c r="M1238" t="s">
        <v>209</v>
      </c>
      <c r="N1238" t="s">
        <v>61</v>
      </c>
      <c r="O1238" t="s">
        <v>43</v>
      </c>
      <c r="Q1238" t="s">
        <v>62</v>
      </c>
      <c r="R1238" t="s">
        <v>210</v>
      </c>
      <c r="S1238" t="s">
        <v>211</v>
      </c>
      <c r="T1238" t="s">
        <v>47</v>
      </c>
      <c r="U1238" t="s">
        <v>118</v>
      </c>
      <c r="V1238" t="s">
        <v>49</v>
      </c>
      <c r="W1238" t="s">
        <v>119</v>
      </c>
      <c r="X1238" t="s">
        <v>51</v>
      </c>
      <c r="Y1238" t="s">
        <v>274</v>
      </c>
      <c r="Z1238" t="s">
        <v>64</v>
      </c>
      <c r="AA1238" t="s">
        <v>275</v>
      </c>
      <c r="AB1238" s="3">
        <f t="shared" si="157"/>
        <v>2.9999999999999307</v>
      </c>
      <c r="AC1238">
        <v>434.18</v>
      </c>
      <c r="AD1238" s="2">
        <v>144.72666666667001</v>
      </c>
      <c r="AE1238" s="2">
        <v>96.98</v>
      </c>
      <c r="AF1238" s="2">
        <v>3.18</v>
      </c>
      <c r="AG1238" s="2">
        <v>534.35</v>
      </c>
      <c r="AH1238">
        <v>0</v>
      </c>
      <c r="AI1238">
        <v>178.11666666667</v>
      </c>
      <c r="AJ1238">
        <v>2.6717499999999998</v>
      </c>
      <c r="AK1238" t="s">
        <v>54</v>
      </c>
      <c r="AL1238">
        <v>6.61</v>
      </c>
      <c r="AM1238" s="4">
        <f t="shared" si="158"/>
        <v>178.1166666666708</v>
      </c>
      <c r="AN1238" s="4">
        <f t="shared" si="159"/>
        <v>271.36250000000626</v>
      </c>
      <c r="AO1238" s="4">
        <f t="shared" si="160"/>
        <v>301.48373750000695</v>
      </c>
      <c r="AP1238" s="4">
        <f t="shared" si="161"/>
        <v>439.58011375001013</v>
      </c>
      <c r="AQ1238" s="10">
        <f t="shared" si="154"/>
        <v>309.76269500000717</v>
      </c>
      <c r="AR1238" s="10">
        <f t="shared" si="155"/>
        <v>344.17733041450794</v>
      </c>
      <c r="AS1238" s="10">
        <f t="shared" si="156"/>
        <v>482.23856357601113</v>
      </c>
    </row>
    <row r="1239" spans="1:45" x14ac:dyDescent="0.3">
      <c r="A1239">
        <v>2025</v>
      </c>
      <c r="B1239">
        <v>7</v>
      </c>
      <c r="C1239" t="s">
        <v>55</v>
      </c>
      <c r="D1239">
        <v>10</v>
      </c>
      <c r="E1239" t="s">
        <v>36</v>
      </c>
      <c r="F1239" t="s">
        <v>37</v>
      </c>
      <c r="G1239" t="s">
        <v>38</v>
      </c>
      <c r="H1239" t="s">
        <v>83</v>
      </c>
      <c r="I1239" t="s">
        <v>190</v>
      </c>
      <c r="J1239" t="s">
        <v>58</v>
      </c>
      <c r="K1239" t="s">
        <v>41</v>
      </c>
      <c r="L1239" t="s">
        <v>953</v>
      </c>
      <c r="M1239" t="s">
        <v>954</v>
      </c>
      <c r="N1239" t="s">
        <v>731</v>
      </c>
      <c r="O1239" t="s">
        <v>36</v>
      </c>
      <c r="Q1239" t="s">
        <v>62</v>
      </c>
      <c r="R1239" t="s">
        <v>955</v>
      </c>
      <c r="S1239" t="s">
        <v>956</v>
      </c>
      <c r="T1239" t="s">
        <v>47</v>
      </c>
      <c r="U1239" t="s">
        <v>118</v>
      </c>
      <c r="V1239" t="s">
        <v>49</v>
      </c>
      <c r="W1239" t="s">
        <v>714</v>
      </c>
      <c r="X1239" t="s">
        <v>51</v>
      </c>
      <c r="Y1239" t="s">
        <v>292</v>
      </c>
      <c r="Z1239" t="s">
        <v>64</v>
      </c>
      <c r="AA1239" t="s">
        <v>293</v>
      </c>
      <c r="AB1239" s="3">
        <f t="shared" si="157"/>
        <v>4</v>
      </c>
      <c r="AC1239">
        <v>371.28</v>
      </c>
      <c r="AD1239" s="2">
        <v>92.82</v>
      </c>
      <c r="AE1239" s="2">
        <v>82.93</v>
      </c>
      <c r="AF1239" s="2">
        <v>2.72</v>
      </c>
      <c r="AG1239" s="2">
        <v>456.94</v>
      </c>
      <c r="AH1239">
        <v>0</v>
      </c>
      <c r="AI1239">
        <v>114.235</v>
      </c>
      <c r="AJ1239">
        <v>2.2847</v>
      </c>
      <c r="AK1239" t="s">
        <v>54</v>
      </c>
      <c r="AL1239">
        <v>8.81</v>
      </c>
      <c r="AM1239" s="4">
        <f t="shared" si="158"/>
        <v>114.235</v>
      </c>
      <c r="AN1239" s="4">
        <f t="shared" si="159"/>
        <v>174.03749999999999</v>
      </c>
      <c r="AO1239" s="4">
        <f t="shared" si="160"/>
        <v>193.35566249999999</v>
      </c>
      <c r="AP1239" s="4">
        <f t="shared" si="161"/>
        <v>281.92334624999995</v>
      </c>
      <c r="AQ1239" s="10">
        <f t="shared" si="154"/>
        <v>198.6660885</v>
      </c>
      <c r="AR1239" s="10">
        <f t="shared" si="155"/>
        <v>220.73789093234998</v>
      </c>
      <c r="AS1239" s="10">
        <f t="shared" si="156"/>
        <v>309.28336657680001</v>
      </c>
    </row>
    <row r="1240" spans="1:45" x14ac:dyDescent="0.3">
      <c r="A1240">
        <v>2025</v>
      </c>
      <c r="B1240">
        <v>7</v>
      </c>
      <c r="C1240" t="s">
        <v>55</v>
      </c>
      <c r="D1240">
        <v>10</v>
      </c>
      <c r="E1240" t="s">
        <v>36</v>
      </c>
      <c r="F1240" t="s">
        <v>37</v>
      </c>
      <c r="G1240" t="s">
        <v>38</v>
      </c>
      <c r="H1240" t="s">
        <v>83</v>
      </c>
      <c r="I1240" t="s">
        <v>190</v>
      </c>
      <c r="J1240" t="s">
        <v>58</v>
      </c>
      <c r="K1240" t="s">
        <v>41</v>
      </c>
      <c r="L1240" t="s">
        <v>953</v>
      </c>
      <c r="M1240" t="s">
        <v>954</v>
      </c>
      <c r="N1240" t="s">
        <v>731</v>
      </c>
      <c r="O1240" t="s">
        <v>36</v>
      </c>
      <c r="Q1240" t="s">
        <v>62</v>
      </c>
      <c r="R1240" t="s">
        <v>955</v>
      </c>
      <c r="S1240" t="s">
        <v>956</v>
      </c>
      <c r="T1240" t="s">
        <v>47</v>
      </c>
      <c r="U1240" t="s">
        <v>118</v>
      </c>
      <c r="V1240" t="s">
        <v>49</v>
      </c>
      <c r="W1240" t="s">
        <v>714</v>
      </c>
      <c r="X1240" t="s">
        <v>51</v>
      </c>
      <c r="Y1240" t="s">
        <v>1099</v>
      </c>
      <c r="Z1240" t="s">
        <v>1099</v>
      </c>
      <c r="AA1240" t="s">
        <v>293</v>
      </c>
      <c r="AB1240" s="3">
        <f t="shared" si="157"/>
        <v>4</v>
      </c>
      <c r="AC1240">
        <v>297.52</v>
      </c>
      <c r="AD1240" s="2">
        <v>74.38</v>
      </c>
      <c r="AE1240" s="2">
        <v>116.17</v>
      </c>
      <c r="AF1240" s="2">
        <v>2.1</v>
      </c>
      <c r="AG1240" s="2">
        <v>415.7</v>
      </c>
      <c r="AH1240">
        <v>0</v>
      </c>
      <c r="AI1240">
        <v>103.925</v>
      </c>
      <c r="AJ1240">
        <v>2.0785</v>
      </c>
      <c r="AK1240" t="s">
        <v>54</v>
      </c>
      <c r="AL1240">
        <v>8.6999999999999993</v>
      </c>
      <c r="AM1240" s="4">
        <f t="shared" si="158"/>
        <v>103.925</v>
      </c>
      <c r="AN1240" s="4">
        <f t="shared" si="159"/>
        <v>139.46249999999998</v>
      </c>
      <c r="AO1240" s="4">
        <f t="shared" si="160"/>
        <v>154.94283749999997</v>
      </c>
      <c r="AP1240" s="4">
        <f t="shared" si="161"/>
        <v>225.91530374999994</v>
      </c>
      <c r="AQ1240" s="10">
        <f t="shared" si="154"/>
        <v>180.73596750000002</v>
      </c>
      <c r="AR1240" s="10">
        <f t="shared" si="155"/>
        <v>200.81573348925002</v>
      </c>
      <c r="AS1240" s="10">
        <f t="shared" si="156"/>
        <v>281.369754204</v>
      </c>
    </row>
    <row r="1241" spans="1:45" x14ac:dyDescent="0.3">
      <c r="A1241">
        <v>2025</v>
      </c>
      <c r="B1241">
        <v>8</v>
      </c>
      <c r="C1241" t="s">
        <v>55</v>
      </c>
      <c r="D1241">
        <v>10</v>
      </c>
      <c r="E1241" t="s">
        <v>36</v>
      </c>
      <c r="F1241" t="s">
        <v>37</v>
      </c>
      <c r="G1241" t="s">
        <v>38</v>
      </c>
      <c r="H1241" t="s">
        <v>83</v>
      </c>
      <c r="I1241" t="s">
        <v>190</v>
      </c>
      <c r="J1241" t="s">
        <v>58</v>
      </c>
      <c r="K1241" t="s">
        <v>59</v>
      </c>
      <c r="L1241" t="s">
        <v>1194</v>
      </c>
      <c r="M1241" t="s">
        <v>1195</v>
      </c>
      <c r="N1241" t="s">
        <v>1196</v>
      </c>
      <c r="O1241" t="s">
        <v>1197</v>
      </c>
      <c r="Q1241" t="s">
        <v>62</v>
      </c>
      <c r="R1241" t="s">
        <v>1198</v>
      </c>
      <c r="S1241" t="s">
        <v>1198</v>
      </c>
      <c r="T1241" t="s">
        <v>47</v>
      </c>
      <c r="U1241" t="s">
        <v>118</v>
      </c>
      <c r="V1241" t="s">
        <v>49</v>
      </c>
      <c r="W1241" t="s">
        <v>714</v>
      </c>
      <c r="X1241" t="s">
        <v>388</v>
      </c>
      <c r="Y1241" t="s">
        <v>1099</v>
      </c>
      <c r="Z1241" t="s">
        <v>1099</v>
      </c>
      <c r="AA1241" t="s">
        <v>293</v>
      </c>
      <c r="AB1241" s="3">
        <f t="shared" si="157"/>
        <v>1</v>
      </c>
      <c r="AC1241">
        <v>74.38</v>
      </c>
      <c r="AD1241" s="2">
        <v>74.38</v>
      </c>
      <c r="AE1241" s="2">
        <v>29.4</v>
      </c>
      <c r="AF1241" s="2">
        <v>0.5</v>
      </c>
      <c r="AG1241" s="2">
        <v>103.92</v>
      </c>
      <c r="AH1241">
        <v>0</v>
      </c>
      <c r="AI1241">
        <v>103.92</v>
      </c>
      <c r="AJ1241">
        <v>0.51959999999999995</v>
      </c>
      <c r="AK1241" t="s">
        <v>54</v>
      </c>
      <c r="AL1241">
        <v>2.17</v>
      </c>
      <c r="AM1241" s="4">
        <f t="shared" si="158"/>
        <v>103.92</v>
      </c>
      <c r="AN1241" s="4">
        <f t="shared" si="159"/>
        <v>139.46249999999998</v>
      </c>
      <c r="AO1241" s="4">
        <f t="shared" si="160"/>
        <v>154.94283749999997</v>
      </c>
      <c r="AP1241" s="4">
        <f t="shared" si="161"/>
        <v>225.91530374999994</v>
      </c>
      <c r="AQ1241" s="10">
        <f t="shared" si="154"/>
        <v>180.727272</v>
      </c>
      <c r="AR1241" s="10">
        <f t="shared" si="155"/>
        <v>200.80607191920001</v>
      </c>
      <c r="AS1241" s="10">
        <f t="shared" si="156"/>
        <v>281.35621704959999</v>
      </c>
    </row>
    <row r="1242" spans="1:45" x14ac:dyDescent="0.3">
      <c r="A1242">
        <v>2025</v>
      </c>
      <c r="B1242">
        <v>8</v>
      </c>
      <c r="C1242" t="s">
        <v>55</v>
      </c>
      <c r="D1242">
        <v>10</v>
      </c>
      <c r="E1242" t="s">
        <v>36</v>
      </c>
      <c r="F1242" t="s">
        <v>37</v>
      </c>
      <c r="G1242" t="s">
        <v>38</v>
      </c>
      <c r="H1242" t="s">
        <v>83</v>
      </c>
      <c r="I1242" t="s">
        <v>190</v>
      </c>
      <c r="J1242" t="s">
        <v>58</v>
      </c>
      <c r="K1242" t="s">
        <v>59</v>
      </c>
      <c r="L1242" t="s">
        <v>1194</v>
      </c>
      <c r="M1242" t="s">
        <v>1195</v>
      </c>
      <c r="N1242" t="s">
        <v>1196</v>
      </c>
      <c r="O1242" t="s">
        <v>1197</v>
      </c>
      <c r="Q1242" t="s">
        <v>62</v>
      </c>
      <c r="R1242" t="s">
        <v>1198</v>
      </c>
      <c r="S1242" t="s">
        <v>1198</v>
      </c>
      <c r="T1242" t="s">
        <v>47</v>
      </c>
      <c r="U1242" t="s">
        <v>118</v>
      </c>
      <c r="V1242" t="s">
        <v>49</v>
      </c>
      <c r="W1242" t="s">
        <v>714</v>
      </c>
      <c r="X1242" t="s">
        <v>388</v>
      </c>
      <c r="Y1242" t="s">
        <v>1099</v>
      </c>
      <c r="Z1242" t="s">
        <v>1099</v>
      </c>
      <c r="AA1242" t="s">
        <v>293</v>
      </c>
      <c r="AB1242" s="3">
        <f t="shared" si="157"/>
        <v>5</v>
      </c>
      <c r="AC1242">
        <v>385.34</v>
      </c>
      <c r="AD1242" s="2">
        <v>77.067999999999998</v>
      </c>
      <c r="AE1242" s="2">
        <v>27.62</v>
      </c>
      <c r="AF1242" s="2">
        <v>2.4900000000000002</v>
      </c>
      <c r="AG1242" s="2">
        <v>415.45</v>
      </c>
      <c r="AH1242">
        <v>0</v>
      </c>
      <c r="AI1242">
        <v>83.09</v>
      </c>
      <c r="AJ1242">
        <v>2.0772499999999998</v>
      </c>
      <c r="AK1242" t="s">
        <v>54</v>
      </c>
      <c r="AL1242">
        <v>3.24</v>
      </c>
      <c r="AM1242" s="4">
        <f t="shared" si="158"/>
        <v>83.09</v>
      </c>
      <c r="AN1242" s="4">
        <f t="shared" si="159"/>
        <v>144.5025</v>
      </c>
      <c r="AO1242" s="4">
        <f t="shared" si="160"/>
        <v>160.54227749999998</v>
      </c>
      <c r="AP1242" s="4">
        <f t="shared" si="161"/>
        <v>234.07959974999997</v>
      </c>
      <c r="AQ1242" s="10">
        <f t="shared" si="154"/>
        <v>144.50181900000001</v>
      </c>
      <c r="AR1242" s="10">
        <f t="shared" si="155"/>
        <v>160.55597109090002</v>
      </c>
      <c r="AS1242" s="10">
        <f t="shared" si="156"/>
        <v>224.96043181920001</v>
      </c>
    </row>
    <row r="1243" spans="1:45" x14ac:dyDescent="0.3">
      <c r="A1243">
        <v>2025</v>
      </c>
      <c r="B1243">
        <v>10</v>
      </c>
      <c r="C1243" t="s">
        <v>55</v>
      </c>
      <c r="D1243">
        <v>10</v>
      </c>
      <c r="E1243" t="s">
        <v>36</v>
      </c>
      <c r="F1243" t="s">
        <v>37</v>
      </c>
      <c r="G1243" t="s">
        <v>38</v>
      </c>
      <c r="H1243" t="s">
        <v>83</v>
      </c>
      <c r="I1243" t="s">
        <v>375</v>
      </c>
      <c r="J1243" t="s">
        <v>376</v>
      </c>
      <c r="K1243" t="s">
        <v>59</v>
      </c>
      <c r="L1243" t="s">
        <v>1549</v>
      </c>
      <c r="M1243" t="s">
        <v>1550</v>
      </c>
      <c r="N1243" t="s">
        <v>1551</v>
      </c>
      <c r="O1243" t="s">
        <v>1197</v>
      </c>
      <c r="Q1243" t="s">
        <v>62</v>
      </c>
      <c r="R1243" t="s">
        <v>1552</v>
      </c>
      <c r="S1243" t="s">
        <v>1552</v>
      </c>
      <c r="T1243" t="s">
        <v>47</v>
      </c>
      <c r="U1243" t="s">
        <v>163</v>
      </c>
      <c r="V1243" t="s">
        <v>49</v>
      </c>
      <c r="W1243" t="s">
        <v>164</v>
      </c>
      <c r="X1243" t="s">
        <v>51</v>
      </c>
      <c r="Y1243" t="s">
        <v>1099</v>
      </c>
      <c r="Z1243" t="s">
        <v>1099</v>
      </c>
      <c r="AA1243" t="s">
        <v>293</v>
      </c>
      <c r="AB1243" s="3">
        <f t="shared" si="157"/>
        <v>10</v>
      </c>
      <c r="AC1243">
        <v>770.69</v>
      </c>
      <c r="AD1243" s="2">
        <v>77.069000000000003</v>
      </c>
      <c r="AE1243" s="2">
        <v>55.23</v>
      </c>
      <c r="AF1243" s="2">
        <v>4.99</v>
      </c>
      <c r="AG1243" s="2">
        <v>830.9</v>
      </c>
      <c r="AH1243">
        <v>0</v>
      </c>
      <c r="AI1243">
        <v>83.09</v>
      </c>
      <c r="AJ1243">
        <v>4.1544999999999996</v>
      </c>
      <c r="AK1243" t="s">
        <v>54</v>
      </c>
      <c r="AL1243">
        <v>6.49</v>
      </c>
      <c r="AM1243" s="4">
        <f t="shared" si="158"/>
        <v>83.09</v>
      </c>
      <c r="AN1243" s="4">
        <f t="shared" si="159"/>
        <v>144.50437500000001</v>
      </c>
      <c r="AO1243" s="4">
        <f t="shared" si="160"/>
        <v>160.544360625</v>
      </c>
      <c r="AP1243" s="4">
        <f t="shared" si="161"/>
        <v>234.0826370625</v>
      </c>
      <c r="AQ1243" s="10">
        <f t="shared" si="154"/>
        <v>144.50181900000001</v>
      </c>
      <c r="AR1243" s="10">
        <f t="shared" si="155"/>
        <v>160.55597109090002</v>
      </c>
      <c r="AS1243" s="10">
        <f t="shared" si="156"/>
        <v>224.96043181920001</v>
      </c>
    </row>
    <row r="1244" spans="1:45" x14ac:dyDescent="0.3">
      <c r="A1244">
        <v>2025</v>
      </c>
      <c r="B1244">
        <v>3</v>
      </c>
      <c r="C1244" t="s">
        <v>55</v>
      </c>
      <c r="D1244">
        <v>10</v>
      </c>
      <c r="E1244" t="s">
        <v>36</v>
      </c>
      <c r="F1244" t="s">
        <v>37</v>
      </c>
      <c r="G1244" t="s">
        <v>38</v>
      </c>
      <c r="H1244" t="s">
        <v>83</v>
      </c>
      <c r="I1244" t="s">
        <v>190</v>
      </c>
      <c r="J1244" t="s">
        <v>58</v>
      </c>
      <c r="K1244" t="s">
        <v>59</v>
      </c>
      <c r="M1244" t="s">
        <v>209</v>
      </c>
      <c r="N1244" t="s">
        <v>61</v>
      </c>
      <c r="O1244" t="s">
        <v>43</v>
      </c>
      <c r="Q1244" t="s">
        <v>62</v>
      </c>
      <c r="R1244" t="s">
        <v>210</v>
      </c>
      <c r="S1244" t="s">
        <v>211</v>
      </c>
      <c r="T1244" t="s">
        <v>47</v>
      </c>
      <c r="U1244" t="s">
        <v>118</v>
      </c>
      <c r="V1244" t="s">
        <v>49</v>
      </c>
      <c r="W1244" t="s">
        <v>119</v>
      </c>
      <c r="X1244" t="s">
        <v>51</v>
      </c>
      <c r="Y1244" t="s">
        <v>1407</v>
      </c>
      <c r="Z1244" t="s">
        <v>1407</v>
      </c>
      <c r="AA1244" t="s">
        <v>1594</v>
      </c>
      <c r="AB1244" s="3">
        <f t="shared" si="157"/>
        <v>1</v>
      </c>
      <c r="AC1244">
        <v>446.36</v>
      </c>
      <c r="AD1244" s="2">
        <v>446.36</v>
      </c>
      <c r="AE1244" s="2">
        <v>204.2</v>
      </c>
      <c r="AF1244" s="2">
        <v>3.98</v>
      </c>
      <c r="AG1244" s="2">
        <v>654.36</v>
      </c>
      <c r="AH1244">
        <v>0</v>
      </c>
      <c r="AI1244">
        <v>654.36</v>
      </c>
      <c r="AJ1244">
        <v>3.2717999999999998</v>
      </c>
      <c r="AK1244" t="s">
        <v>54</v>
      </c>
      <c r="AL1244">
        <v>9.24</v>
      </c>
      <c r="AM1244" s="4">
        <f t="shared" si="158"/>
        <v>654.36</v>
      </c>
      <c r="AN1244" s="4">
        <f t="shared" si="159"/>
        <v>836.92500000000007</v>
      </c>
      <c r="AO1244" s="4">
        <f t="shared" si="160"/>
        <v>929.82367500000009</v>
      </c>
      <c r="AP1244" s="4">
        <f t="shared" si="161"/>
        <v>1355.7348075</v>
      </c>
      <c r="AQ1244" s="10">
        <f t="shared" si="154"/>
        <v>1137.997476</v>
      </c>
      <c r="AR1244" s="10">
        <f t="shared" si="155"/>
        <v>1264.4289955836</v>
      </c>
      <c r="AS1244" s="10">
        <f t="shared" si="156"/>
        <v>1771.6344706368</v>
      </c>
    </row>
    <row r="1245" spans="1:45" x14ac:dyDescent="0.3">
      <c r="A1245">
        <v>2025</v>
      </c>
      <c r="B1245">
        <v>3</v>
      </c>
      <c r="C1245" t="s">
        <v>55</v>
      </c>
      <c r="D1245">
        <v>10</v>
      </c>
      <c r="E1245" t="s">
        <v>36</v>
      </c>
      <c r="F1245" t="s">
        <v>37</v>
      </c>
      <c r="G1245" t="s">
        <v>38</v>
      </c>
      <c r="H1245" t="s">
        <v>83</v>
      </c>
      <c r="I1245" t="s">
        <v>190</v>
      </c>
      <c r="J1245" t="s">
        <v>58</v>
      </c>
      <c r="K1245" t="s">
        <v>59</v>
      </c>
      <c r="M1245" t="s">
        <v>213</v>
      </c>
      <c r="N1245" t="s">
        <v>61</v>
      </c>
      <c r="O1245" t="s">
        <v>43</v>
      </c>
      <c r="Q1245" t="s">
        <v>62</v>
      </c>
      <c r="R1245" t="s">
        <v>214</v>
      </c>
      <c r="S1245" t="s">
        <v>215</v>
      </c>
      <c r="T1245" t="s">
        <v>47</v>
      </c>
      <c r="U1245" t="s">
        <v>153</v>
      </c>
      <c r="V1245" t="s">
        <v>49</v>
      </c>
      <c r="W1245" t="s">
        <v>154</v>
      </c>
      <c r="X1245" t="s">
        <v>51</v>
      </c>
      <c r="Y1245" t="s">
        <v>122</v>
      </c>
      <c r="Z1245" t="s">
        <v>64</v>
      </c>
      <c r="AA1245" t="s">
        <v>291</v>
      </c>
      <c r="AB1245" s="3">
        <f t="shared" si="157"/>
        <v>2</v>
      </c>
      <c r="AC1245">
        <v>975.03</v>
      </c>
      <c r="AD1245" s="2">
        <v>487.51499999999999</v>
      </c>
      <c r="AE1245" s="2">
        <v>217.79</v>
      </c>
      <c r="AF1245" s="2">
        <v>7.14</v>
      </c>
      <c r="AG1245" s="2">
        <v>1199.97</v>
      </c>
      <c r="AH1245">
        <v>0</v>
      </c>
      <c r="AI1245">
        <v>599.98500000000001</v>
      </c>
      <c r="AJ1245">
        <v>5.9998500000000003</v>
      </c>
      <c r="AK1245" t="s">
        <v>54</v>
      </c>
      <c r="AL1245">
        <v>4.4000000000000004</v>
      </c>
      <c r="AM1245" s="4">
        <f t="shared" si="158"/>
        <v>599.98500000000001</v>
      </c>
      <c r="AN1245" s="4">
        <f t="shared" si="159"/>
        <v>914.09062499999993</v>
      </c>
      <c r="AO1245" s="4">
        <f t="shared" si="160"/>
        <v>1015.554684375</v>
      </c>
      <c r="AP1245" s="4">
        <f t="shared" si="161"/>
        <v>1480.7354034374998</v>
      </c>
      <c r="AQ1245" s="10">
        <f t="shared" si="154"/>
        <v>1043.4339135</v>
      </c>
      <c r="AR1245" s="10">
        <f t="shared" si="155"/>
        <v>1159.3594212898499</v>
      </c>
      <c r="AS1245" s="10">
        <f t="shared" si="156"/>
        <v>1624.4179165368</v>
      </c>
    </row>
    <row r="1246" spans="1:45" x14ac:dyDescent="0.3">
      <c r="A1246">
        <v>2025</v>
      </c>
      <c r="B1246">
        <v>4</v>
      </c>
      <c r="C1246" t="s">
        <v>55</v>
      </c>
      <c r="D1246">
        <v>10</v>
      </c>
      <c r="E1246" t="s">
        <v>36</v>
      </c>
      <c r="F1246" t="s">
        <v>37</v>
      </c>
      <c r="G1246" t="s">
        <v>38</v>
      </c>
      <c r="H1246" t="s">
        <v>83</v>
      </c>
      <c r="I1246" t="s">
        <v>375</v>
      </c>
      <c r="J1246" t="s">
        <v>376</v>
      </c>
      <c r="K1246" t="s">
        <v>59</v>
      </c>
      <c r="M1246">
        <v>2503061</v>
      </c>
      <c r="N1246" t="s">
        <v>377</v>
      </c>
      <c r="O1246" t="s">
        <v>36</v>
      </c>
      <c r="Q1246" t="s">
        <v>62</v>
      </c>
      <c r="R1246" t="s">
        <v>378</v>
      </c>
      <c r="S1246" t="s">
        <v>378</v>
      </c>
      <c r="T1246" t="s">
        <v>47</v>
      </c>
      <c r="U1246" t="s">
        <v>153</v>
      </c>
      <c r="V1246" t="s">
        <v>49</v>
      </c>
      <c r="W1246" t="s">
        <v>154</v>
      </c>
      <c r="X1246" t="s">
        <v>51</v>
      </c>
      <c r="Y1246" t="s">
        <v>165</v>
      </c>
      <c r="Z1246" t="s">
        <v>64</v>
      </c>
      <c r="AA1246" t="s">
        <v>338</v>
      </c>
      <c r="AB1246" s="3">
        <f t="shared" si="157"/>
        <v>10</v>
      </c>
      <c r="AC1246">
        <v>1604.48</v>
      </c>
      <c r="AD1246" s="2">
        <v>160.44800000000001</v>
      </c>
      <c r="AE1246" s="2">
        <v>336.71</v>
      </c>
      <c r="AF1246" s="2">
        <v>11.88</v>
      </c>
      <c r="AG1246" s="2">
        <v>1953.06</v>
      </c>
      <c r="AH1246">
        <v>0</v>
      </c>
      <c r="AI1246">
        <v>195.30600000000001</v>
      </c>
      <c r="AJ1246">
        <v>9.7652999999999999</v>
      </c>
      <c r="AK1246" t="s">
        <v>54</v>
      </c>
      <c r="AL1246">
        <v>19.440000000000001</v>
      </c>
      <c r="AM1246" s="4">
        <f t="shared" si="158"/>
        <v>195.30599999999998</v>
      </c>
      <c r="AN1246" s="4">
        <f t="shared" si="159"/>
        <v>300.84000000000003</v>
      </c>
      <c r="AO1246" s="4">
        <f t="shared" si="160"/>
        <v>334.23324000000002</v>
      </c>
      <c r="AP1246" s="4">
        <f t="shared" si="161"/>
        <v>487.330716</v>
      </c>
      <c r="AQ1246" s="10">
        <f t="shared" si="154"/>
        <v>339.6566646</v>
      </c>
      <c r="AR1246" s="10">
        <f t="shared" si="155"/>
        <v>377.39252003705997</v>
      </c>
      <c r="AS1246" s="10">
        <f t="shared" si="156"/>
        <v>528.77749544927997</v>
      </c>
    </row>
    <row r="1247" spans="1:45" x14ac:dyDescent="0.3">
      <c r="A1247">
        <v>2025</v>
      </c>
      <c r="B1247">
        <v>5</v>
      </c>
      <c r="C1247" t="s">
        <v>55</v>
      </c>
      <c r="D1247">
        <v>10</v>
      </c>
      <c r="E1247" t="s">
        <v>36</v>
      </c>
      <c r="F1247" t="s">
        <v>37</v>
      </c>
      <c r="G1247" t="s">
        <v>38</v>
      </c>
      <c r="H1247" t="s">
        <v>83</v>
      </c>
      <c r="I1247" t="s">
        <v>190</v>
      </c>
      <c r="J1247" t="s">
        <v>58</v>
      </c>
      <c r="K1247" t="s">
        <v>59</v>
      </c>
      <c r="M1247" t="s">
        <v>682</v>
      </c>
      <c r="N1247" t="s">
        <v>384</v>
      </c>
      <c r="O1247" t="s">
        <v>36</v>
      </c>
      <c r="Q1247" t="s">
        <v>62</v>
      </c>
      <c r="R1247" t="s">
        <v>683</v>
      </c>
      <c r="S1247" t="s">
        <v>683</v>
      </c>
      <c r="T1247" t="s">
        <v>47</v>
      </c>
      <c r="U1247" t="s">
        <v>163</v>
      </c>
      <c r="V1247" t="s">
        <v>49</v>
      </c>
      <c r="W1247" t="s">
        <v>164</v>
      </c>
      <c r="X1247" t="s">
        <v>686</v>
      </c>
      <c r="Y1247" t="s">
        <v>528</v>
      </c>
      <c r="Z1247" t="s">
        <v>528</v>
      </c>
      <c r="AA1247" t="s">
        <v>338</v>
      </c>
      <c r="AB1247" s="3">
        <f t="shared" si="157"/>
        <v>5</v>
      </c>
      <c r="AC1247">
        <v>645.91999999999996</v>
      </c>
      <c r="AD1247" s="2">
        <v>129.184</v>
      </c>
      <c r="AE1247" s="2">
        <v>75.44</v>
      </c>
      <c r="AF1247" s="2">
        <v>4.5599999999999996</v>
      </c>
      <c r="AG1247" s="2">
        <v>725.92</v>
      </c>
      <c r="AH1247">
        <v>0</v>
      </c>
      <c r="AI1247">
        <v>145.184</v>
      </c>
      <c r="AJ1247">
        <v>3.6295999999999999</v>
      </c>
      <c r="AK1247" t="s">
        <v>54</v>
      </c>
      <c r="AL1247">
        <v>3.6</v>
      </c>
      <c r="AM1247" s="4">
        <f t="shared" si="158"/>
        <v>145.184</v>
      </c>
      <c r="AN1247" s="4">
        <f t="shared" si="159"/>
        <v>242.22</v>
      </c>
      <c r="AO1247" s="4">
        <f t="shared" si="160"/>
        <v>269.10642000000001</v>
      </c>
      <c r="AP1247" s="4">
        <f t="shared" si="161"/>
        <v>392.37217799999996</v>
      </c>
      <c r="AQ1247" s="10">
        <f t="shared" si="154"/>
        <v>252.48949440000001</v>
      </c>
      <c r="AR1247" s="10">
        <f t="shared" si="155"/>
        <v>280.54107722783999</v>
      </c>
      <c r="AS1247" s="10">
        <f t="shared" si="156"/>
        <v>393.07564488192003</v>
      </c>
    </row>
    <row r="1248" spans="1:45" x14ac:dyDescent="0.3">
      <c r="A1248">
        <v>2025</v>
      </c>
      <c r="B1248">
        <v>9</v>
      </c>
      <c r="C1248" t="s">
        <v>55</v>
      </c>
      <c r="D1248">
        <v>10</v>
      </c>
      <c r="E1248" t="s">
        <v>36</v>
      </c>
      <c r="F1248" t="s">
        <v>37</v>
      </c>
      <c r="G1248" t="s">
        <v>38</v>
      </c>
      <c r="H1248" t="s">
        <v>83</v>
      </c>
      <c r="I1248" t="s">
        <v>375</v>
      </c>
      <c r="J1248" t="s">
        <v>376</v>
      </c>
      <c r="K1248" t="s">
        <v>59</v>
      </c>
      <c r="L1248" t="s">
        <v>1483</v>
      </c>
      <c r="M1248" t="s">
        <v>1484</v>
      </c>
      <c r="N1248" t="s">
        <v>1485</v>
      </c>
      <c r="O1248" t="s">
        <v>1197</v>
      </c>
      <c r="Q1248" t="s">
        <v>62</v>
      </c>
      <c r="R1248" t="s">
        <v>1486</v>
      </c>
      <c r="S1248" t="s">
        <v>1486</v>
      </c>
      <c r="T1248" t="s">
        <v>47</v>
      </c>
      <c r="U1248" t="s">
        <v>153</v>
      </c>
      <c r="V1248" t="s">
        <v>49</v>
      </c>
      <c r="W1248" t="s">
        <v>154</v>
      </c>
      <c r="X1248" t="s">
        <v>51</v>
      </c>
      <c r="Y1248" t="s">
        <v>165</v>
      </c>
      <c r="Z1248" t="s">
        <v>165</v>
      </c>
      <c r="AA1248" t="s">
        <v>338</v>
      </c>
      <c r="AB1248" s="3">
        <f t="shared" si="157"/>
        <v>2</v>
      </c>
      <c r="AC1248">
        <v>240.48</v>
      </c>
      <c r="AD1248" s="2">
        <v>120.24</v>
      </c>
      <c r="AE1248" s="2">
        <v>189.64</v>
      </c>
      <c r="AF1248" s="2">
        <v>2.5</v>
      </c>
      <c r="AG1248" s="2">
        <v>432.18</v>
      </c>
      <c r="AH1248">
        <v>0</v>
      </c>
      <c r="AI1248">
        <v>216.09</v>
      </c>
      <c r="AJ1248">
        <v>2.1608999999999998</v>
      </c>
      <c r="AK1248" t="s">
        <v>54</v>
      </c>
      <c r="AL1248">
        <v>6.22</v>
      </c>
      <c r="AM1248" s="4">
        <f t="shared" si="158"/>
        <v>216.09</v>
      </c>
      <c r="AN1248" s="4">
        <f t="shared" si="159"/>
        <v>225.45</v>
      </c>
      <c r="AO1248" s="4">
        <f t="shared" si="160"/>
        <v>250.47494999999998</v>
      </c>
      <c r="AP1248" s="4">
        <f t="shared" si="161"/>
        <v>365.20645499999995</v>
      </c>
      <c r="AQ1248" s="10">
        <f t="shared" si="154"/>
        <v>375.802119</v>
      </c>
      <c r="AR1248" s="10">
        <f t="shared" si="155"/>
        <v>417.55373442090001</v>
      </c>
      <c r="AS1248" s="10">
        <f t="shared" si="156"/>
        <v>585.04873885919994</v>
      </c>
    </row>
    <row r="1249" spans="1:45" x14ac:dyDescent="0.3">
      <c r="A1249">
        <v>2025</v>
      </c>
      <c r="B1249">
        <v>11</v>
      </c>
      <c r="C1249" t="s">
        <v>55</v>
      </c>
      <c r="D1249">
        <v>10</v>
      </c>
      <c r="E1249" t="s">
        <v>36</v>
      </c>
      <c r="F1249" t="s">
        <v>37</v>
      </c>
      <c r="G1249" t="s">
        <v>38</v>
      </c>
      <c r="H1249" t="s">
        <v>83</v>
      </c>
      <c r="I1249" t="s">
        <v>375</v>
      </c>
      <c r="J1249" t="s">
        <v>376</v>
      </c>
      <c r="K1249" t="s">
        <v>51</v>
      </c>
      <c r="L1249" t="s">
        <v>1622</v>
      </c>
      <c r="M1249" t="s">
        <v>1623</v>
      </c>
      <c r="N1249" t="s">
        <v>1485</v>
      </c>
      <c r="O1249" t="s">
        <v>1197</v>
      </c>
      <c r="Q1249" t="s">
        <v>62</v>
      </c>
      <c r="R1249" t="s">
        <v>1624</v>
      </c>
      <c r="S1249" t="s">
        <v>1624</v>
      </c>
      <c r="T1249" t="s">
        <v>47</v>
      </c>
      <c r="U1249" t="s">
        <v>247</v>
      </c>
      <c r="V1249" t="s">
        <v>49</v>
      </c>
      <c r="W1249" t="s">
        <v>248</v>
      </c>
      <c r="X1249" t="s">
        <v>51</v>
      </c>
      <c r="Y1249" t="s">
        <v>1530</v>
      </c>
      <c r="Z1249" t="s">
        <v>1530</v>
      </c>
      <c r="AA1249" t="s">
        <v>338</v>
      </c>
      <c r="AB1249" s="3">
        <f t="shared" si="157"/>
        <v>10</v>
      </c>
      <c r="AC1249">
        <v>1142.76</v>
      </c>
      <c r="AD1249" s="2">
        <v>114.276</v>
      </c>
      <c r="AE1249" s="2">
        <v>177.16</v>
      </c>
      <c r="AF1249" s="2">
        <v>8.9</v>
      </c>
      <c r="AG1249" s="2">
        <v>1328.1</v>
      </c>
      <c r="AH1249">
        <v>0</v>
      </c>
      <c r="AI1249">
        <v>132.81</v>
      </c>
      <c r="AJ1249">
        <v>6.6405000000000003</v>
      </c>
      <c r="AK1249" t="s">
        <v>54</v>
      </c>
      <c r="AL1249">
        <v>7.33</v>
      </c>
      <c r="AM1249" s="4">
        <f t="shared" si="158"/>
        <v>132.81</v>
      </c>
      <c r="AN1249" s="4">
        <f t="shared" si="159"/>
        <v>214.26749999999998</v>
      </c>
      <c r="AO1249" s="4">
        <f t="shared" si="160"/>
        <v>238.05119249999998</v>
      </c>
      <c r="AP1249" s="4">
        <f t="shared" si="161"/>
        <v>347.09192324999998</v>
      </c>
      <c r="AQ1249" s="10">
        <f t="shared" si="154"/>
        <v>230.96987100000001</v>
      </c>
      <c r="AR1249" s="10">
        <f t="shared" si="155"/>
        <v>256.63062366809999</v>
      </c>
      <c r="AS1249" s="10">
        <f t="shared" si="156"/>
        <v>359.57389517280001</v>
      </c>
    </row>
    <row r="1250" spans="1:45" x14ac:dyDescent="0.3">
      <c r="A1250">
        <v>2025</v>
      </c>
      <c r="B1250">
        <v>11</v>
      </c>
      <c r="C1250" t="s">
        <v>55</v>
      </c>
      <c r="D1250">
        <v>10</v>
      </c>
      <c r="E1250" t="s">
        <v>36</v>
      </c>
      <c r="F1250" t="s">
        <v>37</v>
      </c>
      <c r="G1250" t="s">
        <v>38</v>
      </c>
      <c r="H1250" t="s">
        <v>83</v>
      </c>
      <c r="I1250" t="s">
        <v>375</v>
      </c>
      <c r="J1250" t="s">
        <v>376</v>
      </c>
      <c r="K1250" t="s">
        <v>51</v>
      </c>
      <c r="L1250" t="s">
        <v>1622</v>
      </c>
      <c r="M1250" t="s">
        <v>1623</v>
      </c>
      <c r="N1250" t="s">
        <v>1485</v>
      </c>
      <c r="O1250" t="s">
        <v>1197</v>
      </c>
      <c r="Q1250" t="s">
        <v>62</v>
      </c>
      <c r="R1250" t="s">
        <v>1624</v>
      </c>
      <c r="S1250" t="s">
        <v>1624</v>
      </c>
      <c r="T1250" t="s">
        <v>47</v>
      </c>
      <c r="U1250" t="s">
        <v>247</v>
      </c>
      <c r="V1250" t="s">
        <v>49</v>
      </c>
      <c r="W1250" t="s">
        <v>248</v>
      </c>
      <c r="X1250" t="s">
        <v>51</v>
      </c>
      <c r="Y1250" t="s">
        <v>1532</v>
      </c>
      <c r="Z1250" t="s">
        <v>1532</v>
      </c>
      <c r="AA1250" t="s">
        <v>338</v>
      </c>
      <c r="AB1250" s="3">
        <f t="shared" si="157"/>
        <v>8</v>
      </c>
      <c r="AC1250">
        <v>894.97</v>
      </c>
      <c r="AD1250" s="2">
        <v>111.87125</v>
      </c>
      <c r="AE1250" s="2">
        <v>125.32</v>
      </c>
      <c r="AF1250" s="2">
        <v>6.2</v>
      </c>
      <c r="AG1250" s="2">
        <v>1026.48</v>
      </c>
      <c r="AH1250">
        <v>0</v>
      </c>
      <c r="AI1250">
        <v>128.31</v>
      </c>
      <c r="AJ1250">
        <v>5.1323999999999996</v>
      </c>
      <c r="AK1250" t="s">
        <v>54</v>
      </c>
      <c r="AL1250">
        <v>6.82</v>
      </c>
      <c r="AM1250" s="4">
        <f t="shared" si="158"/>
        <v>128.31</v>
      </c>
      <c r="AN1250" s="4">
        <f t="shared" si="159"/>
        <v>209.75859375000002</v>
      </c>
      <c r="AO1250" s="4">
        <f t="shared" si="160"/>
        <v>233.04179765625003</v>
      </c>
      <c r="AP1250" s="4">
        <f t="shared" si="161"/>
        <v>339.78794601562498</v>
      </c>
      <c r="AQ1250" s="10">
        <f t="shared" ref="AQ1250:AQ1313" si="162">SUM(AM1250)*1.7391</f>
        <v>223.14392100000001</v>
      </c>
      <c r="AR1250" s="10">
        <f t="shared" ref="AR1250:AR1313" si="163">SUM(AQ1250)*1.1111</f>
        <v>247.93521062310001</v>
      </c>
      <c r="AS1250" s="10">
        <f t="shared" ref="AS1250:AS1313" si="164">SUM(AQ1250)*1.5568</f>
        <v>347.39045621280002</v>
      </c>
    </row>
    <row r="1251" spans="1:45" x14ac:dyDescent="0.3">
      <c r="A1251">
        <v>2025</v>
      </c>
      <c r="B1251">
        <v>11</v>
      </c>
      <c r="C1251" t="s">
        <v>55</v>
      </c>
      <c r="D1251">
        <v>10</v>
      </c>
      <c r="E1251" t="s">
        <v>36</v>
      </c>
      <c r="F1251" t="s">
        <v>37</v>
      </c>
      <c r="G1251" t="s">
        <v>38</v>
      </c>
      <c r="H1251" t="s">
        <v>83</v>
      </c>
      <c r="I1251" t="s">
        <v>190</v>
      </c>
      <c r="J1251" t="s">
        <v>58</v>
      </c>
      <c r="K1251" t="s">
        <v>59</v>
      </c>
      <c r="L1251" t="s">
        <v>1629</v>
      </c>
      <c r="M1251" t="s">
        <v>1630</v>
      </c>
      <c r="N1251" t="s">
        <v>1485</v>
      </c>
      <c r="O1251" t="s">
        <v>1197</v>
      </c>
      <c r="Q1251" t="s">
        <v>62</v>
      </c>
      <c r="R1251" t="s">
        <v>1631</v>
      </c>
      <c r="S1251" t="s">
        <v>1631</v>
      </c>
      <c r="T1251" t="s">
        <v>47</v>
      </c>
      <c r="U1251" t="s">
        <v>153</v>
      </c>
      <c r="V1251" t="s">
        <v>49</v>
      </c>
      <c r="W1251" t="s">
        <v>154</v>
      </c>
      <c r="X1251" t="s">
        <v>1578</v>
      </c>
      <c r="Y1251" t="s">
        <v>1532</v>
      </c>
      <c r="Z1251" t="s">
        <v>1532</v>
      </c>
      <c r="AA1251" t="s">
        <v>338</v>
      </c>
      <c r="AB1251" s="3">
        <f t="shared" si="157"/>
        <v>2</v>
      </c>
      <c r="AC1251">
        <v>223.74</v>
      </c>
      <c r="AD1251" s="2">
        <v>111.87</v>
      </c>
      <c r="AE1251" s="2">
        <v>31.33</v>
      </c>
      <c r="AF1251" s="2">
        <v>1.55</v>
      </c>
      <c r="AG1251" s="2">
        <v>256.62</v>
      </c>
      <c r="AH1251">
        <v>0</v>
      </c>
      <c r="AI1251">
        <v>128.31</v>
      </c>
      <c r="AJ1251">
        <v>1.2830999999999999</v>
      </c>
      <c r="AK1251" t="s">
        <v>54</v>
      </c>
      <c r="AL1251">
        <v>1.71</v>
      </c>
      <c r="AM1251" s="4">
        <f t="shared" si="158"/>
        <v>128.31</v>
      </c>
      <c r="AN1251" s="4">
        <f t="shared" si="159"/>
        <v>209.75625000000002</v>
      </c>
      <c r="AO1251" s="4">
        <f t="shared" si="160"/>
        <v>233.03919375000001</v>
      </c>
      <c r="AP1251" s="4">
        <f t="shared" si="161"/>
        <v>339.78414937500003</v>
      </c>
      <c r="AQ1251" s="10">
        <f t="shared" si="162"/>
        <v>223.14392100000001</v>
      </c>
      <c r="AR1251" s="10">
        <f t="shared" si="163"/>
        <v>247.93521062310001</v>
      </c>
      <c r="AS1251" s="10">
        <f t="shared" si="164"/>
        <v>347.39045621280002</v>
      </c>
    </row>
    <row r="1252" spans="1:45" x14ac:dyDescent="0.3">
      <c r="A1252">
        <v>2025</v>
      </c>
      <c r="B1252">
        <v>11</v>
      </c>
      <c r="C1252" t="s">
        <v>55</v>
      </c>
      <c r="D1252">
        <v>10</v>
      </c>
      <c r="E1252" t="s">
        <v>36</v>
      </c>
      <c r="F1252" t="s">
        <v>37</v>
      </c>
      <c r="G1252" t="s">
        <v>38</v>
      </c>
      <c r="H1252" t="s">
        <v>83</v>
      </c>
      <c r="I1252" t="s">
        <v>375</v>
      </c>
      <c r="J1252" t="s">
        <v>376</v>
      </c>
      <c r="K1252" t="s">
        <v>51</v>
      </c>
      <c r="L1252" t="s">
        <v>1622</v>
      </c>
      <c r="M1252" t="s">
        <v>1623</v>
      </c>
      <c r="N1252" t="s">
        <v>1485</v>
      </c>
      <c r="O1252" t="s">
        <v>1197</v>
      </c>
      <c r="Q1252" t="s">
        <v>62</v>
      </c>
      <c r="R1252" t="s">
        <v>1624</v>
      </c>
      <c r="S1252" t="s">
        <v>1624</v>
      </c>
      <c r="T1252" t="s">
        <v>47</v>
      </c>
      <c r="U1252" t="s">
        <v>464</v>
      </c>
      <c r="V1252" t="s">
        <v>49</v>
      </c>
      <c r="W1252" t="s">
        <v>802</v>
      </c>
      <c r="X1252" t="s">
        <v>51</v>
      </c>
      <c r="Y1252" t="s">
        <v>1530</v>
      </c>
      <c r="Z1252" t="s">
        <v>1530</v>
      </c>
      <c r="AA1252" t="s">
        <v>338</v>
      </c>
      <c r="AB1252" s="3">
        <f t="shared" si="157"/>
        <v>14.000000000000343</v>
      </c>
      <c r="AC1252">
        <v>1630.96</v>
      </c>
      <c r="AD1252" s="2">
        <v>116.49714285714001</v>
      </c>
      <c r="AE1252" s="2">
        <v>424.65</v>
      </c>
      <c r="AF1252" s="2">
        <v>12.56</v>
      </c>
      <c r="AG1252" s="2">
        <v>2068.17</v>
      </c>
      <c r="AH1252">
        <v>0</v>
      </c>
      <c r="AI1252">
        <v>147.72642857143001</v>
      </c>
      <c r="AJ1252">
        <v>10.34085</v>
      </c>
      <c r="AK1252" t="s">
        <v>54</v>
      </c>
      <c r="AL1252">
        <v>20.53</v>
      </c>
      <c r="AM1252" s="4">
        <f t="shared" si="158"/>
        <v>147.72642857142495</v>
      </c>
      <c r="AN1252" s="4">
        <f t="shared" si="159"/>
        <v>218.43214285713751</v>
      </c>
      <c r="AO1252" s="4">
        <f t="shared" si="160"/>
        <v>242.67811071427977</v>
      </c>
      <c r="AP1252" s="4">
        <f t="shared" si="161"/>
        <v>353.83822821427702</v>
      </c>
      <c r="AQ1252" s="10">
        <f t="shared" si="162"/>
        <v>256.91103192856514</v>
      </c>
      <c r="AR1252" s="10">
        <f t="shared" si="163"/>
        <v>285.45384757582872</v>
      </c>
      <c r="AS1252" s="10">
        <f t="shared" si="164"/>
        <v>399.95909450639022</v>
      </c>
    </row>
    <row r="1253" spans="1:45" x14ac:dyDescent="0.3">
      <c r="A1253">
        <v>2025</v>
      </c>
      <c r="B1253">
        <v>11</v>
      </c>
      <c r="C1253" t="s">
        <v>55</v>
      </c>
      <c r="D1253">
        <v>10</v>
      </c>
      <c r="E1253" t="s">
        <v>36</v>
      </c>
      <c r="F1253" t="s">
        <v>37</v>
      </c>
      <c r="G1253" t="s">
        <v>38</v>
      </c>
      <c r="H1253" t="s">
        <v>83</v>
      </c>
      <c r="I1253" t="s">
        <v>375</v>
      </c>
      <c r="J1253" t="s">
        <v>376</v>
      </c>
      <c r="K1253" t="s">
        <v>51</v>
      </c>
      <c r="L1253" t="s">
        <v>1622</v>
      </c>
      <c r="M1253" t="s">
        <v>1623</v>
      </c>
      <c r="N1253" t="s">
        <v>1485</v>
      </c>
      <c r="O1253" t="s">
        <v>1197</v>
      </c>
      <c r="Q1253" t="s">
        <v>62</v>
      </c>
      <c r="R1253" t="s">
        <v>1624</v>
      </c>
      <c r="S1253" t="s">
        <v>1624</v>
      </c>
      <c r="T1253" t="s">
        <v>47</v>
      </c>
      <c r="U1253" t="s">
        <v>464</v>
      </c>
      <c r="V1253" t="s">
        <v>49</v>
      </c>
      <c r="W1253" t="s">
        <v>802</v>
      </c>
      <c r="X1253" t="s">
        <v>51</v>
      </c>
      <c r="Y1253" t="s">
        <v>1689</v>
      </c>
      <c r="Z1253" t="s">
        <v>1689</v>
      </c>
      <c r="AA1253" t="s">
        <v>1690</v>
      </c>
      <c r="AB1253" s="3">
        <f t="shared" si="157"/>
        <v>1</v>
      </c>
      <c r="AC1253">
        <v>3180.84</v>
      </c>
      <c r="AD1253" s="2">
        <v>3180.84</v>
      </c>
      <c r="AE1253" s="2">
        <v>445.39</v>
      </c>
      <c r="AF1253" s="2">
        <v>22.2</v>
      </c>
      <c r="AG1253" s="2">
        <v>3648.25</v>
      </c>
      <c r="AH1253">
        <v>0</v>
      </c>
      <c r="AI1253">
        <v>3648.25</v>
      </c>
      <c r="AJ1253">
        <v>18.241250000000001</v>
      </c>
      <c r="AK1253" t="s">
        <v>54</v>
      </c>
      <c r="AL1253">
        <v>24.24</v>
      </c>
      <c r="AM1253" s="4">
        <f t="shared" si="158"/>
        <v>3648.25</v>
      </c>
      <c r="AN1253" s="4">
        <f t="shared" si="159"/>
        <v>5964.0750000000007</v>
      </c>
      <c r="AO1253" s="4">
        <f t="shared" si="160"/>
        <v>6626.0873250000004</v>
      </c>
      <c r="AP1253" s="4">
        <f t="shared" si="161"/>
        <v>9661.2050925000003</v>
      </c>
      <c r="AQ1253" s="10">
        <f t="shared" si="162"/>
        <v>6344.6715750000003</v>
      </c>
      <c r="AR1253" s="10">
        <f t="shared" si="163"/>
        <v>7049.5645869825003</v>
      </c>
      <c r="AS1253" s="10">
        <f t="shared" si="164"/>
        <v>9877.38470796</v>
      </c>
    </row>
    <row r="1254" spans="1:45" x14ac:dyDescent="0.3">
      <c r="A1254">
        <v>2025</v>
      </c>
      <c r="B1254">
        <v>6</v>
      </c>
      <c r="C1254" t="s">
        <v>55</v>
      </c>
      <c r="D1254">
        <v>10</v>
      </c>
      <c r="E1254" t="s">
        <v>36</v>
      </c>
      <c r="F1254" t="s">
        <v>37</v>
      </c>
      <c r="G1254" t="s">
        <v>38</v>
      </c>
      <c r="H1254" t="s">
        <v>39</v>
      </c>
      <c r="I1254" t="s">
        <v>190</v>
      </c>
      <c r="J1254" t="s">
        <v>58</v>
      </c>
      <c r="K1254" t="s">
        <v>59</v>
      </c>
      <c r="M1254" t="s">
        <v>730</v>
      </c>
      <c r="N1254" t="s">
        <v>731</v>
      </c>
      <c r="O1254" t="s">
        <v>36</v>
      </c>
      <c r="Q1254" t="s">
        <v>62</v>
      </c>
      <c r="R1254" t="s">
        <v>732</v>
      </c>
      <c r="S1254" t="s">
        <v>732</v>
      </c>
      <c r="T1254" t="s">
        <v>47</v>
      </c>
      <c r="U1254" t="s">
        <v>223</v>
      </c>
      <c r="V1254" t="s">
        <v>49</v>
      </c>
      <c r="W1254" t="s">
        <v>224</v>
      </c>
      <c r="X1254" t="s">
        <v>686</v>
      </c>
      <c r="Y1254" t="s">
        <v>1689</v>
      </c>
      <c r="Z1254" t="s">
        <v>1689</v>
      </c>
      <c r="AA1254" t="s">
        <v>1690</v>
      </c>
      <c r="AB1254" s="3">
        <f t="shared" si="157"/>
        <v>1</v>
      </c>
      <c r="AC1254">
        <v>3180.84</v>
      </c>
      <c r="AD1254" s="2">
        <v>3180.84</v>
      </c>
      <c r="AE1254" s="2">
        <v>445.4</v>
      </c>
      <c r="AF1254" s="2">
        <v>22.2</v>
      </c>
      <c r="AG1254" s="2">
        <v>3648.25</v>
      </c>
      <c r="AH1254">
        <v>0</v>
      </c>
      <c r="AI1254">
        <v>3648.25</v>
      </c>
      <c r="AJ1254">
        <v>18.241250000000001</v>
      </c>
      <c r="AK1254" t="s">
        <v>54</v>
      </c>
      <c r="AL1254">
        <v>24.24</v>
      </c>
      <c r="AM1254" s="4">
        <f t="shared" si="158"/>
        <v>3648.25</v>
      </c>
      <c r="AN1254" s="4">
        <f t="shared" si="159"/>
        <v>5964.0750000000007</v>
      </c>
      <c r="AO1254" s="4">
        <f t="shared" si="160"/>
        <v>6626.0873250000004</v>
      </c>
      <c r="AP1254" s="4">
        <f t="shared" si="161"/>
        <v>9661.2050925000003</v>
      </c>
      <c r="AQ1254" s="10">
        <f t="shared" si="162"/>
        <v>6344.6715750000003</v>
      </c>
      <c r="AR1254" s="10">
        <f t="shared" si="163"/>
        <v>7049.5645869825003</v>
      </c>
      <c r="AS1254" s="10">
        <f t="shared" si="164"/>
        <v>9877.38470796</v>
      </c>
    </row>
    <row r="1255" spans="1:45" x14ac:dyDescent="0.3">
      <c r="A1255">
        <v>2025</v>
      </c>
      <c r="B1255">
        <v>3</v>
      </c>
      <c r="C1255" t="s">
        <v>55</v>
      </c>
      <c r="D1255">
        <v>10</v>
      </c>
      <c r="E1255" t="s">
        <v>36</v>
      </c>
      <c r="F1255" t="s">
        <v>37</v>
      </c>
      <c r="G1255" t="s">
        <v>38</v>
      </c>
      <c r="H1255" t="s">
        <v>78</v>
      </c>
      <c r="I1255" t="s">
        <v>190</v>
      </c>
      <c r="J1255" t="s">
        <v>58</v>
      </c>
      <c r="K1255" t="s">
        <v>59</v>
      </c>
      <c r="M1255" t="s">
        <v>209</v>
      </c>
      <c r="N1255" t="s">
        <v>61</v>
      </c>
      <c r="O1255" t="s">
        <v>43</v>
      </c>
      <c r="Q1255" t="s">
        <v>62</v>
      </c>
      <c r="R1255" t="s">
        <v>210</v>
      </c>
      <c r="S1255" t="s">
        <v>211</v>
      </c>
      <c r="T1255" t="s">
        <v>47</v>
      </c>
      <c r="U1255" t="s">
        <v>105</v>
      </c>
      <c r="V1255" t="s">
        <v>49</v>
      </c>
      <c r="W1255" t="s">
        <v>106</v>
      </c>
      <c r="X1255" t="s">
        <v>51</v>
      </c>
      <c r="Y1255" t="s">
        <v>750</v>
      </c>
      <c r="Z1255" t="s">
        <v>750</v>
      </c>
      <c r="AA1255" t="s">
        <v>751</v>
      </c>
      <c r="AB1255" s="3">
        <f t="shared" si="157"/>
        <v>0.14000000000000198</v>
      </c>
      <c r="AC1255">
        <v>14.2</v>
      </c>
      <c r="AD1255" s="2">
        <v>101.42857142857</v>
      </c>
      <c r="AE1255" s="2">
        <v>3</v>
      </c>
      <c r="AF1255" s="2">
        <v>0.11</v>
      </c>
      <c r="AG1255" s="2">
        <v>17.309999999999999</v>
      </c>
      <c r="AH1255">
        <v>0</v>
      </c>
      <c r="AI1255">
        <v>123.64285714286</v>
      </c>
      <c r="AJ1255">
        <v>8.6550000000000002E-2</v>
      </c>
      <c r="AK1255" t="s">
        <v>54</v>
      </c>
      <c r="AL1255">
        <v>0.1</v>
      </c>
      <c r="AM1255" s="4">
        <f t="shared" si="158"/>
        <v>123.64285714285538</v>
      </c>
      <c r="AN1255" s="4">
        <f t="shared" si="159"/>
        <v>190.17857142856874</v>
      </c>
      <c r="AO1255" s="4">
        <f t="shared" si="160"/>
        <v>211.28839285713988</v>
      </c>
      <c r="AP1255" s="4">
        <f t="shared" si="161"/>
        <v>308.0702678571385</v>
      </c>
      <c r="AQ1255" s="10">
        <f t="shared" si="162"/>
        <v>215.0272928571398</v>
      </c>
      <c r="AR1255" s="10">
        <f t="shared" si="163"/>
        <v>238.91682509356804</v>
      </c>
      <c r="AS1255" s="10">
        <f t="shared" si="164"/>
        <v>334.75448951999522</v>
      </c>
    </row>
    <row r="1256" spans="1:45" x14ac:dyDescent="0.3">
      <c r="A1256">
        <v>2025</v>
      </c>
      <c r="B1256">
        <v>3</v>
      </c>
      <c r="C1256" t="s">
        <v>55</v>
      </c>
      <c r="D1256">
        <v>10</v>
      </c>
      <c r="E1256" t="s">
        <v>36</v>
      </c>
      <c r="F1256" t="s">
        <v>37</v>
      </c>
      <c r="G1256" t="s">
        <v>38</v>
      </c>
      <c r="H1256" t="s">
        <v>78</v>
      </c>
      <c r="I1256" t="s">
        <v>190</v>
      </c>
      <c r="J1256" t="s">
        <v>58</v>
      </c>
      <c r="K1256" t="s">
        <v>59</v>
      </c>
      <c r="M1256" t="s">
        <v>209</v>
      </c>
      <c r="N1256" t="s">
        <v>61</v>
      </c>
      <c r="O1256" t="s">
        <v>43</v>
      </c>
      <c r="Q1256" t="s">
        <v>62</v>
      </c>
      <c r="R1256" t="s">
        <v>210</v>
      </c>
      <c r="S1256" t="s">
        <v>211</v>
      </c>
      <c r="T1256" t="s">
        <v>47</v>
      </c>
      <c r="U1256" t="s">
        <v>114</v>
      </c>
      <c r="V1256" t="s">
        <v>49</v>
      </c>
      <c r="W1256" t="s">
        <v>115</v>
      </c>
      <c r="X1256" t="s">
        <v>51</v>
      </c>
      <c r="Y1256" t="s">
        <v>107</v>
      </c>
      <c r="Z1256" t="s">
        <v>64</v>
      </c>
      <c r="AA1256" t="s">
        <v>263</v>
      </c>
      <c r="AB1256" s="3">
        <f t="shared" si="157"/>
        <v>6.0000000000000009</v>
      </c>
      <c r="AC1256">
        <v>147.99</v>
      </c>
      <c r="AD1256" s="2">
        <v>24.664999999999999</v>
      </c>
      <c r="AE1256" s="2">
        <v>33.06</v>
      </c>
      <c r="AF1256" s="2">
        <v>1.08</v>
      </c>
      <c r="AG1256" s="2">
        <v>182.13</v>
      </c>
      <c r="AH1256">
        <v>0</v>
      </c>
      <c r="AI1256">
        <v>30.355</v>
      </c>
      <c r="AJ1256">
        <v>0.91064999999999996</v>
      </c>
      <c r="AK1256" t="s">
        <v>54</v>
      </c>
      <c r="AL1256">
        <v>13.21</v>
      </c>
      <c r="AM1256" s="4">
        <f t="shared" si="158"/>
        <v>30.354999999999993</v>
      </c>
      <c r="AN1256" s="4">
        <f t="shared" si="159"/>
        <v>46.246874999999996</v>
      </c>
      <c r="AO1256" s="4">
        <f t="shared" si="160"/>
        <v>51.380278124999997</v>
      </c>
      <c r="AP1256" s="4">
        <f t="shared" si="161"/>
        <v>74.915312812499991</v>
      </c>
      <c r="AQ1256" s="10">
        <f t="shared" si="162"/>
        <v>52.790380499999991</v>
      </c>
      <c r="AR1256" s="10">
        <f t="shared" si="163"/>
        <v>58.655391773549987</v>
      </c>
      <c r="AS1256" s="10">
        <f t="shared" si="164"/>
        <v>82.18406436239998</v>
      </c>
    </row>
    <row r="1257" spans="1:45" x14ac:dyDescent="0.3">
      <c r="A1257">
        <v>2025</v>
      </c>
      <c r="B1257">
        <v>4</v>
      </c>
      <c r="C1257" t="s">
        <v>55</v>
      </c>
      <c r="D1257">
        <v>10</v>
      </c>
      <c r="E1257" t="s">
        <v>36</v>
      </c>
      <c r="F1257" t="s">
        <v>37</v>
      </c>
      <c r="G1257" t="s">
        <v>38</v>
      </c>
      <c r="H1257" t="s">
        <v>78</v>
      </c>
      <c r="I1257" t="s">
        <v>375</v>
      </c>
      <c r="J1257" t="s">
        <v>376</v>
      </c>
      <c r="K1257" t="s">
        <v>59</v>
      </c>
      <c r="M1257">
        <v>2503061</v>
      </c>
      <c r="N1257" t="s">
        <v>377</v>
      </c>
      <c r="O1257" t="s">
        <v>36</v>
      </c>
      <c r="Q1257" t="s">
        <v>62</v>
      </c>
      <c r="R1257" t="s">
        <v>378</v>
      </c>
      <c r="S1257" t="s">
        <v>378</v>
      </c>
      <c r="T1257" t="s">
        <v>47</v>
      </c>
      <c r="U1257" t="s">
        <v>476</v>
      </c>
      <c r="V1257" t="s">
        <v>49</v>
      </c>
      <c r="W1257" t="s">
        <v>106</v>
      </c>
      <c r="X1257" t="s">
        <v>51</v>
      </c>
      <c r="Y1257" t="s">
        <v>116</v>
      </c>
      <c r="Z1257" t="s">
        <v>64</v>
      </c>
      <c r="AA1257" t="s">
        <v>273</v>
      </c>
      <c r="AB1257" s="3">
        <f t="shared" si="157"/>
        <v>3</v>
      </c>
      <c r="AC1257">
        <v>559.04999999999995</v>
      </c>
      <c r="AD1257" s="2">
        <v>186.35</v>
      </c>
      <c r="AE1257" s="2">
        <v>124.87</v>
      </c>
      <c r="AF1257" s="2">
        <v>4.0999999999999996</v>
      </c>
      <c r="AG1257" s="2">
        <v>688.02</v>
      </c>
      <c r="AH1257">
        <v>0</v>
      </c>
      <c r="AI1257">
        <v>229.34</v>
      </c>
      <c r="AJ1257">
        <v>3.4401000000000002</v>
      </c>
      <c r="AK1257" t="s">
        <v>54</v>
      </c>
      <c r="AL1257">
        <v>6.61</v>
      </c>
      <c r="AM1257" s="4">
        <f t="shared" si="158"/>
        <v>229.34</v>
      </c>
      <c r="AN1257" s="4">
        <f t="shared" si="159"/>
        <v>349.40625</v>
      </c>
      <c r="AO1257" s="4">
        <f t="shared" si="160"/>
        <v>388.19034375000001</v>
      </c>
      <c r="AP1257" s="4">
        <f t="shared" si="161"/>
        <v>566.00318437499993</v>
      </c>
      <c r="AQ1257" s="10">
        <f t="shared" si="162"/>
        <v>398.84519400000005</v>
      </c>
      <c r="AR1257" s="10">
        <f t="shared" si="163"/>
        <v>443.15689505340004</v>
      </c>
      <c r="AS1257" s="10">
        <f t="shared" si="164"/>
        <v>620.9221980192001</v>
      </c>
    </row>
    <row r="1258" spans="1:45" x14ac:dyDescent="0.3">
      <c r="A1258">
        <v>2025</v>
      </c>
      <c r="B1258">
        <v>9</v>
      </c>
      <c r="C1258" t="s">
        <v>55</v>
      </c>
      <c r="D1258">
        <v>10</v>
      </c>
      <c r="E1258" t="s">
        <v>36</v>
      </c>
      <c r="F1258" t="s">
        <v>37</v>
      </c>
      <c r="G1258" t="s">
        <v>38</v>
      </c>
      <c r="H1258" t="s">
        <v>78</v>
      </c>
      <c r="I1258" t="s">
        <v>375</v>
      </c>
      <c r="J1258" t="s">
        <v>376</v>
      </c>
      <c r="K1258" t="s">
        <v>59</v>
      </c>
      <c r="L1258" t="s">
        <v>1483</v>
      </c>
      <c r="M1258" t="s">
        <v>1484</v>
      </c>
      <c r="N1258" t="s">
        <v>1485</v>
      </c>
      <c r="O1258" t="s">
        <v>1197</v>
      </c>
      <c r="Q1258" t="s">
        <v>62</v>
      </c>
      <c r="R1258" t="s">
        <v>1486</v>
      </c>
      <c r="S1258" t="s">
        <v>1486</v>
      </c>
      <c r="T1258" t="s">
        <v>47</v>
      </c>
      <c r="U1258" t="s">
        <v>114</v>
      </c>
      <c r="V1258" t="s">
        <v>49</v>
      </c>
      <c r="W1258" t="s">
        <v>710</v>
      </c>
      <c r="X1258" t="s">
        <v>51</v>
      </c>
      <c r="Y1258" t="s">
        <v>116</v>
      </c>
      <c r="Z1258" t="s">
        <v>116</v>
      </c>
      <c r="AA1258" t="s">
        <v>273</v>
      </c>
      <c r="AB1258" s="3">
        <f t="shared" si="157"/>
        <v>4</v>
      </c>
      <c r="AC1258">
        <v>734.02</v>
      </c>
      <c r="AD1258" s="2">
        <v>183.505</v>
      </c>
      <c r="AE1258" s="2">
        <v>59.72</v>
      </c>
      <c r="AF1258" s="2">
        <v>5.2</v>
      </c>
      <c r="AG1258" s="2">
        <v>798.94</v>
      </c>
      <c r="AH1258">
        <v>0</v>
      </c>
      <c r="AI1258">
        <v>199.73500000000001</v>
      </c>
      <c r="AJ1258">
        <v>3.9946999999999999</v>
      </c>
      <c r="AK1258" t="s">
        <v>54</v>
      </c>
      <c r="AL1258">
        <v>2.85</v>
      </c>
      <c r="AM1258" s="4">
        <f t="shared" si="158"/>
        <v>199.73500000000001</v>
      </c>
      <c r="AN1258" s="4">
        <f t="shared" si="159"/>
        <v>344.07187499999998</v>
      </c>
      <c r="AO1258" s="4">
        <f t="shared" si="160"/>
        <v>382.26385312499997</v>
      </c>
      <c r="AP1258" s="4">
        <f t="shared" si="161"/>
        <v>557.36203031249988</v>
      </c>
      <c r="AQ1258" s="10">
        <f t="shared" si="162"/>
        <v>347.35913850000003</v>
      </c>
      <c r="AR1258" s="10">
        <f t="shared" si="163"/>
        <v>385.95073878735002</v>
      </c>
      <c r="AS1258" s="10">
        <f t="shared" si="164"/>
        <v>540.76870681679998</v>
      </c>
    </row>
    <row r="1259" spans="1:45" x14ac:dyDescent="0.3">
      <c r="A1259">
        <v>2025</v>
      </c>
      <c r="B1259">
        <v>9</v>
      </c>
      <c r="C1259" t="s">
        <v>55</v>
      </c>
      <c r="D1259">
        <v>10</v>
      </c>
      <c r="E1259" t="s">
        <v>36</v>
      </c>
      <c r="F1259" t="s">
        <v>37</v>
      </c>
      <c r="G1259" t="s">
        <v>38</v>
      </c>
      <c r="H1259" t="s">
        <v>78</v>
      </c>
      <c r="I1259" t="s">
        <v>375</v>
      </c>
      <c r="J1259" t="s">
        <v>376</v>
      </c>
      <c r="K1259" t="s">
        <v>41</v>
      </c>
      <c r="L1259" t="s">
        <v>1503</v>
      </c>
      <c r="M1259" t="s">
        <v>1504</v>
      </c>
      <c r="N1259" t="s">
        <v>377</v>
      </c>
      <c r="O1259" t="s">
        <v>1197</v>
      </c>
      <c r="Q1259" t="s">
        <v>62</v>
      </c>
      <c r="R1259" t="s">
        <v>1505</v>
      </c>
      <c r="S1259" t="s">
        <v>1505</v>
      </c>
      <c r="T1259" t="s">
        <v>47</v>
      </c>
      <c r="U1259" t="s">
        <v>114</v>
      </c>
      <c r="V1259" t="s">
        <v>49</v>
      </c>
      <c r="W1259" t="s">
        <v>710</v>
      </c>
      <c r="X1259" t="s">
        <v>388</v>
      </c>
      <c r="Y1259" t="s">
        <v>1079</v>
      </c>
      <c r="Z1259" t="s">
        <v>1079</v>
      </c>
      <c r="AA1259" t="s">
        <v>273</v>
      </c>
      <c r="AB1259" s="3">
        <f t="shared" si="157"/>
        <v>5.999999999999881</v>
      </c>
      <c r="AC1259">
        <v>1003.48</v>
      </c>
      <c r="AD1259" s="2">
        <v>167.24666666667</v>
      </c>
      <c r="AE1259" s="2">
        <v>155.65</v>
      </c>
      <c r="AF1259" s="2">
        <v>7.11</v>
      </c>
      <c r="AG1259" s="2">
        <v>1166.24</v>
      </c>
      <c r="AH1259">
        <v>0</v>
      </c>
      <c r="AI1259">
        <v>194.37333333333001</v>
      </c>
      <c r="AJ1259">
        <v>5.8311999999999999</v>
      </c>
      <c r="AK1259" t="s">
        <v>54</v>
      </c>
      <c r="AL1259">
        <v>6.44</v>
      </c>
      <c r="AM1259" s="4">
        <f t="shared" si="158"/>
        <v>194.3733333333372</v>
      </c>
      <c r="AN1259" s="4">
        <f t="shared" si="159"/>
        <v>313.58750000000623</v>
      </c>
      <c r="AO1259" s="4">
        <f t="shared" si="160"/>
        <v>348.39571250000694</v>
      </c>
      <c r="AP1259" s="4">
        <f t="shared" si="161"/>
        <v>507.98039125001009</v>
      </c>
      <c r="AQ1259" s="10">
        <f t="shared" si="162"/>
        <v>338.03466400000673</v>
      </c>
      <c r="AR1259" s="10">
        <f t="shared" si="163"/>
        <v>375.59031517040745</v>
      </c>
      <c r="AS1259" s="10">
        <f t="shared" si="164"/>
        <v>526.25236491521048</v>
      </c>
    </row>
    <row r="1260" spans="1:45" x14ac:dyDescent="0.3">
      <c r="A1260">
        <v>2025</v>
      </c>
      <c r="B1260">
        <v>4</v>
      </c>
      <c r="C1260" t="s">
        <v>55</v>
      </c>
      <c r="D1260">
        <v>10</v>
      </c>
      <c r="E1260" t="s">
        <v>36</v>
      </c>
      <c r="F1260" t="s">
        <v>37</v>
      </c>
      <c r="G1260" t="s">
        <v>38</v>
      </c>
      <c r="H1260" t="s">
        <v>78</v>
      </c>
      <c r="I1260" t="s">
        <v>375</v>
      </c>
      <c r="J1260" t="s">
        <v>376</v>
      </c>
      <c r="K1260" t="s">
        <v>59</v>
      </c>
      <c r="M1260">
        <v>2503061</v>
      </c>
      <c r="N1260" t="s">
        <v>377</v>
      </c>
      <c r="O1260" t="s">
        <v>36</v>
      </c>
      <c r="Q1260" t="s">
        <v>62</v>
      </c>
      <c r="R1260" t="s">
        <v>378</v>
      </c>
      <c r="S1260" t="s">
        <v>378</v>
      </c>
      <c r="T1260" t="s">
        <v>47</v>
      </c>
      <c r="U1260" t="s">
        <v>118</v>
      </c>
      <c r="V1260" t="s">
        <v>49</v>
      </c>
      <c r="W1260" t="s">
        <v>119</v>
      </c>
      <c r="X1260" t="s">
        <v>51</v>
      </c>
      <c r="Y1260" t="s">
        <v>1079</v>
      </c>
      <c r="Z1260" t="s">
        <v>1079</v>
      </c>
      <c r="AA1260" t="s">
        <v>273</v>
      </c>
      <c r="AB1260" s="3">
        <f t="shared" si="157"/>
        <v>2</v>
      </c>
      <c r="AC1260">
        <v>332.61</v>
      </c>
      <c r="AD1260" s="2">
        <v>166.30500000000001</v>
      </c>
      <c r="AE1260" s="2">
        <v>120.94</v>
      </c>
      <c r="AF1260" s="2">
        <v>2.78</v>
      </c>
      <c r="AG1260" s="2">
        <v>456.33</v>
      </c>
      <c r="AH1260">
        <v>0</v>
      </c>
      <c r="AI1260">
        <v>228.16499999999999</v>
      </c>
      <c r="AJ1260">
        <v>2.28165</v>
      </c>
      <c r="AK1260" t="s">
        <v>54</v>
      </c>
      <c r="AL1260">
        <v>4.45</v>
      </c>
      <c r="AM1260" s="4">
        <f t="shared" si="158"/>
        <v>228.16499999999999</v>
      </c>
      <c r="AN1260" s="4">
        <f t="shared" si="159"/>
        <v>311.82187500000003</v>
      </c>
      <c r="AO1260" s="4">
        <f t="shared" si="160"/>
        <v>346.43410312500004</v>
      </c>
      <c r="AP1260" s="4">
        <f t="shared" si="161"/>
        <v>505.12025531250003</v>
      </c>
      <c r="AQ1260" s="10">
        <f t="shared" si="162"/>
        <v>396.80175150000002</v>
      </c>
      <c r="AR1260" s="10">
        <f t="shared" si="163"/>
        <v>440.88642609165004</v>
      </c>
      <c r="AS1260" s="10">
        <f t="shared" si="164"/>
        <v>617.7409667352</v>
      </c>
    </row>
    <row r="1261" spans="1:45" x14ac:dyDescent="0.3">
      <c r="A1261">
        <v>2025</v>
      </c>
      <c r="B1261">
        <v>9</v>
      </c>
      <c r="C1261" t="s">
        <v>55</v>
      </c>
      <c r="D1261">
        <v>10</v>
      </c>
      <c r="E1261" t="s">
        <v>36</v>
      </c>
      <c r="F1261" t="s">
        <v>37</v>
      </c>
      <c r="G1261" t="s">
        <v>38</v>
      </c>
      <c r="H1261" t="s">
        <v>78</v>
      </c>
      <c r="I1261" t="s">
        <v>375</v>
      </c>
      <c r="J1261" t="s">
        <v>376</v>
      </c>
      <c r="K1261" t="s">
        <v>41</v>
      </c>
      <c r="L1261" t="s">
        <v>1503</v>
      </c>
      <c r="M1261" t="s">
        <v>1504</v>
      </c>
      <c r="N1261" t="s">
        <v>377</v>
      </c>
      <c r="O1261" t="s">
        <v>1197</v>
      </c>
      <c r="Q1261" t="s">
        <v>62</v>
      </c>
      <c r="R1261" t="s">
        <v>1505</v>
      </c>
      <c r="S1261" t="s">
        <v>1505</v>
      </c>
      <c r="T1261" t="s">
        <v>47</v>
      </c>
      <c r="U1261" t="s">
        <v>118</v>
      </c>
      <c r="V1261" t="s">
        <v>49</v>
      </c>
      <c r="W1261" t="s">
        <v>714</v>
      </c>
      <c r="X1261" t="s">
        <v>388</v>
      </c>
      <c r="Y1261" t="s">
        <v>498</v>
      </c>
      <c r="Z1261" t="s">
        <v>498</v>
      </c>
      <c r="AA1261" t="s">
        <v>499</v>
      </c>
      <c r="AB1261" s="3">
        <f t="shared" si="157"/>
        <v>10</v>
      </c>
      <c r="AC1261">
        <v>367.18</v>
      </c>
      <c r="AD1261" s="2">
        <v>36.718000000000004</v>
      </c>
      <c r="AE1261" s="2">
        <v>235.95</v>
      </c>
      <c r="AF1261" s="2">
        <v>2.42</v>
      </c>
      <c r="AG1261" s="2">
        <v>605.54999999999995</v>
      </c>
      <c r="AH1261">
        <v>0</v>
      </c>
      <c r="AI1261">
        <v>60.555</v>
      </c>
      <c r="AJ1261">
        <v>3.0277500000000002</v>
      </c>
      <c r="AK1261" t="s">
        <v>54</v>
      </c>
      <c r="AL1261">
        <v>11.26</v>
      </c>
      <c r="AM1261" s="4">
        <f t="shared" si="158"/>
        <v>60.554999999999993</v>
      </c>
      <c r="AN1261" s="4">
        <f t="shared" si="159"/>
        <v>68.846250000000012</v>
      </c>
      <c r="AO1261" s="4">
        <f t="shared" si="160"/>
        <v>76.488183750000019</v>
      </c>
      <c r="AP1261" s="4">
        <f t="shared" si="161"/>
        <v>111.52404037500001</v>
      </c>
      <c r="AQ1261" s="10">
        <f t="shared" si="162"/>
        <v>105.3112005</v>
      </c>
      <c r="AR1261" s="10">
        <f t="shared" si="163"/>
        <v>117.01127487555</v>
      </c>
      <c r="AS1261" s="10">
        <f t="shared" si="164"/>
        <v>163.94847693840001</v>
      </c>
    </row>
    <row r="1262" spans="1:45" x14ac:dyDescent="0.3">
      <c r="A1262">
        <v>2025</v>
      </c>
      <c r="B1262">
        <v>4</v>
      </c>
      <c r="C1262" t="s">
        <v>55</v>
      </c>
      <c r="D1262">
        <v>10</v>
      </c>
      <c r="E1262" t="s">
        <v>36</v>
      </c>
      <c r="F1262" t="s">
        <v>37</v>
      </c>
      <c r="G1262" t="s">
        <v>38</v>
      </c>
      <c r="H1262" t="s">
        <v>628</v>
      </c>
      <c r="I1262" t="s">
        <v>190</v>
      </c>
      <c r="J1262" t="s">
        <v>58</v>
      </c>
      <c r="K1262" t="s">
        <v>59</v>
      </c>
      <c r="M1262" t="s">
        <v>383</v>
      </c>
      <c r="N1262" t="s">
        <v>384</v>
      </c>
      <c r="O1262" t="s">
        <v>36</v>
      </c>
      <c r="Q1262" t="s">
        <v>62</v>
      </c>
      <c r="R1262" t="s">
        <v>385</v>
      </c>
      <c r="S1262" t="s">
        <v>385</v>
      </c>
      <c r="T1262" t="s">
        <v>47</v>
      </c>
      <c r="U1262" t="s">
        <v>629</v>
      </c>
      <c r="V1262" t="s">
        <v>49</v>
      </c>
      <c r="W1262" t="s">
        <v>630</v>
      </c>
      <c r="X1262" t="s">
        <v>388</v>
      </c>
      <c r="Y1262" t="s">
        <v>1086</v>
      </c>
      <c r="Z1262" t="s">
        <v>1086</v>
      </c>
      <c r="AA1262" t="s">
        <v>499</v>
      </c>
      <c r="AB1262" s="3">
        <f t="shared" si="157"/>
        <v>5.9999999999999369</v>
      </c>
      <c r="AC1262">
        <v>189.85</v>
      </c>
      <c r="AD1262" s="2">
        <v>31.641666666667</v>
      </c>
      <c r="AE1262" s="2">
        <v>69.400000000000006</v>
      </c>
      <c r="AF1262" s="2">
        <v>1.59</v>
      </c>
      <c r="AG1262" s="2">
        <v>260.49</v>
      </c>
      <c r="AH1262">
        <v>0</v>
      </c>
      <c r="AI1262">
        <v>43.414999999999999</v>
      </c>
      <c r="AJ1262">
        <v>1.3024500000000001</v>
      </c>
      <c r="AK1262" t="s">
        <v>54</v>
      </c>
      <c r="AL1262">
        <v>13.35</v>
      </c>
      <c r="AM1262" s="4">
        <f t="shared" si="158"/>
        <v>43.415000000000461</v>
      </c>
      <c r="AN1262" s="4">
        <f t="shared" si="159"/>
        <v>59.328125000000625</v>
      </c>
      <c r="AO1262" s="4">
        <f t="shared" si="160"/>
        <v>65.913546875000691</v>
      </c>
      <c r="AP1262" s="4">
        <f t="shared" si="161"/>
        <v>96.105629687501008</v>
      </c>
      <c r="AQ1262" s="10">
        <f t="shared" si="162"/>
        <v>75.5030265000008</v>
      </c>
      <c r="AR1262" s="10">
        <f t="shared" si="163"/>
        <v>83.891412744150884</v>
      </c>
      <c r="AS1262" s="10">
        <f t="shared" si="164"/>
        <v>117.54311165520124</v>
      </c>
    </row>
    <row r="1263" spans="1:45" x14ac:dyDescent="0.3">
      <c r="A1263">
        <v>2025</v>
      </c>
      <c r="B1263">
        <v>7</v>
      </c>
      <c r="C1263" t="s">
        <v>55</v>
      </c>
      <c r="D1263">
        <v>10</v>
      </c>
      <c r="E1263" t="s">
        <v>36</v>
      </c>
      <c r="F1263" t="s">
        <v>37</v>
      </c>
      <c r="G1263" t="s">
        <v>38</v>
      </c>
      <c r="H1263" t="s">
        <v>628</v>
      </c>
      <c r="I1263" t="s">
        <v>190</v>
      </c>
      <c r="J1263" t="s">
        <v>58</v>
      </c>
      <c r="K1263" t="s">
        <v>41</v>
      </c>
      <c r="L1263" t="s">
        <v>953</v>
      </c>
      <c r="M1263" t="s">
        <v>954</v>
      </c>
      <c r="N1263" t="s">
        <v>731</v>
      </c>
      <c r="O1263" t="s">
        <v>36</v>
      </c>
      <c r="Q1263" t="s">
        <v>62</v>
      </c>
      <c r="R1263" t="s">
        <v>955</v>
      </c>
      <c r="S1263" t="s">
        <v>956</v>
      </c>
      <c r="T1263" t="s">
        <v>47</v>
      </c>
      <c r="U1263" t="s">
        <v>629</v>
      </c>
      <c r="V1263" t="s">
        <v>49</v>
      </c>
      <c r="W1263" t="s">
        <v>908</v>
      </c>
      <c r="X1263" t="s">
        <v>51</v>
      </c>
      <c r="Y1263" t="s">
        <v>631</v>
      </c>
      <c r="Z1263" t="s">
        <v>631</v>
      </c>
      <c r="AA1263" t="s">
        <v>632</v>
      </c>
      <c r="AB1263" s="3">
        <f t="shared" si="157"/>
        <v>1</v>
      </c>
      <c r="AC1263">
        <v>114.72</v>
      </c>
      <c r="AD1263" s="2">
        <v>114.72</v>
      </c>
      <c r="AE1263" s="2">
        <v>15.32</v>
      </c>
      <c r="AF1263" s="2">
        <v>0.75</v>
      </c>
      <c r="AG1263" s="2">
        <v>130.80000000000001</v>
      </c>
      <c r="AH1263">
        <v>0</v>
      </c>
      <c r="AI1263">
        <v>130.80000000000001</v>
      </c>
      <c r="AJ1263">
        <v>0.65400000000000003</v>
      </c>
      <c r="AK1263" t="s">
        <v>54</v>
      </c>
      <c r="AL1263">
        <v>0.78</v>
      </c>
      <c r="AM1263" s="4">
        <f t="shared" si="158"/>
        <v>130.80000000000001</v>
      </c>
      <c r="AN1263" s="4">
        <f t="shared" si="159"/>
        <v>215.1</v>
      </c>
      <c r="AO1263" s="4">
        <f t="shared" si="160"/>
        <v>238.9761</v>
      </c>
      <c r="AP1263" s="4">
        <f t="shared" si="161"/>
        <v>348.44048999999995</v>
      </c>
      <c r="AQ1263" s="10">
        <f t="shared" si="162"/>
        <v>227.47428000000002</v>
      </c>
      <c r="AR1263" s="10">
        <f t="shared" si="163"/>
        <v>252.74667250800002</v>
      </c>
      <c r="AS1263" s="10">
        <f t="shared" si="164"/>
        <v>354.13195910400003</v>
      </c>
    </row>
    <row r="1264" spans="1:45" x14ac:dyDescent="0.3">
      <c r="A1264">
        <v>2025</v>
      </c>
      <c r="B1264">
        <v>3</v>
      </c>
      <c r="C1264" t="s">
        <v>55</v>
      </c>
      <c r="D1264">
        <v>10</v>
      </c>
      <c r="E1264" t="s">
        <v>36</v>
      </c>
      <c r="F1264" t="s">
        <v>37</v>
      </c>
      <c r="G1264" t="s">
        <v>38</v>
      </c>
      <c r="H1264" t="s">
        <v>83</v>
      </c>
      <c r="I1264" t="s">
        <v>190</v>
      </c>
      <c r="J1264" t="s">
        <v>58</v>
      </c>
      <c r="K1264" t="s">
        <v>59</v>
      </c>
      <c r="M1264" t="s">
        <v>209</v>
      </c>
      <c r="N1264" t="s">
        <v>61</v>
      </c>
      <c r="O1264" t="s">
        <v>43</v>
      </c>
      <c r="Q1264" t="s">
        <v>62</v>
      </c>
      <c r="R1264" t="s">
        <v>210</v>
      </c>
      <c r="S1264" t="s">
        <v>211</v>
      </c>
      <c r="T1264" t="s">
        <v>47</v>
      </c>
      <c r="U1264" t="s">
        <v>118</v>
      </c>
      <c r="V1264" t="s">
        <v>49</v>
      </c>
      <c r="W1264" t="s">
        <v>119</v>
      </c>
      <c r="X1264" t="s">
        <v>51</v>
      </c>
      <c r="Y1264" t="s">
        <v>1161</v>
      </c>
      <c r="Z1264" t="s">
        <v>1161</v>
      </c>
      <c r="AA1264" t="s">
        <v>632</v>
      </c>
      <c r="AB1264" s="3">
        <f t="shared" si="157"/>
        <v>1</v>
      </c>
      <c r="AC1264">
        <v>86.78</v>
      </c>
      <c r="AD1264" s="2">
        <v>86.78</v>
      </c>
      <c r="AE1264" s="2">
        <v>29.4</v>
      </c>
      <c r="AF1264" s="2">
        <v>0.59</v>
      </c>
      <c r="AG1264" s="2">
        <v>116.41</v>
      </c>
      <c r="AH1264">
        <v>0</v>
      </c>
      <c r="AI1264">
        <v>116.41</v>
      </c>
      <c r="AJ1264">
        <v>0.58204999999999996</v>
      </c>
      <c r="AK1264" t="s">
        <v>54</v>
      </c>
      <c r="AL1264">
        <v>2.17</v>
      </c>
      <c r="AM1264" s="4">
        <f t="shared" si="158"/>
        <v>116.41</v>
      </c>
      <c r="AN1264" s="4">
        <f t="shared" si="159"/>
        <v>162.71250000000001</v>
      </c>
      <c r="AO1264" s="4">
        <f t="shared" si="160"/>
        <v>180.77358749999999</v>
      </c>
      <c r="AP1264" s="4">
        <f t="shared" si="161"/>
        <v>263.57797875</v>
      </c>
      <c r="AQ1264" s="10">
        <f t="shared" si="162"/>
        <v>202.44863100000001</v>
      </c>
      <c r="AR1264" s="10">
        <f t="shared" si="163"/>
        <v>224.94067390410001</v>
      </c>
      <c r="AS1264" s="10">
        <f t="shared" si="164"/>
        <v>315.17202874079999</v>
      </c>
    </row>
    <row r="1265" spans="1:45" x14ac:dyDescent="0.3">
      <c r="A1265">
        <v>2025</v>
      </c>
      <c r="B1265">
        <v>8</v>
      </c>
      <c r="C1265" t="s">
        <v>55</v>
      </c>
      <c r="D1265">
        <v>10</v>
      </c>
      <c r="E1265" t="s">
        <v>36</v>
      </c>
      <c r="F1265" t="s">
        <v>37</v>
      </c>
      <c r="G1265" t="s">
        <v>38</v>
      </c>
      <c r="H1265" t="s">
        <v>39</v>
      </c>
      <c r="I1265" t="s">
        <v>190</v>
      </c>
      <c r="J1265" t="s">
        <v>58</v>
      </c>
      <c r="K1265" t="s">
        <v>59</v>
      </c>
      <c r="L1265" t="s">
        <v>1194</v>
      </c>
      <c r="M1265" t="s">
        <v>1195</v>
      </c>
      <c r="N1265" t="s">
        <v>1196</v>
      </c>
      <c r="O1265" t="s">
        <v>1197</v>
      </c>
      <c r="Q1265" t="s">
        <v>62</v>
      </c>
      <c r="R1265" t="s">
        <v>1198</v>
      </c>
      <c r="S1265" t="s">
        <v>1198</v>
      </c>
      <c r="T1265" t="s">
        <v>47</v>
      </c>
      <c r="U1265" t="s">
        <v>223</v>
      </c>
      <c r="V1265" t="s">
        <v>49</v>
      </c>
      <c r="W1265" t="s">
        <v>224</v>
      </c>
      <c r="X1265" t="s">
        <v>388</v>
      </c>
      <c r="Y1265" t="s">
        <v>289</v>
      </c>
      <c r="Z1265" t="s">
        <v>64</v>
      </c>
      <c r="AA1265" t="s">
        <v>290</v>
      </c>
      <c r="AB1265" s="3">
        <f t="shared" si="157"/>
        <v>1</v>
      </c>
      <c r="AC1265">
        <v>127.03</v>
      </c>
      <c r="AD1265" s="2">
        <v>127.03</v>
      </c>
      <c r="AE1265" s="2">
        <v>28.38</v>
      </c>
      <c r="AF1265" s="2">
        <v>0.93</v>
      </c>
      <c r="AG1265" s="2">
        <v>156.34</v>
      </c>
      <c r="AH1265">
        <v>0</v>
      </c>
      <c r="AI1265">
        <v>156.34</v>
      </c>
      <c r="AJ1265">
        <v>0.78169999999999995</v>
      </c>
      <c r="AK1265" t="s">
        <v>54</v>
      </c>
      <c r="AL1265">
        <v>2.2000000000000002</v>
      </c>
      <c r="AM1265" s="4">
        <f t="shared" si="158"/>
        <v>156.34</v>
      </c>
      <c r="AN1265" s="4">
        <f t="shared" si="159"/>
        <v>238.18125000000001</v>
      </c>
      <c r="AO1265" s="4">
        <f t="shared" si="160"/>
        <v>264.61936874999998</v>
      </c>
      <c r="AP1265" s="4">
        <f t="shared" si="161"/>
        <v>385.82980687499997</v>
      </c>
      <c r="AQ1265" s="10">
        <f t="shared" si="162"/>
        <v>271.890894</v>
      </c>
      <c r="AR1265" s="10">
        <f t="shared" si="163"/>
        <v>302.09797232339997</v>
      </c>
      <c r="AS1265" s="10">
        <f t="shared" si="164"/>
        <v>423.27974377919998</v>
      </c>
    </row>
    <row r="1266" spans="1:45" x14ac:dyDescent="0.3">
      <c r="A1266">
        <v>2025</v>
      </c>
      <c r="B1266">
        <v>9</v>
      </c>
      <c r="C1266" t="s">
        <v>55</v>
      </c>
      <c r="D1266">
        <v>10</v>
      </c>
      <c r="E1266" t="s">
        <v>36</v>
      </c>
      <c r="F1266" t="s">
        <v>37</v>
      </c>
      <c r="G1266" t="s">
        <v>38</v>
      </c>
      <c r="H1266" t="s">
        <v>39</v>
      </c>
      <c r="I1266" t="s">
        <v>375</v>
      </c>
      <c r="J1266" t="s">
        <v>376</v>
      </c>
      <c r="K1266" t="s">
        <v>59</v>
      </c>
      <c r="L1266" t="s">
        <v>1483</v>
      </c>
      <c r="M1266" t="s">
        <v>1484</v>
      </c>
      <c r="N1266" t="s">
        <v>1485</v>
      </c>
      <c r="O1266" t="s">
        <v>1197</v>
      </c>
      <c r="Q1266" t="s">
        <v>62</v>
      </c>
      <c r="R1266" t="s">
        <v>1486</v>
      </c>
      <c r="S1266" t="s">
        <v>1486</v>
      </c>
      <c r="T1266" t="s">
        <v>47</v>
      </c>
      <c r="U1266" t="s">
        <v>223</v>
      </c>
      <c r="V1266" t="s">
        <v>49</v>
      </c>
      <c r="W1266" t="s">
        <v>224</v>
      </c>
      <c r="X1266" t="s">
        <v>51</v>
      </c>
      <c r="Y1266" t="s">
        <v>1242</v>
      </c>
      <c r="Z1266" t="s">
        <v>1243</v>
      </c>
      <c r="AA1266" t="s">
        <v>1244</v>
      </c>
      <c r="AB1266" s="3">
        <f t="shared" si="157"/>
        <v>2</v>
      </c>
      <c r="AC1266">
        <v>108.29</v>
      </c>
      <c r="AD1266" s="2">
        <v>54.145000000000003</v>
      </c>
      <c r="AE1266" s="2">
        <v>7.76</v>
      </c>
      <c r="AF1266" s="2">
        <v>0.7</v>
      </c>
      <c r="AG1266" s="2">
        <v>116.75</v>
      </c>
      <c r="AH1266">
        <v>0</v>
      </c>
      <c r="AI1266">
        <v>58.375</v>
      </c>
      <c r="AJ1266">
        <v>0.58374999999999999</v>
      </c>
      <c r="AK1266" t="s">
        <v>54</v>
      </c>
      <c r="AL1266">
        <v>0.91</v>
      </c>
      <c r="AM1266" s="4">
        <f t="shared" si="158"/>
        <v>58.375</v>
      </c>
      <c r="AN1266" s="4">
        <f t="shared" si="159"/>
        <v>101.52187500000001</v>
      </c>
      <c r="AO1266" s="4">
        <f t="shared" si="160"/>
        <v>112.79080312500001</v>
      </c>
      <c r="AP1266" s="4">
        <f t="shared" si="161"/>
        <v>164.4552853125</v>
      </c>
      <c r="AQ1266" s="10">
        <f t="shared" si="162"/>
        <v>101.51996250000001</v>
      </c>
      <c r="AR1266" s="10">
        <f t="shared" si="163"/>
        <v>112.79883033375</v>
      </c>
      <c r="AS1266" s="10">
        <f t="shared" si="164"/>
        <v>158.04627762000001</v>
      </c>
    </row>
    <row r="1267" spans="1:45" x14ac:dyDescent="0.3">
      <c r="A1267">
        <v>2025</v>
      </c>
      <c r="B1267">
        <v>10</v>
      </c>
      <c r="C1267" t="s">
        <v>55</v>
      </c>
      <c r="D1267">
        <v>10</v>
      </c>
      <c r="E1267" t="s">
        <v>36</v>
      </c>
      <c r="F1267" t="s">
        <v>37</v>
      </c>
      <c r="G1267" t="s">
        <v>38</v>
      </c>
      <c r="H1267" t="s">
        <v>39</v>
      </c>
      <c r="I1267" t="s">
        <v>375</v>
      </c>
      <c r="J1267" t="s">
        <v>376</v>
      </c>
      <c r="K1267" t="s">
        <v>59</v>
      </c>
      <c r="L1267" t="s">
        <v>1549</v>
      </c>
      <c r="M1267" t="s">
        <v>1550</v>
      </c>
      <c r="N1267" t="s">
        <v>1551</v>
      </c>
      <c r="O1267" t="s">
        <v>1197</v>
      </c>
      <c r="Q1267" t="s">
        <v>62</v>
      </c>
      <c r="R1267" t="s">
        <v>1552</v>
      </c>
      <c r="S1267" t="s">
        <v>1552</v>
      </c>
      <c r="T1267" t="s">
        <v>47</v>
      </c>
      <c r="U1267" t="s">
        <v>223</v>
      </c>
      <c r="V1267" t="s">
        <v>49</v>
      </c>
      <c r="W1267" t="s">
        <v>224</v>
      </c>
      <c r="X1267" t="s">
        <v>51</v>
      </c>
      <c r="Y1267" t="s">
        <v>1490</v>
      </c>
      <c r="Z1267" t="s">
        <v>1490</v>
      </c>
      <c r="AA1267" t="s">
        <v>1244</v>
      </c>
      <c r="AB1267" s="3">
        <f t="shared" si="157"/>
        <v>2</v>
      </c>
      <c r="AC1267">
        <v>106.58</v>
      </c>
      <c r="AD1267" s="2">
        <v>53.29</v>
      </c>
      <c r="AE1267" s="2">
        <v>16.440000000000001</v>
      </c>
      <c r="AF1267" s="2">
        <v>0.76</v>
      </c>
      <c r="AG1267" s="2">
        <v>123.78</v>
      </c>
      <c r="AH1267">
        <v>0</v>
      </c>
      <c r="AI1267">
        <v>61.89</v>
      </c>
      <c r="AJ1267">
        <v>0.61890000000000001</v>
      </c>
      <c r="AK1267" t="s">
        <v>54</v>
      </c>
      <c r="AL1267">
        <v>0.68</v>
      </c>
      <c r="AM1267" s="4">
        <f t="shared" si="158"/>
        <v>61.89</v>
      </c>
      <c r="AN1267" s="4">
        <f t="shared" si="159"/>
        <v>99.918750000000003</v>
      </c>
      <c r="AO1267" s="4">
        <f t="shared" si="160"/>
        <v>111.00973125</v>
      </c>
      <c r="AP1267" s="4">
        <f t="shared" si="161"/>
        <v>161.85838312499999</v>
      </c>
      <c r="AQ1267" s="10">
        <f t="shared" si="162"/>
        <v>107.63289900000001</v>
      </c>
      <c r="AR1267" s="10">
        <f t="shared" si="163"/>
        <v>119.59091407890001</v>
      </c>
      <c r="AS1267" s="10">
        <f t="shared" si="164"/>
        <v>167.56289716320001</v>
      </c>
    </row>
    <row r="1268" spans="1:45" x14ac:dyDescent="0.3">
      <c r="A1268">
        <v>2025</v>
      </c>
      <c r="B1268">
        <v>3</v>
      </c>
      <c r="C1268" t="s">
        <v>55</v>
      </c>
      <c r="D1268">
        <v>10</v>
      </c>
      <c r="E1268" t="s">
        <v>36</v>
      </c>
      <c r="F1268" t="s">
        <v>37</v>
      </c>
      <c r="G1268" t="s">
        <v>38</v>
      </c>
      <c r="H1268" t="s">
        <v>39</v>
      </c>
      <c r="I1268" t="s">
        <v>190</v>
      </c>
      <c r="J1268" t="s">
        <v>58</v>
      </c>
      <c r="K1268" t="s">
        <v>59</v>
      </c>
      <c r="M1268" t="s">
        <v>209</v>
      </c>
      <c r="N1268" t="s">
        <v>61</v>
      </c>
      <c r="O1268" t="s">
        <v>43</v>
      </c>
      <c r="Q1268" t="s">
        <v>62</v>
      </c>
      <c r="R1268" t="s">
        <v>210</v>
      </c>
      <c r="S1268" t="s">
        <v>211</v>
      </c>
      <c r="T1268" t="s">
        <v>47</v>
      </c>
      <c r="U1268" t="s">
        <v>223</v>
      </c>
      <c r="V1268" t="s">
        <v>49</v>
      </c>
      <c r="W1268" t="s">
        <v>224</v>
      </c>
      <c r="X1268" t="s">
        <v>51</v>
      </c>
      <c r="Y1268" t="s">
        <v>1242</v>
      </c>
      <c r="Z1268" t="s">
        <v>1243</v>
      </c>
      <c r="AA1268" t="s">
        <v>1244</v>
      </c>
      <c r="AB1268" s="3">
        <f t="shared" si="157"/>
        <v>2.9999999999999809</v>
      </c>
      <c r="AC1268">
        <v>160.72999999999999</v>
      </c>
      <c r="AD1268" s="2">
        <v>53.576666666667002</v>
      </c>
      <c r="AE1268" s="2">
        <v>73.47</v>
      </c>
      <c r="AF1268" s="2">
        <v>1.43</v>
      </c>
      <c r="AG1268" s="2">
        <v>235.63</v>
      </c>
      <c r="AH1268">
        <v>0</v>
      </c>
      <c r="AI1268">
        <v>78.543333333332995</v>
      </c>
      <c r="AJ1268">
        <v>1.17815</v>
      </c>
      <c r="AK1268" t="s">
        <v>54</v>
      </c>
      <c r="AL1268">
        <v>3.33</v>
      </c>
      <c r="AM1268" s="4">
        <f t="shared" si="158"/>
        <v>78.543333333333834</v>
      </c>
      <c r="AN1268" s="4">
        <f t="shared" si="159"/>
        <v>100.45625000000062</v>
      </c>
      <c r="AO1268" s="4">
        <f t="shared" si="160"/>
        <v>111.60689375000069</v>
      </c>
      <c r="AP1268" s="4">
        <f t="shared" si="161"/>
        <v>162.72907937500099</v>
      </c>
      <c r="AQ1268" s="10">
        <f t="shared" si="162"/>
        <v>136.59471100000087</v>
      </c>
      <c r="AR1268" s="10">
        <f t="shared" si="163"/>
        <v>151.77038339210097</v>
      </c>
      <c r="AS1268" s="10">
        <f t="shared" si="164"/>
        <v>212.65064608480134</v>
      </c>
    </row>
    <row r="1269" spans="1:45" x14ac:dyDescent="0.3">
      <c r="A1269">
        <v>2025</v>
      </c>
      <c r="B1269">
        <v>3</v>
      </c>
      <c r="C1269" t="s">
        <v>55</v>
      </c>
      <c r="D1269">
        <v>10</v>
      </c>
      <c r="E1269" t="s">
        <v>36</v>
      </c>
      <c r="F1269" t="s">
        <v>37</v>
      </c>
      <c r="G1269" t="s">
        <v>38</v>
      </c>
      <c r="H1269" t="s">
        <v>78</v>
      </c>
      <c r="I1269" t="s">
        <v>190</v>
      </c>
      <c r="J1269" t="s">
        <v>58</v>
      </c>
      <c r="K1269" t="s">
        <v>59</v>
      </c>
      <c r="M1269" t="s">
        <v>209</v>
      </c>
      <c r="N1269" t="s">
        <v>61</v>
      </c>
      <c r="O1269" t="s">
        <v>43</v>
      </c>
      <c r="Q1269" t="s">
        <v>62</v>
      </c>
      <c r="R1269" t="s">
        <v>210</v>
      </c>
      <c r="S1269" t="s">
        <v>211</v>
      </c>
      <c r="T1269" t="s">
        <v>47</v>
      </c>
      <c r="U1269" t="s">
        <v>118</v>
      </c>
      <c r="V1269" t="s">
        <v>49</v>
      </c>
      <c r="W1269" t="s">
        <v>119</v>
      </c>
      <c r="X1269" t="s">
        <v>51</v>
      </c>
      <c r="Y1269" t="s">
        <v>225</v>
      </c>
      <c r="Z1269" t="s">
        <v>64</v>
      </c>
      <c r="AA1269" t="s">
        <v>226</v>
      </c>
      <c r="AB1269" s="3">
        <f t="shared" si="157"/>
        <v>2</v>
      </c>
      <c r="AC1269">
        <v>58.92</v>
      </c>
      <c r="AD1269" s="2">
        <v>29.46</v>
      </c>
      <c r="AE1269" s="2">
        <v>13.16</v>
      </c>
      <c r="AF1269" s="2">
        <v>0.43</v>
      </c>
      <c r="AG1269" s="2">
        <v>72.510000000000005</v>
      </c>
      <c r="AH1269">
        <v>0</v>
      </c>
      <c r="AI1269">
        <v>36.255000000000003</v>
      </c>
      <c r="AJ1269">
        <v>0.36254999999999998</v>
      </c>
      <c r="AK1269" t="s">
        <v>54</v>
      </c>
      <c r="AL1269">
        <v>4.4000000000000004</v>
      </c>
      <c r="AM1269" s="4">
        <f t="shared" si="158"/>
        <v>36.255000000000003</v>
      </c>
      <c r="AN1269" s="4">
        <f t="shared" si="159"/>
        <v>55.237500000000004</v>
      </c>
      <c r="AO1269" s="4">
        <f t="shared" si="160"/>
        <v>61.368862500000006</v>
      </c>
      <c r="AP1269" s="4">
        <f t="shared" si="161"/>
        <v>89.479226249999996</v>
      </c>
      <c r="AQ1269" s="10">
        <f t="shared" si="162"/>
        <v>63.051070500000009</v>
      </c>
      <c r="AR1269" s="10">
        <f t="shared" si="163"/>
        <v>70.05604443255001</v>
      </c>
      <c r="AS1269" s="10">
        <f t="shared" si="164"/>
        <v>98.157906554400014</v>
      </c>
    </row>
    <row r="1270" spans="1:45" x14ac:dyDescent="0.3">
      <c r="A1270">
        <v>2025</v>
      </c>
      <c r="B1270">
        <v>8</v>
      </c>
      <c r="C1270" t="s">
        <v>55</v>
      </c>
      <c r="D1270">
        <v>10</v>
      </c>
      <c r="E1270" t="s">
        <v>36</v>
      </c>
      <c r="F1270" t="s">
        <v>37</v>
      </c>
      <c r="G1270" t="s">
        <v>38</v>
      </c>
      <c r="H1270" t="s">
        <v>78</v>
      </c>
      <c r="I1270" t="s">
        <v>190</v>
      </c>
      <c r="J1270" t="s">
        <v>58</v>
      </c>
      <c r="K1270" t="s">
        <v>59</v>
      </c>
      <c r="L1270" t="s">
        <v>1194</v>
      </c>
      <c r="M1270" t="s">
        <v>1195</v>
      </c>
      <c r="N1270" t="s">
        <v>1196</v>
      </c>
      <c r="O1270" t="s">
        <v>1197</v>
      </c>
      <c r="Q1270" t="s">
        <v>62</v>
      </c>
      <c r="R1270" t="s">
        <v>1198</v>
      </c>
      <c r="S1270" t="s">
        <v>1198</v>
      </c>
      <c r="T1270" t="s">
        <v>47</v>
      </c>
      <c r="U1270" t="s">
        <v>118</v>
      </c>
      <c r="V1270" t="s">
        <v>49</v>
      </c>
      <c r="W1270" t="s">
        <v>714</v>
      </c>
      <c r="X1270" t="s">
        <v>388</v>
      </c>
      <c r="Y1270" t="s">
        <v>280</v>
      </c>
      <c r="Z1270" t="s">
        <v>64</v>
      </c>
      <c r="AA1270" t="s">
        <v>288</v>
      </c>
      <c r="AB1270" s="3">
        <f t="shared" si="157"/>
        <v>10</v>
      </c>
      <c r="AC1270">
        <v>640.6</v>
      </c>
      <c r="AD1270" s="2">
        <v>64.06</v>
      </c>
      <c r="AE1270" s="2">
        <v>143.09</v>
      </c>
      <c r="AF1270" s="2">
        <v>4.6900000000000004</v>
      </c>
      <c r="AG1270" s="2">
        <v>788.38</v>
      </c>
      <c r="AH1270">
        <v>0</v>
      </c>
      <c r="AI1270">
        <v>78.837999999999994</v>
      </c>
      <c r="AJ1270">
        <v>3.9419</v>
      </c>
      <c r="AK1270" t="s">
        <v>54</v>
      </c>
      <c r="AL1270">
        <v>22.02</v>
      </c>
      <c r="AM1270" s="4">
        <f t="shared" si="158"/>
        <v>78.837999999999994</v>
      </c>
      <c r="AN1270" s="4">
        <f t="shared" si="159"/>
        <v>120.11250000000001</v>
      </c>
      <c r="AO1270" s="4">
        <f t="shared" si="160"/>
        <v>133.44498750000002</v>
      </c>
      <c r="AP1270" s="4">
        <f t="shared" si="161"/>
        <v>194.57023875000002</v>
      </c>
      <c r="AQ1270" s="10">
        <f t="shared" si="162"/>
        <v>137.10716579999999</v>
      </c>
      <c r="AR1270" s="10">
        <f t="shared" si="163"/>
        <v>152.33977192037997</v>
      </c>
      <c r="AS1270" s="10">
        <f t="shared" si="164"/>
        <v>213.44843571743999</v>
      </c>
    </row>
    <row r="1271" spans="1:45" x14ac:dyDescent="0.3">
      <c r="A1271">
        <v>2025</v>
      </c>
      <c r="B1271">
        <v>1</v>
      </c>
      <c r="C1271" t="s">
        <v>55</v>
      </c>
      <c r="D1271">
        <v>10</v>
      </c>
      <c r="E1271" t="s">
        <v>36</v>
      </c>
      <c r="F1271" t="s">
        <v>37</v>
      </c>
      <c r="G1271" t="s">
        <v>38</v>
      </c>
      <c r="H1271" t="s">
        <v>78</v>
      </c>
      <c r="I1271" t="s">
        <v>57</v>
      </c>
      <c r="J1271" t="s">
        <v>58</v>
      </c>
      <c r="K1271" t="s">
        <v>59</v>
      </c>
      <c r="M1271" t="s">
        <v>60</v>
      </c>
      <c r="N1271" t="s">
        <v>61</v>
      </c>
      <c r="O1271" t="s">
        <v>43</v>
      </c>
      <c r="Q1271" t="s">
        <v>62</v>
      </c>
      <c r="R1271" t="s">
        <v>63</v>
      </c>
      <c r="S1271" t="s">
        <v>63</v>
      </c>
      <c r="T1271" t="s">
        <v>47</v>
      </c>
      <c r="U1271" t="s">
        <v>105</v>
      </c>
      <c r="V1271" t="s">
        <v>49</v>
      </c>
      <c r="W1271" t="s">
        <v>106</v>
      </c>
      <c r="X1271" t="s">
        <v>51</v>
      </c>
      <c r="Y1271" t="s">
        <v>1349</v>
      </c>
      <c r="Z1271" t="s">
        <v>1349</v>
      </c>
      <c r="AA1271" t="s">
        <v>288</v>
      </c>
      <c r="AB1271" s="3">
        <f t="shared" si="157"/>
        <v>10</v>
      </c>
      <c r="AC1271">
        <v>561.64</v>
      </c>
      <c r="AD1271" s="2">
        <v>56.164000000000001</v>
      </c>
      <c r="AE1271" s="2">
        <v>40.25</v>
      </c>
      <c r="AF1271" s="2">
        <v>3.63</v>
      </c>
      <c r="AG1271" s="2">
        <v>605.52</v>
      </c>
      <c r="AH1271">
        <v>0</v>
      </c>
      <c r="AI1271">
        <v>60.552</v>
      </c>
      <c r="AJ1271">
        <v>3.0276000000000001</v>
      </c>
      <c r="AK1271" t="s">
        <v>54</v>
      </c>
      <c r="AL1271">
        <v>4.7300000000000004</v>
      </c>
      <c r="AM1271" s="4">
        <f t="shared" si="158"/>
        <v>60.552</v>
      </c>
      <c r="AN1271" s="4">
        <f t="shared" si="159"/>
        <v>105.3075</v>
      </c>
      <c r="AO1271" s="4">
        <f t="shared" si="160"/>
        <v>116.9966325</v>
      </c>
      <c r="AP1271" s="4">
        <f t="shared" si="161"/>
        <v>170.58761924999999</v>
      </c>
      <c r="AQ1271" s="10">
        <f t="shared" si="162"/>
        <v>105.3059832</v>
      </c>
      <c r="AR1271" s="10">
        <f t="shared" si="163"/>
        <v>117.00547793352</v>
      </c>
      <c r="AS1271" s="10">
        <f t="shared" si="164"/>
        <v>163.94035464576001</v>
      </c>
    </row>
    <row r="1272" spans="1:45" x14ac:dyDescent="0.3">
      <c r="A1272">
        <v>2025</v>
      </c>
      <c r="B1272">
        <v>3</v>
      </c>
      <c r="C1272" t="s">
        <v>55</v>
      </c>
      <c r="D1272">
        <v>10</v>
      </c>
      <c r="E1272" t="s">
        <v>36</v>
      </c>
      <c r="F1272" t="s">
        <v>37</v>
      </c>
      <c r="G1272" t="s">
        <v>38</v>
      </c>
      <c r="H1272" t="s">
        <v>78</v>
      </c>
      <c r="I1272" t="s">
        <v>190</v>
      </c>
      <c r="J1272" t="s">
        <v>58</v>
      </c>
      <c r="K1272" t="s">
        <v>59</v>
      </c>
      <c r="M1272" t="s">
        <v>209</v>
      </c>
      <c r="N1272" t="s">
        <v>61</v>
      </c>
      <c r="O1272" t="s">
        <v>43</v>
      </c>
      <c r="Q1272" t="s">
        <v>62</v>
      </c>
      <c r="R1272" t="s">
        <v>210</v>
      </c>
      <c r="S1272" t="s">
        <v>211</v>
      </c>
      <c r="T1272" t="s">
        <v>47</v>
      </c>
      <c r="U1272" t="s">
        <v>105</v>
      </c>
      <c r="V1272" t="s">
        <v>49</v>
      </c>
      <c r="W1272" t="s">
        <v>106</v>
      </c>
      <c r="X1272" t="s">
        <v>51</v>
      </c>
      <c r="Y1272" t="s">
        <v>107</v>
      </c>
      <c r="Z1272" t="s">
        <v>64</v>
      </c>
      <c r="AA1272" t="s">
        <v>108</v>
      </c>
      <c r="AB1272" s="3">
        <f t="shared" si="157"/>
        <v>10</v>
      </c>
      <c r="AC1272">
        <v>591.5</v>
      </c>
      <c r="AD1272" s="2">
        <v>59.15</v>
      </c>
      <c r="AE1272" s="2">
        <v>142.11000000000001</v>
      </c>
      <c r="AF1272" s="2">
        <v>4.09</v>
      </c>
      <c r="AG1272" s="2">
        <v>737.69</v>
      </c>
      <c r="AH1272">
        <v>0</v>
      </c>
      <c r="AI1272">
        <v>73.769000000000005</v>
      </c>
      <c r="AJ1272">
        <v>3.68845</v>
      </c>
      <c r="AK1272" t="s">
        <v>54</v>
      </c>
      <c r="AL1272">
        <v>30.05</v>
      </c>
      <c r="AM1272" s="4">
        <f t="shared" si="158"/>
        <v>73.769000000000005</v>
      </c>
      <c r="AN1272" s="4">
        <f t="shared" si="159"/>
        <v>110.90625</v>
      </c>
      <c r="AO1272" s="4">
        <f t="shared" si="160"/>
        <v>123.21684375</v>
      </c>
      <c r="AP1272" s="4">
        <f t="shared" si="161"/>
        <v>179.65703437499999</v>
      </c>
      <c r="AQ1272" s="10">
        <f t="shared" si="162"/>
        <v>128.29166790000002</v>
      </c>
      <c r="AR1272" s="10">
        <f t="shared" si="163"/>
        <v>142.54487220369003</v>
      </c>
      <c r="AS1272" s="10">
        <f t="shared" si="164"/>
        <v>199.72446858672004</v>
      </c>
    </row>
    <row r="1273" spans="1:45" x14ac:dyDescent="0.3">
      <c r="A1273">
        <v>2025</v>
      </c>
      <c r="B1273">
        <v>3</v>
      </c>
      <c r="C1273" t="s">
        <v>55</v>
      </c>
      <c r="D1273">
        <v>10</v>
      </c>
      <c r="E1273" t="s">
        <v>36</v>
      </c>
      <c r="F1273" t="s">
        <v>37</v>
      </c>
      <c r="G1273" t="s">
        <v>38</v>
      </c>
      <c r="H1273" t="s">
        <v>78</v>
      </c>
      <c r="I1273" t="s">
        <v>190</v>
      </c>
      <c r="J1273" t="s">
        <v>58</v>
      </c>
      <c r="K1273" t="s">
        <v>59</v>
      </c>
      <c r="M1273" t="s">
        <v>213</v>
      </c>
      <c r="N1273" t="s">
        <v>61</v>
      </c>
      <c r="O1273" t="s">
        <v>43</v>
      </c>
      <c r="Q1273" t="s">
        <v>62</v>
      </c>
      <c r="R1273" t="s">
        <v>214</v>
      </c>
      <c r="S1273" t="s">
        <v>215</v>
      </c>
      <c r="T1273" t="s">
        <v>47</v>
      </c>
      <c r="U1273" t="s">
        <v>105</v>
      </c>
      <c r="V1273" t="s">
        <v>49</v>
      </c>
      <c r="W1273" t="s">
        <v>106</v>
      </c>
      <c r="X1273" t="s">
        <v>51</v>
      </c>
      <c r="Y1273" t="s">
        <v>107</v>
      </c>
      <c r="Z1273" t="s">
        <v>64</v>
      </c>
      <c r="AA1273" t="s">
        <v>108</v>
      </c>
      <c r="AB1273" s="3">
        <f t="shared" si="157"/>
        <v>10</v>
      </c>
      <c r="AC1273">
        <v>584.15</v>
      </c>
      <c r="AD1273" s="2">
        <v>58.414999999999999</v>
      </c>
      <c r="AE1273" s="2">
        <v>130.47999999999999</v>
      </c>
      <c r="AF1273" s="2">
        <v>4.28</v>
      </c>
      <c r="AG1273" s="2">
        <v>718.9</v>
      </c>
      <c r="AH1273">
        <v>0</v>
      </c>
      <c r="AI1273">
        <v>71.89</v>
      </c>
      <c r="AJ1273">
        <v>3.5945</v>
      </c>
      <c r="AK1273" t="s">
        <v>54</v>
      </c>
      <c r="AL1273">
        <v>22.02</v>
      </c>
      <c r="AM1273" s="4">
        <f t="shared" si="158"/>
        <v>71.89</v>
      </c>
      <c r="AN1273" s="4">
        <f t="shared" si="159"/>
        <v>109.528125</v>
      </c>
      <c r="AO1273" s="4">
        <f t="shared" si="160"/>
        <v>121.68574687500001</v>
      </c>
      <c r="AP1273" s="4">
        <f t="shared" si="161"/>
        <v>177.42460968749998</v>
      </c>
      <c r="AQ1273" s="10">
        <f t="shared" si="162"/>
        <v>125.02389900000001</v>
      </c>
      <c r="AR1273" s="10">
        <f t="shared" si="163"/>
        <v>138.91405417890002</v>
      </c>
      <c r="AS1273" s="10">
        <f t="shared" si="164"/>
        <v>194.63720596320002</v>
      </c>
    </row>
    <row r="1274" spans="1:45" x14ac:dyDescent="0.3">
      <c r="A1274">
        <v>2025</v>
      </c>
      <c r="B1274">
        <v>8</v>
      </c>
      <c r="C1274" t="s">
        <v>55</v>
      </c>
      <c r="D1274">
        <v>10</v>
      </c>
      <c r="E1274" t="s">
        <v>36</v>
      </c>
      <c r="F1274" t="s">
        <v>37</v>
      </c>
      <c r="G1274" t="s">
        <v>38</v>
      </c>
      <c r="H1274" t="s">
        <v>78</v>
      </c>
      <c r="I1274" t="s">
        <v>190</v>
      </c>
      <c r="J1274" t="s">
        <v>58</v>
      </c>
      <c r="K1274" t="s">
        <v>59</v>
      </c>
      <c r="L1274" t="s">
        <v>1194</v>
      </c>
      <c r="M1274" t="s">
        <v>1195</v>
      </c>
      <c r="N1274" t="s">
        <v>1196</v>
      </c>
      <c r="O1274" t="s">
        <v>1197</v>
      </c>
      <c r="Q1274" t="s">
        <v>62</v>
      </c>
      <c r="R1274" t="s">
        <v>1198</v>
      </c>
      <c r="S1274" t="s">
        <v>1198</v>
      </c>
      <c r="T1274" t="s">
        <v>47</v>
      </c>
      <c r="U1274" t="s">
        <v>105</v>
      </c>
      <c r="V1274" t="s">
        <v>49</v>
      </c>
      <c r="W1274" t="s">
        <v>708</v>
      </c>
      <c r="X1274" t="s">
        <v>388</v>
      </c>
      <c r="Y1274" t="s">
        <v>107</v>
      </c>
      <c r="Z1274" t="s">
        <v>64</v>
      </c>
      <c r="AA1274" t="s">
        <v>108</v>
      </c>
      <c r="AB1274" s="3">
        <f t="shared" si="157"/>
        <v>10</v>
      </c>
      <c r="AC1274">
        <v>593.27</v>
      </c>
      <c r="AD1274" s="2">
        <v>59.326999999999998</v>
      </c>
      <c r="AE1274" s="2">
        <v>124.5</v>
      </c>
      <c r="AF1274" s="2">
        <v>4.3899999999999997</v>
      </c>
      <c r="AG1274" s="2">
        <v>722.17</v>
      </c>
      <c r="AH1274">
        <v>0</v>
      </c>
      <c r="AI1274">
        <v>72.216999999999999</v>
      </c>
      <c r="AJ1274">
        <v>3.6108500000000001</v>
      </c>
      <c r="AK1274" t="s">
        <v>54</v>
      </c>
      <c r="AL1274">
        <v>19.440000000000001</v>
      </c>
      <c r="AM1274" s="4">
        <f t="shared" si="158"/>
        <v>72.216999999999999</v>
      </c>
      <c r="AN1274" s="4">
        <f t="shared" si="159"/>
        <v>111.238125</v>
      </c>
      <c r="AO1274" s="4">
        <f t="shared" si="160"/>
        <v>123.58555687499999</v>
      </c>
      <c r="AP1274" s="4">
        <f t="shared" si="161"/>
        <v>180.19463868749997</v>
      </c>
      <c r="AQ1274" s="10">
        <f t="shared" si="162"/>
        <v>125.5925847</v>
      </c>
      <c r="AR1274" s="10">
        <f t="shared" si="163"/>
        <v>139.54592086017001</v>
      </c>
      <c r="AS1274" s="10">
        <f t="shared" si="164"/>
        <v>195.52253586096001</v>
      </c>
    </row>
    <row r="1275" spans="1:45" x14ac:dyDescent="0.3">
      <c r="A1275">
        <v>2025</v>
      </c>
      <c r="B1275">
        <v>1</v>
      </c>
      <c r="C1275" t="s">
        <v>55</v>
      </c>
      <c r="D1275">
        <v>10</v>
      </c>
      <c r="E1275" t="s">
        <v>36</v>
      </c>
      <c r="F1275" t="s">
        <v>37</v>
      </c>
      <c r="G1275" t="s">
        <v>38</v>
      </c>
      <c r="H1275" t="s">
        <v>78</v>
      </c>
      <c r="I1275" t="s">
        <v>57</v>
      </c>
      <c r="J1275" t="s">
        <v>58</v>
      </c>
      <c r="K1275" t="s">
        <v>59</v>
      </c>
      <c r="M1275" t="s">
        <v>60</v>
      </c>
      <c r="N1275" t="s">
        <v>61</v>
      </c>
      <c r="O1275" t="s">
        <v>43</v>
      </c>
      <c r="Q1275" t="s">
        <v>62</v>
      </c>
      <c r="R1275" t="s">
        <v>63</v>
      </c>
      <c r="S1275" t="s">
        <v>63</v>
      </c>
      <c r="T1275" t="s">
        <v>47</v>
      </c>
      <c r="U1275" t="s">
        <v>105</v>
      </c>
      <c r="V1275" t="s">
        <v>49</v>
      </c>
      <c r="W1275" t="s">
        <v>106</v>
      </c>
      <c r="X1275" t="s">
        <v>51</v>
      </c>
      <c r="Y1275" t="s">
        <v>1069</v>
      </c>
      <c r="Z1275" t="s">
        <v>1069</v>
      </c>
      <c r="AA1275" t="s">
        <v>108</v>
      </c>
      <c r="AB1275" s="3">
        <f t="shared" si="157"/>
        <v>9.9999999999999982</v>
      </c>
      <c r="AC1275">
        <v>489.65</v>
      </c>
      <c r="AD1275" s="2">
        <v>48.965000000000003</v>
      </c>
      <c r="AE1275" s="2">
        <v>35.9</v>
      </c>
      <c r="AF1275" s="2">
        <v>3.17</v>
      </c>
      <c r="AG1275" s="2">
        <v>527.91</v>
      </c>
      <c r="AH1275">
        <v>0</v>
      </c>
      <c r="AI1275">
        <v>52.790999999999997</v>
      </c>
      <c r="AJ1275">
        <v>2.6395499999999998</v>
      </c>
      <c r="AK1275" t="s">
        <v>54</v>
      </c>
      <c r="AL1275">
        <v>4.12</v>
      </c>
      <c r="AM1275" s="4">
        <f t="shared" si="158"/>
        <v>52.791000000000004</v>
      </c>
      <c r="AN1275" s="4">
        <f t="shared" si="159"/>
        <v>91.809375000000003</v>
      </c>
      <c r="AO1275" s="4">
        <f t="shared" si="160"/>
        <v>102.000215625</v>
      </c>
      <c r="AP1275" s="4">
        <f t="shared" si="161"/>
        <v>148.72200656249998</v>
      </c>
      <c r="AQ1275" s="10">
        <f t="shared" si="162"/>
        <v>91.808828100000014</v>
      </c>
      <c r="AR1275" s="10">
        <f t="shared" si="163"/>
        <v>102.00878890191001</v>
      </c>
      <c r="AS1275" s="10">
        <f t="shared" si="164"/>
        <v>142.92798358608002</v>
      </c>
    </row>
    <row r="1276" spans="1:45" x14ac:dyDescent="0.3">
      <c r="A1276">
        <v>2025</v>
      </c>
      <c r="B1276">
        <v>3</v>
      </c>
      <c r="C1276" t="s">
        <v>55</v>
      </c>
      <c r="D1276">
        <v>10</v>
      </c>
      <c r="E1276" t="s">
        <v>36</v>
      </c>
      <c r="F1276" t="s">
        <v>37</v>
      </c>
      <c r="G1276" t="s">
        <v>38</v>
      </c>
      <c r="H1276" t="s">
        <v>78</v>
      </c>
      <c r="I1276" t="s">
        <v>190</v>
      </c>
      <c r="J1276" t="s">
        <v>58</v>
      </c>
      <c r="K1276" t="s">
        <v>59</v>
      </c>
      <c r="M1276" t="s">
        <v>209</v>
      </c>
      <c r="N1276" t="s">
        <v>61</v>
      </c>
      <c r="O1276" t="s">
        <v>43</v>
      </c>
      <c r="Q1276" t="s">
        <v>62</v>
      </c>
      <c r="R1276" t="s">
        <v>210</v>
      </c>
      <c r="S1276" t="s">
        <v>211</v>
      </c>
      <c r="T1276" t="s">
        <v>47</v>
      </c>
      <c r="U1276" t="s">
        <v>105</v>
      </c>
      <c r="V1276" t="s">
        <v>49</v>
      </c>
      <c r="W1276" t="s">
        <v>106</v>
      </c>
      <c r="X1276" t="s">
        <v>51</v>
      </c>
      <c r="Y1276" t="s">
        <v>109</v>
      </c>
      <c r="Z1276" t="s">
        <v>64</v>
      </c>
      <c r="AA1276" t="s">
        <v>110</v>
      </c>
      <c r="AB1276" s="3">
        <f t="shared" si="157"/>
        <v>10</v>
      </c>
      <c r="AC1276">
        <v>605.22</v>
      </c>
      <c r="AD1276" s="2">
        <v>60.521999999999998</v>
      </c>
      <c r="AE1276" s="2">
        <v>145.41</v>
      </c>
      <c r="AF1276" s="2">
        <v>4.18</v>
      </c>
      <c r="AG1276" s="2">
        <v>754.8</v>
      </c>
      <c r="AH1276">
        <v>0</v>
      </c>
      <c r="AI1276">
        <v>75.48</v>
      </c>
      <c r="AJ1276">
        <v>3.774</v>
      </c>
      <c r="AK1276" t="s">
        <v>54</v>
      </c>
      <c r="AL1276">
        <v>30.05</v>
      </c>
      <c r="AM1276" s="4">
        <f t="shared" si="158"/>
        <v>75.47999999999999</v>
      </c>
      <c r="AN1276" s="4">
        <f t="shared" si="159"/>
        <v>113.47874999999999</v>
      </c>
      <c r="AO1276" s="4">
        <f t="shared" si="160"/>
        <v>126.07489124999999</v>
      </c>
      <c r="AP1276" s="4">
        <f t="shared" si="161"/>
        <v>183.82422712499996</v>
      </c>
      <c r="AQ1276" s="10">
        <f t="shared" si="162"/>
        <v>131.267268</v>
      </c>
      <c r="AR1276" s="10">
        <f t="shared" si="163"/>
        <v>145.85106147479999</v>
      </c>
      <c r="AS1276" s="10">
        <f t="shared" si="164"/>
        <v>204.3568828224</v>
      </c>
    </row>
    <row r="1277" spans="1:45" x14ac:dyDescent="0.3">
      <c r="A1277">
        <v>2025</v>
      </c>
      <c r="B1277">
        <v>3</v>
      </c>
      <c r="C1277" t="s">
        <v>55</v>
      </c>
      <c r="D1277">
        <v>10</v>
      </c>
      <c r="E1277" t="s">
        <v>36</v>
      </c>
      <c r="F1277" t="s">
        <v>37</v>
      </c>
      <c r="G1277" t="s">
        <v>38</v>
      </c>
      <c r="H1277" t="s">
        <v>78</v>
      </c>
      <c r="I1277" t="s">
        <v>190</v>
      </c>
      <c r="J1277" t="s">
        <v>58</v>
      </c>
      <c r="K1277" t="s">
        <v>59</v>
      </c>
      <c r="M1277" t="s">
        <v>213</v>
      </c>
      <c r="N1277" t="s">
        <v>61</v>
      </c>
      <c r="O1277" t="s">
        <v>43</v>
      </c>
      <c r="Q1277" t="s">
        <v>62</v>
      </c>
      <c r="R1277" t="s">
        <v>214</v>
      </c>
      <c r="S1277" t="s">
        <v>215</v>
      </c>
      <c r="T1277" t="s">
        <v>47</v>
      </c>
      <c r="U1277" t="s">
        <v>105</v>
      </c>
      <c r="V1277" t="s">
        <v>49</v>
      </c>
      <c r="W1277" t="s">
        <v>106</v>
      </c>
      <c r="X1277" t="s">
        <v>51</v>
      </c>
      <c r="Y1277" t="s">
        <v>109</v>
      </c>
      <c r="Z1277" t="s">
        <v>64</v>
      </c>
      <c r="AA1277" t="s">
        <v>110</v>
      </c>
      <c r="AB1277" s="3">
        <f t="shared" si="157"/>
        <v>10</v>
      </c>
      <c r="AC1277">
        <v>597.70000000000005</v>
      </c>
      <c r="AD1277" s="2">
        <v>59.77</v>
      </c>
      <c r="AE1277" s="2">
        <v>133.51</v>
      </c>
      <c r="AF1277" s="2">
        <v>4.38</v>
      </c>
      <c r="AG1277" s="2">
        <v>735.58</v>
      </c>
      <c r="AH1277">
        <v>0</v>
      </c>
      <c r="AI1277">
        <v>73.558000000000007</v>
      </c>
      <c r="AJ1277">
        <v>3.6779000000000002</v>
      </c>
      <c r="AK1277" t="s">
        <v>54</v>
      </c>
      <c r="AL1277">
        <v>22.02</v>
      </c>
      <c r="AM1277" s="4">
        <f t="shared" si="158"/>
        <v>73.558000000000007</v>
      </c>
      <c r="AN1277" s="4">
        <f t="shared" si="159"/>
        <v>112.06875000000001</v>
      </c>
      <c r="AO1277" s="4">
        <f t="shared" si="160"/>
        <v>124.50838125000001</v>
      </c>
      <c r="AP1277" s="4">
        <f t="shared" si="161"/>
        <v>181.54016812500001</v>
      </c>
      <c r="AQ1277" s="10">
        <f t="shared" si="162"/>
        <v>127.92471780000002</v>
      </c>
      <c r="AR1277" s="10">
        <f t="shared" si="163"/>
        <v>142.13715394758003</v>
      </c>
      <c r="AS1277" s="10">
        <f t="shared" si="164"/>
        <v>199.15320067104003</v>
      </c>
    </row>
    <row r="1278" spans="1:45" x14ac:dyDescent="0.3">
      <c r="A1278">
        <v>2025</v>
      </c>
      <c r="B1278">
        <v>4</v>
      </c>
      <c r="C1278" t="s">
        <v>55</v>
      </c>
      <c r="D1278">
        <v>10</v>
      </c>
      <c r="E1278" t="s">
        <v>36</v>
      </c>
      <c r="F1278" t="s">
        <v>37</v>
      </c>
      <c r="G1278" t="s">
        <v>38</v>
      </c>
      <c r="H1278" t="s">
        <v>78</v>
      </c>
      <c r="I1278" t="s">
        <v>190</v>
      </c>
      <c r="J1278" t="s">
        <v>58</v>
      </c>
      <c r="K1278" t="s">
        <v>59</v>
      </c>
      <c r="M1278" t="s">
        <v>383</v>
      </c>
      <c r="N1278" t="s">
        <v>384</v>
      </c>
      <c r="O1278" t="s">
        <v>36</v>
      </c>
      <c r="Q1278" t="s">
        <v>62</v>
      </c>
      <c r="R1278" t="s">
        <v>385</v>
      </c>
      <c r="S1278" t="s">
        <v>385</v>
      </c>
      <c r="T1278" t="s">
        <v>47</v>
      </c>
      <c r="U1278" t="s">
        <v>105</v>
      </c>
      <c r="V1278" t="s">
        <v>49</v>
      </c>
      <c r="W1278" t="s">
        <v>106</v>
      </c>
      <c r="X1278" t="s">
        <v>388</v>
      </c>
      <c r="Y1278" t="s">
        <v>109</v>
      </c>
      <c r="Z1278" t="s">
        <v>64</v>
      </c>
      <c r="AA1278" t="s">
        <v>110</v>
      </c>
      <c r="AB1278" s="3">
        <f t="shared" si="157"/>
        <v>9.9999999999999982</v>
      </c>
      <c r="AC1278">
        <v>607.03</v>
      </c>
      <c r="AD1278" s="2">
        <v>60.703000000000003</v>
      </c>
      <c r="AE1278" s="2">
        <v>127.39</v>
      </c>
      <c r="AF1278" s="2">
        <v>4.49</v>
      </c>
      <c r="AG1278" s="2">
        <v>738.92</v>
      </c>
      <c r="AH1278">
        <v>0</v>
      </c>
      <c r="AI1278">
        <v>73.891999999999996</v>
      </c>
      <c r="AJ1278">
        <v>3.6945999999999999</v>
      </c>
      <c r="AK1278" t="s">
        <v>54</v>
      </c>
      <c r="AL1278">
        <v>19.440000000000001</v>
      </c>
      <c r="AM1278" s="4">
        <f t="shared" si="158"/>
        <v>73.89200000000001</v>
      </c>
      <c r="AN1278" s="4">
        <f t="shared" si="159"/>
        <v>113.81812500000001</v>
      </c>
      <c r="AO1278" s="4">
        <f t="shared" si="160"/>
        <v>126.45193687500002</v>
      </c>
      <c r="AP1278" s="4">
        <f t="shared" si="161"/>
        <v>184.37398068749999</v>
      </c>
      <c r="AQ1278" s="10">
        <f t="shared" si="162"/>
        <v>128.50557720000003</v>
      </c>
      <c r="AR1278" s="10">
        <f t="shared" si="163"/>
        <v>142.78254682692003</v>
      </c>
      <c r="AS1278" s="10">
        <f t="shared" si="164"/>
        <v>200.05748258496004</v>
      </c>
    </row>
    <row r="1279" spans="1:45" x14ac:dyDescent="0.3">
      <c r="A1279">
        <v>2025</v>
      </c>
      <c r="B1279">
        <v>8</v>
      </c>
      <c r="C1279" t="s">
        <v>55</v>
      </c>
      <c r="D1279">
        <v>10</v>
      </c>
      <c r="E1279" t="s">
        <v>36</v>
      </c>
      <c r="F1279" t="s">
        <v>37</v>
      </c>
      <c r="G1279" t="s">
        <v>38</v>
      </c>
      <c r="H1279" t="s">
        <v>78</v>
      </c>
      <c r="I1279" t="s">
        <v>190</v>
      </c>
      <c r="J1279" t="s">
        <v>58</v>
      </c>
      <c r="K1279" t="s">
        <v>59</v>
      </c>
      <c r="L1279" t="s">
        <v>1194</v>
      </c>
      <c r="M1279" t="s">
        <v>1195</v>
      </c>
      <c r="N1279" t="s">
        <v>1196</v>
      </c>
      <c r="O1279" t="s">
        <v>1197</v>
      </c>
      <c r="Q1279" t="s">
        <v>62</v>
      </c>
      <c r="R1279" t="s">
        <v>1198</v>
      </c>
      <c r="S1279" t="s">
        <v>1198</v>
      </c>
      <c r="T1279" t="s">
        <v>47</v>
      </c>
      <c r="U1279" t="s">
        <v>105</v>
      </c>
      <c r="V1279" t="s">
        <v>49</v>
      </c>
      <c r="W1279" t="s">
        <v>708</v>
      </c>
      <c r="X1279" t="s">
        <v>388</v>
      </c>
      <c r="Y1279" t="s">
        <v>109</v>
      </c>
      <c r="Z1279" t="s">
        <v>109</v>
      </c>
      <c r="AA1279" t="s">
        <v>110</v>
      </c>
      <c r="AB1279" s="3">
        <f t="shared" si="157"/>
        <v>12.000000000000064</v>
      </c>
      <c r="AC1279">
        <v>765.94</v>
      </c>
      <c r="AD1279" s="2">
        <v>63.828333333332999</v>
      </c>
      <c r="AE1279" s="2">
        <v>183.89</v>
      </c>
      <c r="AF1279" s="2">
        <v>4.82</v>
      </c>
      <c r="AG1279" s="2">
        <v>954.65</v>
      </c>
      <c r="AH1279">
        <v>0</v>
      </c>
      <c r="AI1279">
        <v>79.554166666667001</v>
      </c>
      <c r="AJ1279">
        <v>4.77325</v>
      </c>
      <c r="AK1279" t="s">
        <v>54</v>
      </c>
      <c r="AL1279">
        <v>9.36</v>
      </c>
      <c r="AM1279" s="4">
        <f t="shared" si="158"/>
        <v>79.554166666666248</v>
      </c>
      <c r="AN1279" s="4">
        <f t="shared" si="159"/>
        <v>119.67812499999937</v>
      </c>
      <c r="AO1279" s="4">
        <f t="shared" si="160"/>
        <v>132.96239687499929</v>
      </c>
      <c r="AP1279" s="4">
        <f t="shared" si="161"/>
        <v>193.86659468749897</v>
      </c>
      <c r="AQ1279" s="10">
        <f t="shared" si="162"/>
        <v>138.35265124999927</v>
      </c>
      <c r="AR1279" s="10">
        <f t="shared" si="163"/>
        <v>153.72363080387419</v>
      </c>
      <c r="AS1279" s="10">
        <f t="shared" si="164"/>
        <v>215.38740746599885</v>
      </c>
    </row>
    <row r="1280" spans="1:45" x14ac:dyDescent="0.3">
      <c r="A1280">
        <v>2025</v>
      </c>
      <c r="B1280">
        <v>8</v>
      </c>
      <c r="C1280" t="s">
        <v>55</v>
      </c>
      <c r="D1280">
        <v>10</v>
      </c>
      <c r="E1280" t="s">
        <v>36</v>
      </c>
      <c r="F1280" t="s">
        <v>37</v>
      </c>
      <c r="G1280" t="s">
        <v>38</v>
      </c>
      <c r="H1280" t="s">
        <v>78</v>
      </c>
      <c r="I1280" t="s">
        <v>190</v>
      </c>
      <c r="J1280" t="s">
        <v>58</v>
      </c>
      <c r="K1280" t="s">
        <v>59</v>
      </c>
      <c r="L1280" t="s">
        <v>1194</v>
      </c>
      <c r="M1280" t="s">
        <v>1195</v>
      </c>
      <c r="N1280" t="s">
        <v>1196</v>
      </c>
      <c r="O1280" t="s">
        <v>1197</v>
      </c>
      <c r="Q1280" t="s">
        <v>62</v>
      </c>
      <c r="R1280" t="s">
        <v>1198</v>
      </c>
      <c r="S1280" t="s">
        <v>1198</v>
      </c>
      <c r="T1280" t="s">
        <v>47</v>
      </c>
      <c r="U1280" t="s">
        <v>105</v>
      </c>
      <c r="V1280" t="s">
        <v>49</v>
      </c>
      <c r="W1280" t="s">
        <v>708</v>
      </c>
      <c r="X1280" t="s">
        <v>388</v>
      </c>
      <c r="Y1280" t="s">
        <v>1311</v>
      </c>
      <c r="Z1280" t="s">
        <v>1083</v>
      </c>
      <c r="AA1280" t="s">
        <v>110</v>
      </c>
      <c r="AB1280" s="3">
        <f t="shared" si="157"/>
        <v>10</v>
      </c>
      <c r="AC1280">
        <v>501</v>
      </c>
      <c r="AD1280" s="2">
        <v>50.1</v>
      </c>
      <c r="AE1280" s="2">
        <v>35.9</v>
      </c>
      <c r="AF1280" s="2">
        <v>3.24</v>
      </c>
      <c r="AG1280" s="2">
        <v>540.15</v>
      </c>
      <c r="AH1280">
        <v>0</v>
      </c>
      <c r="AI1280">
        <v>54.015000000000001</v>
      </c>
      <c r="AJ1280">
        <v>2.7007500000000002</v>
      </c>
      <c r="AK1280" t="s">
        <v>54</v>
      </c>
      <c r="AL1280">
        <v>4.22</v>
      </c>
      <c r="AM1280" s="4">
        <f t="shared" si="158"/>
        <v>54.015000000000001</v>
      </c>
      <c r="AN1280" s="4">
        <f t="shared" si="159"/>
        <v>93.9375</v>
      </c>
      <c r="AO1280" s="4">
        <f t="shared" si="160"/>
        <v>104.36456250000001</v>
      </c>
      <c r="AP1280" s="4">
        <f t="shared" si="161"/>
        <v>152.16935624999999</v>
      </c>
      <c r="AQ1280" s="10">
        <f t="shared" si="162"/>
        <v>93.937486500000006</v>
      </c>
      <c r="AR1280" s="10">
        <f t="shared" si="163"/>
        <v>104.37394125015</v>
      </c>
      <c r="AS1280" s="10">
        <f t="shared" si="164"/>
        <v>146.2418789832</v>
      </c>
    </row>
    <row r="1281" spans="1:45" x14ac:dyDescent="0.3">
      <c r="A1281">
        <v>2025</v>
      </c>
      <c r="B1281">
        <v>9</v>
      </c>
      <c r="C1281" t="s">
        <v>55</v>
      </c>
      <c r="D1281">
        <v>10</v>
      </c>
      <c r="E1281" t="s">
        <v>36</v>
      </c>
      <c r="F1281" t="s">
        <v>37</v>
      </c>
      <c r="G1281" t="s">
        <v>38</v>
      </c>
      <c r="H1281" t="s">
        <v>78</v>
      </c>
      <c r="I1281" t="s">
        <v>375</v>
      </c>
      <c r="J1281" t="s">
        <v>376</v>
      </c>
      <c r="K1281" t="s">
        <v>59</v>
      </c>
      <c r="L1281" t="s">
        <v>1483</v>
      </c>
      <c r="M1281" t="s">
        <v>1484</v>
      </c>
      <c r="N1281" t="s">
        <v>1485</v>
      </c>
      <c r="O1281" t="s">
        <v>1197</v>
      </c>
      <c r="Q1281" t="s">
        <v>62</v>
      </c>
      <c r="R1281" t="s">
        <v>1486</v>
      </c>
      <c r="S1281" t="s">
        <v>1486</v>
      </c>
      <c r="T1281" t="s">
        <v>47</v>
      </c>
      <c r="U1281" t="s">
        <v>105</v>
      </c>
      <c r="V1281" t="s">
        <v>49</v>
      </c>
      <c r="W1281" t="s">
        <v>708</v>
      </c>
      <c r="X1281" t="s">
        <v>51</v>
      </c>
      <c r="Y1281" t="s">
        <v>1311</v>
      </c>
      <c r="Z1281" t="s">
        <v>1083</v>
      </c>
      <c r="AA1281" t="s">
        <v>110</v>
      </c>
      <c r="AB1281" s="3">
        <f t="shared" si="157"/>
        <v>10</v>
      </c>
      <c r="AC1281">
        <v>501</v>
      </c>
      <c r="AD1281" s="2">
        <v>50.1</v>
      </c>
      <c r="AE1281" s="2">
        <v>35.9</v>
      </c>
      <c r="AF1281" s="2">
        <v>3.24</v>
      </c>
      <c r="AG1281" s="2">
        <v>540.15</v>
      </c>
      <c r="AH1281">
        <v>0</v>
      </c>
      <c r="AI1281">
        <v>54.015000000000001</v>
      </c>
      <c r="AJ1281">
        <v>2.7007500000000002</v>
      </c>
      <c r="AK1281" t="s">
        <v>54</v>
      </c>
      <c r="AL1281">
        <v>4.22</v>
      </c>
      <c r="AM1281" s="4">
        <f t="shared" si="158"/>
        <v>54.015000000000001</v>
      </c>
      <c r="AN1281" s="4">
        <f t="shared" si="159"/>
        <v>93.9375</v>
      </c>
      <c r="AO1281" s="4">
        <f t="shared" si="160"/>
        <v>104.36456250000001</v>
      </c>
      <c r="AP1281" s="4">
        <f t="shared" si="161"/>
        <v>152.16935624999999</v>
      </c>
      <c r="AQ1281" s="10">
        <f t="shared" si="162"/>
        <v>93.937486500000006</v>
      </c>
      <c r="AR1281" s="10">
        <f t="shared" si="163"/>
        <v>104.37394125015</v>
      </c>
      <c r="AS1281" s="10">
        <f t="shared" si="164"/>
        <v>146.2418789832</v>
      </c>
    </row>
    <row r="1282" spans="1:45" x14ac:dyDescent="0.3">
      <c r="A1282">
        <v>2025</v>
      </c>
      <c r="B1282">
        <v>11</v>
      </c>
      <c r="C1282" t="s">
        <v>55</v>
      </c>
      <c r="D1282">
        <v>10</v>
      </c>
      <c r="E1282" t="s">
        <v>36</v>
      </c>
      <c r="F1282" t="s">
        <v>37</v>
      </c>
      <c r="G1282" t="s">
        <v>38</v>
      </c>
      <c r="H1282" t="s">
        <v>78</v>
      </c>
      <c r="I1282" t="s">
        <v>375</v>
      </c>
      <c r="J1282" t="s">
        <v>376</v>
      </c>
      <c r="K1282" t="s">
        <v>51</v>
      </c>
      <c r="L1282" t="s">
        <v>1622</v>
      </c>
      <c r="M1282" t="s">
        <v>1623</v>
      </c>
      <c r="N1282" t="s">
        <v>1485</v>
      </c>
      <c r="O1282" t="s">
        <v>1197</v>
      </c>
      <c r="Q1282" t="s">
        <v>62</v>
      </c>
      <c r="R1282" t="s">
        <v>1624</v>
      </c>
      <c r="S1282" t="s">
        <v>1624</v>
      </c>
      <c r="T1282" t="s">
        <v>47</v>
      </c>
      <c r="U1282" t="s">
        <v>105</v>
      </c>
      <c r="V1282" t="s">
        <v>49</v>
      </c>
      <c r="W1282" t="s">
        <v>708</v>
      </c>
      <c r="X1282" t="s">
        <v>51</v>
      </c>
      <c r="Y1282" t="s">
        <v>1311</v>
      </c>
      <c r="Z1282" t="s">
        <v>1083</v>
      </c>
      <c r="AA1282" t="s">
        <v>110</v>
      </c>
      <c r="AB1282" s="3">
        <f t="shared" si="157"/>
        <v>3.0000000000000204</v>
      </c>
      <c r="AC1282">
        <v>147.94</v>
      </c>
      <c r="AD1282" s="2">
        <v>49.313333333332999</v>
      </c>
      <c r="AE1282" s="2">
        <v>22.96</v>
      </c>
      <c r="AF1282" s="2">
        <v>1.5</v>
      </c>
      <c r="AG1282" s="2">
        <v>171.95</v>
      </c>
      <c r="AH1282">
        <v>0</v>
      </c>
      <c r="AI1282">
        <v>57.316666666666997</v>
      </c>
      <c r="AJ1282">
        <v>0.85975000000000001</v>
      </c>
      <c r="AK1282" t="s">
        <v>54</v>
      </c>
      <c r="AL1282">
        <v>0.95</v>
      </c>
      <c r="AM1282" s="4">
        <f t="shared" si="158"/>
        <v>57.316666666666272</v>
      </c>
      <c r="AN1282" s="4">
        <f t="shared" si="159"/>
        <v>92.462499999999366</v>
      </c>
      <c r="AO1282" s="4">
        <f t="shared" si="160"/>
        <v>102.7258374999993</v>
      </c>
      <c r="AP1282" s="4">
        <f t="shared" si="161"/>
        <v>149.78000374999897</v>
      </c>
      <c r="AQ1282" s="10">
        <f t="shared" si="162"/>
        <v>99.679414999999324</v>
      </c>
      <c r="AR1282" s="10">
        <f t="shared" si="163"/>
        <v>110.75379800649925</v>
      </c>
      <c r="AS1282" s="10">
        <f t="shared" si="164"/>
        <v>155.18091327199895</v>
      </c>
    </row>
    <row r="1283" spans="1:45" x14ac:dyDescent="0.3">
      <c r="A1283">
        <v>2025</v>
      </c>
      <c r="B1283">
        <v>11</v>
      </c>
      <c r="C1283" t="s">
        <v>55</v>
      </c>
      <c r="D1283">
        <v>10</v>
      </c>
      <c r="E1283" t="s">
        <v>36</v>
      </c>
      <c r="F1283" t="s">
        <v>37</v>
      </c>
      <c r="G1283" t="s">
        <v>38</v>
      </c>
      <c r="H1283" t="s">
        <v>78</v>
      </c>
      <c r="I1283" t="s">
        <v>375</v>
      </c>
      <c r="J1283" t="s">
        <v>376</v>
      </c>
      <c r="K1283" t="s">
        <v>59</v>
      </c>
      <c r="L1283" t="s">
        <v>1647</v>
      </c>
      <c r="M1283" t="s">
        <v>1633</v>
      </c>
      <c r="N1283" t="s">
        <v>1485</v>
      </c>
      <c r="O1283" t="s">
        <v>1197</v>
      </c>
      <c r="Q1283" t="s">
        <v>62</v>
      </c>
      <c r="R1283" t="s">
        <v>1648</v>
      </c>
      <c r="S1283" t="s">
        <v>1648</v>
      </c>
      <c r="T1283" t="s">
        <v>47</v>
      </c>
      <c r="U1283" t="s">
        <v>105</v>
      </c>
      <c r="V1283" t="s">
        <v>49</v>
      </c>
      <c r="W1283" t="s">
        <v>708</v>
      </c>
      <c r="X1283" t="s">
        <v>51</v>
      </c>
      <c r="Y1283" t="s">
        <v>1691</v>
      </c>
      <c r="Z1283" t="s">
        <v>1691</v>
      </c>
      <c r="AA1283" t="s">
        <v>110</v>
      </c>
      <c r="AB1283" s="3">
        <f t="shared" ref="AB1283:AB1346" si="165">SUM(AC1283/AD1283)</f>
        <v>20</v>
      </c>
      <c r="AC1283">
        <v>963.3</v>
      </c>
      <c r="AD1283" s="2">
        <v>48.164999999999999</v>
      </c>
      <c r="AE1283" s="2">
        <v>134.85</v>
      </c>
      <c r="AF1283" s="2">
        <v>6.67</v>
      </c>
      <c r="AG1283" s="2">
        <v>1104.55</v>
      </c>
      <c r="AH1283">
        <v>0</v>
      </c>
      <c r="AI1283">
        <v>55.227499999999999</v>
      </c>
      <c r="AJ1283">
        <v>5.5227500000000003</v>
      </c>
      <c r="AK1283" t="s">
        <v>54</v>
      </c>
      <c r="AL1283">
        <v>5.6</v>
      </c>
      <c r="AM1283" s="4">
        <f t="shared" ref="AM1283:AM1346" si="166">SUM(AG1283/AB1283)</f>
        <v>55.227499999999999</v>
      </c>
      <c r="AN1283" s="4">
        <f t="shared" ref="AN1283:AN1346" si="167">SUM(AD1283*1.875)</f>
        <v>90.309375000000003</v>
      </c>
      <c r="AO1283" s="4">
        <f t="shared" si="160"/>
        <v>100.333715625</v>
      </c>
      <c r="AP1283" s="4">
        <f t="shared" si="161"/>
        <v>146.2921565625</v>
      </c>
      <c r="AQ1283" s="10">
        <f t="shared" si="162"/>
        <v>96.046145250000009</v>
      </c>
      <c r="AR1283" s="10">
        <f t="shared" si="163"/>
        <v>106.71687198727501</v>
      </c>
      <c r="AS1283" s="10">
        <f t="shared" si="164"/>
        <v>149.52463892520001</v>
      </c>
    </row>
    <row r="1284" spans="1:45" x14ac:dyDescent="0.3">
      <c r="A1284">
        <v>2025</v>
      </c>
      <c r="B1284">
        <v>12</v>
      </c>
      <c r="C1284" t="s">
        <v>55</v>
      </c>
      <c r="D1284">
        <v>10</v>
      </c>
      <c r="E1284" t="s">
        <v>36</v>
      </c>
      <c r="F1284" t="s">
        <v>37</v>
      </c>
      <c r="G1284" t="s">
        <v>38</v>
      </c>
      <c r="H1284" t="s">
        <v>78</v>
      </c>
      <c r="I1284" t="s">
        <v>57</v>
      </c>
      <c r="J1284" t="s">
        <v>58</v>
      </c>
      <c r="K1284" t="s">
        <v>59</v>
      </c>
      <c r="L1284" t="s">
        <v>1769</v>
      </c>
      <c r="M1284" t="s">
        <v>1770</v>
      </c>
      <c r="N1284" t="s">
        <v>1771</v>
      </c>
      <c r="O1284" t="s">
        <v>1197</v>
      </c>
      <c r="Q1284" t="s">
        <v>62</v>
      </c>
      <c r="R1284" t="s">
        <v>1772</v>
      </c>
      <c r="S1284" t="s">
        <v>1772</v>
      </c>
      <c r="T1284" t="s">
        <v>47</v>
      </c>
      <c r="U1284" t="s">
        <v>114</v>
      </c>
      <c r="V1284" t="s">
        <v>49</v>
      </c>
      <c r="W1284" t="s">
        <v>710</v>
      </c>
      <c r="X1284" t="s">
        <v>51</v>
      </c>
      <c r="Y1284" t="s">
        <v>1311</v>
      </c>
      <c r="Z1284" t="s">
        <v>1083</v>
      </c>
      <c r="AA1284" t="s">
        <v>110</v>
      </c>
      <c r="AB1284" s="3">
        <f t="shared" si="165"/>
        <v>20</v>
      </c>
      <c r="AC1284">
        <v>1007.5</v>
      </c>
      <c r="AD1284" s="2">
        <v>50.375</v>
      </c>
      <c r="AE1284" s="2">
        <v>338.23</v>
      </c>
      <c r="AF1284" s="2">
        <v>7.97</v>
      </c>
      <c r="AG1284" s="2">
        <v>1353.24</v>
      </c>
      <c r="AH1284">
        <v>0</v>
      </c>
      <c r="AI1284">
        <v>67.662000000000006</v>
      </c>
      <c r="AJ1284">
        <v>6.7662000000000004</v>
      </c>
      <c r="AK1284" t="s">
        <v>54</v>
      </c>
      <c r="AL1284">
        <v>8.6999999999999993</v>
      </c>
      <c r="AM1284" s="4">
        <f t="shared" si="166"/>
        <v>67.662000000000006</v>
      </c>
      <c r="AN1284" s="4">
        <f t="shared" si="167"/>
        <v>94.453125</v>
      </c>
      <c r="AO1284" s="4">
        <f t="shared" ref="AO1284:AO1347" si="168">SUM(AN1284)*1.111</f>
        <v>104.937421875</v>
      </c>
      <c r="AP1284" s="4">
        <f t="shared" ref="AP1284:AP1347" si="169">SUM(AN1284)*1.6199</f>
        <v>153.0046171875</v>
      </c>
      <c r="AQ1284" s="10">
        <f t="shared" si="162"/>
        <v>117.67098420000002</v>
      </c>
      <c r="AR1284" s="10">
        <f t="shared" si="163"/>
        <v>130.74423054462002</v>
      </c>
      <c r="AS1284" s="10">
        <f t="shared" si="164"/>
        <v>183.19018820256002</v>
      </c>
    </row>
    <row r="1285" spans="1:45" x14ac:dyDescent="0.3">
      <c r="A1285">
        <v>2025</v>
      </c>
      <c r="B1285">
        <v>3</v>
      </c>
      <c r="C1285" t="s">
        <v>55</v>
      </c>
      <c r="D1285">
        <v>10</v>
      </c>
      <c r="E1285" t="s">
        <v>36</v>
      </c>
      <c r="F1285" t="s">
        <v>37</v>
      </c>
      <c r="G1285" t="s">
        <v>38</v>
      </c>
      <c r="H1285" t="s">
        <v>78</v>
      </c>
      <c r="I1285" t="s">
        <v>190</v>
      </c>
      <c r="J1285" t="s">
        <v>58</v>
      </c>
      <c r="K1285" t="s">
        <v>59</v>
      </c>
      <c r="M1285" t="s">
        <v>213</v>
      </c>
      <c r="N1285" t="s">
        <v>61</v>
      </c>
      <c r="O1285" t="s">
        <v>43</v>
      </c>
      <c r="Q1285" t="s">
        <v>62</v>
      </c>
      <c r="R1285" t="s">
        <v>214</v>
      </c>
      <c r="S1285" t="s">
        <v>215</v>
      </c>
      <c r="T1285" t="s">
        <v>47</v>
      </c>
      <c r="U1285" t="s">
        <v>105</v>
      </c>
      <c r="V1285" t="s">
        <v>49</v>
      </c>
      <c r="W1285" t="s">
        <v>106</v>
      </c>
      <c r="X1285" t="s">
        <v>51</v>
      </c>
      <c r="Y1285" t="s">
        <v>1852</v>
      </c>
      <c r="Z1285" t="s">
        <v>1852</v>
      </c>
      <c r="AA1285" t="s">
        <v>1853</v>
      </c>
      <c r="AB1285" s="3">
        <f t="shared" si="165"/>
        <v>3</v>
      </c>
      <c r="AC1285">
        <v>418.26</v>
      </c>
      <c r="AD1285" s="2">
        <v>139.41999999999999</v>
      </c>
      <c r="AE1285" s="2">
        <v>124.16</v>
      </c>
      <c r="AF1285" s="2">
        <v>3.14</v>
      </c>
      <c r="AG1285" s="2">
        <v>545.55999999999995</v>
      </c>
      <c r="AH1285">
        <v>0</v>
      </c>
      <c r="AI1285">
        <v>181.85333333333</v>
      </c>
      <c r="AJ1285">
        <v>2.7277999999999998</v>
      </c>
      <c r="AK1285" t="s">
        <v>54</v>
      </c>
      <c r="AL1285">
        <v>3.11</v>
      </c>
      <c r="AM1285" s="4">
        <f t="shared" si="166"/>
        <v>181.85333333333332</v>
      </c>
      <c r="AN1285" s="4">
        <f t="shared" si="167"/>
        <v>261.41249999999997</v>
      </c>
      <c r="AO1285" s="4">
        <f t="shared" si="168"/>
        <v>290.42928749999999</v>
      </c>
      <c r="AP1285" s="4">
        <f t="shared" si="169"/>
        <v>423.46210874999991</v>
      </c>
      <c r="AQ1285" s="10">
        <f t="shared" si="162"/>
        <v>316.26113199999998</v>
      </c>
      <c r="AR1285" s="10">
        <f t="shared" si="163"/>
        <v>351.39774376519995</v>
      </c>
      <c r="AS1285" s="10">
        <f t="shared" si="164"/>
        <v>492.35533029759995</v>
      </c>
    </row>
    <row r="1286" spans="1:45" x14ac:dyDescent="0.3">
      <c r="A1286">
        <v>2025</v>
      </c>
      <c r="B1286">
        <v>1</v>
      </c>
      <c r="C1286" t="s">
        <v>55</v>
      </c>
      <c r="D1286">
        <v>10</v>
      </c>
      <c r="E1286" t="s">
        <v>36</v>
      </c>
      <c r="F1286" t="s">
        <v>37</v>
      </c>
      <c r="G1286" t="s">
        <v>38</v>
      </c>
      <c r="H1286" t="s">
        <v>78</v>
      </c>
      <c r="I1286" t="s">
        <v>57</v>
      </c>
      <c r="J1286" t="s">
        <v>58</v>
      </c>
      <c r="K1286" t="s">
        <v>59</v>
      </c>
      <c r="M1286" t="s">
        <v>60</v>
      </c>
      <c r="N1286" t="s">
        <v>61</v>
      </c>
      <c r="O1286" t="s">
        <v>43</v>
      </c>
      <c r="Q1286" t="s">
        <v>62</v>
      </c>
      <c r="R1286" t="s">
        <v>63</v>
      </c>
      <c r="S1286" t="s">
        <v>63</v>
      </c>
      <c r="T1286" t="s">
        <v>47</v>
      </c>
      <c r="U1286" t="s">
        <v>105</v>
      </c>
      <c r="V1286" t="s">
        <v>49</v>
      </c>
      <c r="W1286" t="s">
        <v>106</v>
      </c>
      <c r="X1286" t="s">
        <v>51</v>
      </c>
      <c r="Y1286" t="s">
        <v>107</v>
      </c>
      <c r="Z1286" t="s">
        <v>64</v>
      </c>
      <c r="AA1286" t="s">
        <v>272</v>
      </c>
      <c r="AB1286" s="3">
        <f t="shared" si="165"/>
        <v>4</v>
      </c>
      <c r="AC1286">
        <v>208</v>
      </c>
      <c r="AD1286" s="2">
        <v>52</v>
      </c>
      <c r="AE1286" s="2">
        <v>43.65</v>
      </c>
      <c r="AF1286" s="2">
        <v>1.54</v>
      </c>
      <c r="AG1286" s="2">
        <v>253.18</v>
      </c>
      <c r="AH1286">
        <v>0</v>
      </c>
      <c r="AI1286">
        <v>63.295000000000002</v>
      </c>
      <c r="AJ1286">
        <v>1.2659</v>
      </c>
      <c r="AK1286" t="s">
        <v>54</v>
      </c>
      <c r="AL1286">
        <v>7.78</v>
      </c>
      <c r="AM1286" s="4">
        <f t="shared" si="166"/>
        <v>63.295000000000002</v>
      </c>
      <c r="AN1286" s="4">
        <f t="shared" si="167"/>
        <v>97.5</v>
      </c>
      <c r="AO1286" s="4">
        <f t="shared" si="168"/>
        <v>108.32250000000001</v>
      </c>
      <c r="AP1286" s="4">
        <f t="shared" si="169"/>
        <v>157.94024999999999</v>
      </c>
      <c r="AQ1286" s="10">
        <f t="shared" si="162"/>
        <v>110.07633450000002</v>
      </c>
      <c r="AR1286" s="10">
        <f t="shared" si="163"/>
        <v>122.30581526295002</v>
      </c>
      <c r="AS1286" s="10">
        <f t="shared" si="164"/>
        <v>171.36683754960001</v>
      </c>
    </row>
    <row r="1287" spans="1:45" x14ac:dyDescent="0.3">
      <c r="A1287">
        <v>2025</v>
      </c>
      <c r="B1287">
        <v>3</v>
      </c>
      <c r="C1287" t="s">
        <v>55</v>
      </c>
      <c r="D1287">
        <v>10</v>
      </c>
      <c r="E1287" t="s">
        <v>36</v>
      </c>
      <c r="F1287" t="s">
        <v>37</v>
      </c>
      <c r="G1287" t="s">
        <v>38</v>
      </c>
      <c r="H1287" t="s">
        <v>83</v>
      </c>
      <c r="I1287" t="s">
        <v>190</v>
      </c>
      <c r="J1287" t="s">
        <v>58</v>
      </c>
      <c r="K1287" t="s">
        <v>59</v>
      </c>
      <c r="M1287" t="s">
        <v>213</v>
      </c>
      <c r="N1287" t="s">
        <v>61</v>
      </c>
      <c r="O1287" t="s">
        <v>43</v>
      </c>
      <c r="Q1287" t="s">
        <v>62</v>
      </c>
      <c r="R1287" t="s">
        <v>214</v>
      </c>
      <c r="S1287" t="s">
        <v>215</v>
      </c>
      <c r="T1287" t="s">
        <v>47</v>
      </c>
      <c r="U1287" t="s">
        <v>163</v>
      </c>
      <c r="V1287" t="s">
        <v>49</v>
      </c>
      <c r="W1287" t="s">
        <v>164</v>
      </c>
      <c r="X1287" t="s">
        <v>51</v>
      </c>
      <c r="Y1287" t="s">
        <v>107</v>
      </c>
      <c r="Z1287" t="s">
        <v>64</v>
      </c>
      <c r="AA1287" t="s">
        <v>111</v>
      </c>
      <c r="AB1287" s="3">
        <f t="shared" si="165"/>
        <v>1</v>
      </c>
      <c r="AC1287">
        <v>60.57</v>
      </c>
      <c r="AD1287" s="2">
        <v>60.57</v>
      </c>
      <c r="AE1287" s="2">
        <v>14.55</v>
      </c>
      <c r="AF1287" s="2">
        <v>0.42</v>
      </c>
      <c r="AG1287" s="2">
        <v>75.55</v>
      </c>
      <c r="AH1287">
        <v>0</v>
      </c>
      <c r="AI1287">
        <v>75.55</v>
      </c>
      <c r="AJ1287">
        <v>0.37774999999999997</v>
      </c>
      <c r="AK1287" t="s">
        <v>54</v>
      </c>
      <c r="AL1287">
        <v>3.01</v>
      </c>
      <c r="AM1287" s="4">
        <f t="shared" si="166"/>
        <v>75.55</v>
      </c>
      <c r="AN1287" s="4">
        <f t="shared" si="167"/>
        <v>113.56874999999999</v>
      </c>
      <c r="AO1287" s="4">
        <f t="shared" si="168"/>
        <v>126.17488125</v>
      </c>
      <c r="AP1287" s="4">
        <f t="shared" si="169"/>
        <v>183.97001812499997</v>
      </c>
      <c r="AQ1287" s="10">
        <f t="shared" si="162"/>
        <v>131.389005</v>
      </c>
      <c r="AR1287" s="10">
        <f t="shared" si="163"/>
        <v>145.98632345549998</v>
      </c>
      <c r="AS1287" s="10">
        <f t="shared" si="164"/>
        <v>204.546402984</v>
      </c>
    </row>
    <row r="1288" spans="1:45" x14ac:dyDescent="0.3">
      <c r="A1288">
        <v>2025</v>
      </c>
      <c r="B1288">
        <v>4</v>
      </c>
      <c r="C1288" t="s">
        <v>55</v>
      </c>
      <c r="D1288">
        <v>10</v>
      </c>
      <c r="E1288" t="s">
        <v>36</v>
      </c>
      <c r="F1288" t="s">
        <v>37</v>
      </c>
      <c r="G1288" t="s">
        <v>38</v>
      </c>
      <c r="H1288" t="s">
        <v>83</v>
      </c>
      <c r="I1288" t="s">
        <v>375</v>
      </c>
      <c r="J1288" t="s">
        <v>376</v>
      </c>
      <c r="K1288" t="s">
        <v>59</v>
      </c>
      <c r="M1288">
        <v>2503061</v>
      </c>
      <c r="N1288" t="s">
        <v>377</v>
      </c>
      <c r="O1288" t="s">
        <v>36</v>
      </c>
      <c r="Q1288" t="s">
        <v>62</v>
      </c>
      <c r="R1288" t="s">
        <v>378</v>
      </c>
      <c r="S1288" t="s">
        <v>378</v>
      </c>
      <c r="T1288" t="s">
        <v>47</v>
      </c>
      <c r="U1288" t="s">
        <v>163</v>
      </c>
      <c r="V1288" t="s">
        <v>49</v>
      </c>
      <c r="W1288" t="s">
        <v>164</v>
      </c>
      <c r="X1288" t="s">
        <v>51</v>
      </c>
      <c r="Y1288" t="s">
        <v>348</v>
      </c>
      <c r="Z1288" t="s">
        <v>64</v>
      </c>
      <c r="AA1288" t="s">
        <v>349</v>
      </c>
      <c r="AB1288" s="3">
        <f t="shared" si="165"/>
        <v>10</v>
      </c>
      <c r="AC1288">
        <v>723.17</v>
      </c>
      <c r="AD1288" s="2">
        <v>72.316999999999993</v>
      </c>
      <c r="AE1288" s="2">
        <v>151.76</v>
      </c>
      <c r="AF1288" s="2">
        <v>5.35</v>
      </c>
      <c r="AG1288" s="2">
        <v>880.28</v>
      </c>
      <c r="AH1288">
        <v>0</v>
      </c>
      <c r="AI1288">
        <v>88.028000000000006</v>
      </c>
      <c r="AJ1288">
        <v>4.4013999999999998</v>
      </c>
      <c r="AK1288" t="s">
        <v>54</v>
      </c>
      <c r="AL1288">
        <v>19.440000000000001</v>
      </c>
      <c r="AM1288" s="4">
        <f t="shared" si="166"/>
        <v>88.027999999999992</v>
      </c>
      <c r="AN1288" s="4">
        <f t="shared" si="167"/>
        <v>135.59437499999999</v>
      </c>
      <c r="AO1288" s="4">
        <f t="shared" si="168"/>
        <v>150.64535062499999</v>
      </c>
      <c r="AP1288" s="4">
        <f t="shared" si="169"/>
        <v>219.64932806249996</v>
      </c>
      <c r="AQ1288" s="10">
        <f t="shared" si="162"/>
        <v>153.08949479999998</v>
      </c>
      <c r="AR1288" s="10">
        <f t="shared" si="163"/>
        <v>170.09773767227998</v>
      </c>
      <c r="AS1288" s="10">
        <f t="shared" si="164"/>
        <v>238.32972550463998</v>
      </c>
    </row>
    <row r="1289" spans="1:45" x14ac:dyDescent="0.3">
      <c r="A1289">
        <v>2025</v>
      </c>
      <c r="B1289">
        <v>12</v>
      </c>
      <c r="C1289" t="s">
        <v>55</v>
      </c>
      <c r="D1289">
        <v>10</v>
      </c>
      <c r="E1289" t="s">
        <v>36</v>
      </c>
      <c r="F1289" t="s">
        <v>37</v>
      </c>
      <c r="G1289" t="s">
        <v>38</v>
      </c>
      <c r="H1289" t="s">
        <v>83</v>
      </c>
      <c r="I1289" t="s">
        <v>57</v>
      </c>
      <c r="J1289" t="s">
        <v>58</v>
      </c>
      <c r="K1289" t="s">
        <v>59</v>
      </c>
      <c r="L1289" t="s">
        <v>1769</v>
      </c>
      <c r="M1289" t="s">
        <v>1770</v>
      </c>
      <c r="N1289" t="s">
        <v>1771</v>
      </c>
      <c r="O1289" t="s">
        <v>1197</v>
      </c>
      <c r="Q1289" t="s">
        <v>62</v>
      </c>
      <c r="R1289" t="s">
        <v>1772</v>
      </c>
      <c r="S1289" t="s">
        <v>1772</v>
      </c>
      <c r="T1289" t="s">
        <v>47</v>
      </c>
      <c r="U1289" t="s">
        <v>163</v>
      </c>
      <c r="V1289" t="s">
        <v>49</v>
      </c>
      <c r="W1289" t="s">
        <v>164</v>
      </c>
      <c r="X1289" t="s">
        <v>51</v>
      </c>
      <c r="Y1289" t="s">
        <v>553</v>
      </c>
      <c r="Z1289" t="s">
        <v>553</v>
      </c>
      <c r="AA1289" t="s">
        <v>349</v>
      </c>
      <c r="AB1289" s="3">
        <f t="shared" si="165"/>
        <v>10</v>
      </c>
      <c r="AC1289">
        <v>589.75</v>
      </c>
      <c r="AD1289" s="2">
        <v>58.975000000000001</v>
      </c>
      <c r="AE1289" s="2">
        <v>150.87</v>
      </c>
      <c r="AF1289" s="2">
        <v>4.09</v>
      </c>
      <c r="AG1289" s="2">
        <v>744.7</v>
      </c>
      <c r="AH1289">
        <v>0</v>
      </c>
      <c r="AI1289">
        <v>74.47</v>
      </c>
      <c r="AJ1289">
        <v>3.7235</v>
      </c>
      <c r="AK1289" t="s">
        <v>54</v>
      </c>
      <c r="AL1289">
        <v>7.2</v>
      </c>
      <c r="AM1289" s="4">
        <f t="shared" si="166"/>
        <v>74.47</v>
      </c>
      <c r="AN1289" s="4">
        <f t="shared" si="167"/>
        <v>110.578125</v>
      </c>
      <c r="AO1289" s="4">
        <f t="shared" si="168"/>
        <v>122.85229687499999</v>
      </c>
      <c r="AP1289" s="4">
        <f t="shared" si="169"/>
        <v>179.12550468749998</v>
      </c>
      <c r="AQ1289" s="10">
        <f t="shared" si="162"/>
        <v>129.51077700000002</v>
      </c>
      <c r="AR1289" s="10">
        <f t="shared" si="163"/>
        <v>143.89942432470002</v>
      </c>
      <c r="AS1289" s="10">
        <f t="shared" si="164"/>
        <v>201.62237763360002</v>
      </c>
    </row>
    <row r="1290" spans="1:45" x14ac:dyDescent="0.3">
      <c r="A1290">
        <v>2025</v>
      </c>
      <c r="B1290">
        <v>6</v>
      </c>
      <c r="C1290" t="s">
        <v>55</v>
      </c>
      <c r="D1290">
        <v>10</v>
      </c>
      <c r="E1290" t="s">
        <v>36</v>
      </c>
      <c r="F1290" t="s">
        <v>37</v>
      </c>
      <c r="G1290" t="s">
        <v>38</v>
      </c>
      <c r="H1290" t="s">
        <v>78</v>
      </c>
      <c r="I1290" t="s">
        <v>190</v>
      </c>
      <c r="J1290" t="s">
        <v>58</v>
      </c>
      <c r="K1290" t="s">
        <v>59</v>
      </c>
      <c r="M1290" t="s">
        <v>730</v>
      </c>
      <c r="N1290" t="s">
        <v>731</v>
      </c>
      <c r="O1290" t="s">
        <v>36</v>
      </c>
      <c r="Q1290" t="s">
        <v>62</v>
      </c>
      <c r="R1290" t="s">
        <v>732</v>
      </c>
      <c r="S1290" t="s">
        <v>732</v>
      </c>
      <c r="T1290" t="s">
        <v>47</v>
      </c>
      <c r="U1290" t="s">
        <v>118</v>
      </c>
      <c r="V1290" t="s">
        <v>49</v>
      </c>
      <c r="W1290" t="s">
        <v>714</v>
      </c>
      <c r="X1290" t="s">
        <v>686</v>
      </c>
      <c r="Y1290" t="s">
        <v>553</v>
      </c>
      <c r="Z1290" t="s">
        <v>553</v>
      </c>
      <c r="AA1290" t="s">
        <v>349</v>
      </c>
      <c r="AB1290" s="3">
        <f t="shared" si="165"/>
        <v>10</v>
      </c>
      <c r="AC1290">
        <v>604.11</v>
      </c>
      <c r="AD1290" s="2">
        <v>60.411000000000001</v>
      </c>
      <c r="AE1290" s="2">
        <v>179.34</v>
      </c>
      <c r="AF1290" s="2">
        <v>4.53</v>
      </c>
      <c r="AG1290" s="2">
        <v>787.98</v>
      </c>
      <c r="AH1290">
        <v>0</v>
      </c>
      <c r="AI1290">
        <v>78.798000000000002</v>
      </c>
      <c r="AJ1290">
        <v>3.9399000000000002</v>
      </c>
      <c r="AK1290" t="s">
        <v>54</v>
      </c>
      <c r="AL1290">
        <v>4.49</v>
      </c>
      <c r="AM1290" s="4">
        <f t="shared" si="166"/>
        <v>78.798000000000002</v>
      </c>
      <c r="AN1290" s="4">
        <f t="shared" si="167"/>
        <v>113.270625</v>
      </c>
      <c r="AO1290" s="4">
        <f t="shared" si="168"/>
        <v>125.84366437499999</v>
      </c>
      <c r="AP1290" s="4">
        <f t="shared" si="169"/>
        <v>183.48708543749999</v>
      </c>
      <c r="AQ1290" s="10">
        <f t="shared" si="162"/>
        <v>137.0376018</v>
      </c>
      <c r="AR1290" s="10">
        <f t="shared" si="163"/>
        <v>152.26247935998001</v>
      </c>
      <c r="AS1290" s="10">
        <f t="shared" si="164"/>
        <v>213.34013848224001</v>
      </c>
    </row>
    <row r="1291" spans="1:45" x14ac:dyDescent="0.3">
      <c r="A1291">
        <v>2025</v>
      </c>
      <c r="B1291">
        <v>6</v>
      </c>
      <c r="C1291" t="s">
        <v>55</v>
      </c>
      <c r="D1291">
        <v>10</v>
      </c>
      <c r="E1291" t="s">
        <v>36</v>
      </c>
      <c r="F1291" t="s">
        <v>37</v>
      </c>
      <c r="G1291" t="s">
        <v>38</v>
      </c>
      <c r="H1291" t="s">
        <v>83</v>
      </c>
      <c r="I1291" t="s">
        <v>190</v>
      </c>
      <c r="J1291" t="s">
        <v>58</v>
      </c>
      <c r="K1291" t="s">
        <v>59</v>
      </c>
      <c r="M1291" t="s">
        <v>730</v>
      </c>
      <c r="N1291" t="s">
        <v>731</v>
      </c>
      <c r="O1291" t="s">
        <v>36</v>
      </c>
      <c r="Q1291" t="s">
        <v>62</v>
      </c>
      <c r="R1291" t="s">
        <v>732</v>
      </c>
      <c r="S1291" t="s">
        <v>732</v>
      </c>
      <c r="T1291" t="s">
        <v>47</v>
      </c>
      <c r="U1291" t="s">
        <v>393</v>
      </c>
      <c r="V1291" t="s">
        <v>49</v>
      </c>
      <c r="W1291" t="s">
        <v>394</v>
      </c>
      <c r="X1291" t="s">
        <v>686</v>
      </c>
      <c r="Y1291" t="s">
        <v>492</v>
      </c>
      <c r="Z1291" t="s">
        <v>492</v>
      </c>
      <c r="AA1291" t="s">
        <v>829</v>
      </c>
      <c r="AB1291" s="3">
        <f t="shared" si="165"/>
        <v>2</v>
      </c>
      <c r="AC1291">
        <v>1100.45</v>
      </c>
      <c r="AD1291" s="2">
        <v>550.22500000000002</v>
      </c>
      <c r="AE1291" s="2">
        <v>232.67</v>
      </c>
      <c r="AF1291" s="2">
        <v>8.14</v>
      </c>
      <c r="AG1291" s="2">
        <v>1341.27</v>
      </c>
      <c r="AH1291">
        <v>0</v>
      </c>
      <c r="AI1291">
        <v>670.63499999999999</v>
      </c>
      <c r="AJ1291">
        <v>6.7063499999999996</v>
      </c>
      <c r="AK1291" t="s">
        <v>54</v>
      </c>
      <c r="AL1291">
        <v>7.95</v>
      </c>
      <c r="AM1291" s="4">
        <f t="shared" si="166"/>
        <v>670.63499999999999</v>
      </c>
      <c r="AN1291" s="4">
        <f t="shared" si="167"/>
        <v>1031.671875</v>
      </c>
      <c r="AO1291" s="4">
        <f t="shared" si="168"/>
        <v>1146.187453125</v>
      </c>
      <c r="AP1291" s="4">
        <f t="shared" si="169"/>
        <v>1671.2052703124998</v>
      </c>
      <c r="AQ1291" s="10">
        <f t="shared" si="162"/>
        <v>1166.3013285</v>
      </c>
      <c r="AR1291" s="10">
        <f t="shared" si="163"/>
        <v>1295.8774060963499</v>
      </c>
      <c r="AS1291" s="10">
        <f t="shared" si="164"/>
        <v>1815.6979082087998</v>
      </c>
    </row>
    <row r="1292" spans="1:45" x14ac:dyDescent="0.3">
      <c r="A1292">
        <v>2025</v>
      </c>
      <c r="B1292">
        <v>6</v>
      </c>
      <c r="C1292" t="s">
        <v>55</v>
      </c>
      <c r="D1292">
        <v>10</v>
      </c>
      <c r="E1292" t="s">
        <v>36</v>
      </c>
      <c r="F1292" t="s">
        <v>37</v>
      </c>
      <c r="G1292" t="s">
        <v>38</v>
      </c>
      <c r="H1292" t="s">
        <v>83</v>
      </c>
      <c r="I1292" t="s">
        <v>190</v>
      </c>
      <c r="J1292" t="s">
        <v>58</v>
      </c>
      <c r="K1292" t="s">
        <v>59</v>
      </c>
      <c r="M1292" t="s">
        <v>730</v>
      </c>
      <c r="N1292" t="s">
        <v>731</v>
      </c>
      <c r="O1292" t="s">
        <v>36</v>
      </c>
      <c r="Q1292" t="s">
        <v>62</v>
      </c>
      <c r="R1292" t="s">
        <v>732</v>
      </c>
      <c r="S1292" t="s">
        <v>732</v>
      </c>
      <c r="T1292" t="s">
        <v>47</v>
      </c>
      <c r="U1292" t="s">
        <v>118</v>
      </c>
      <c r="V1292" t="s">
        <v>49</v>
      </c>
      <c r="W1292" t="s">
        <v>714</v>
      </c>
      <c r="X1292" t="s">
        <v>686</v>
      </c>
      <c r="Y1292" t="s">
        <v>742</v>
      </c>
      <c r="Z1292" t="s">
        <v>742</v>
      </c>
      <c r="AA1292" t="s">
        <v>743</v>
      </c>
      <c r="AB1292" s="3">
        <f t="shared" si="165"/>
        <v>1</v>
      </c>
      <c r="AC1292">
        <v>20.36</v>
      </c>
      <c r="AD1292" s="2">
        <v>20.36</v>
      </c>
      <c r="AE1292" s="2">
        <v>4.3099999999999996</v>
      </c>
      <c r="AF1292" s="2">
        <v>0.15</v>
      </c>
      <c r="AG1292" s="2">
        <v>24.81</v>
      </c>
      <c r="AH1292">
        <v>0</v>
      </c>
      <c r="AI1292">
        <v>24.81</v>
      </c>
      <c r="AJ1292">
        <v>0.12404999999999999</v>
      </c>
      <c r="AK1292" t="s">
        <v>54</v>
      </c>
      <c r="AL1292">
        <v>0.15</v>
      </c>
      <c r="AM1292" s="4">
        <f t="shared" si="166"/>
        <v>24.81</v>
      </c>
      <c r="AN1292" s="4">
        <f t="shared" si="167"/>
        <v>38.174999999999997</v>
      </c>
      <c r="AO1292" s="4">
        <f t="shared" si="168"/>
        <v>42.412424999999999</v>
      </c>
      <c r="AP1292" s="4">
        <f t="shared" si="169"/>
        <v>61.839682499999988</v>
      </c>
      <c r="AQ1292" s="10">
        <f t="shared" si="162"/>
        <v>43.147070999999997</v>
      </c>
      <c r="AR1292" s="10">
        <f t="shared" si="163"/>
        <v>47.940710588099996</v>
      </c>
      <c r="AS1292" s="10">
        <f t="shared" si="164"/>
        <v>67.17136013279999</v>
      </c>
    </row>
    <row r="1293" spans="1:45" x14ac:dyDescent="0.3">
      <c r="A1293">
        <v>2025</v>
      </c>
      <c r="B1293">
        <v>6</v>
      </c>
      <c r="C1293" t="s">
        <v>55</v>
      </c>
      <c r="D1293">
        <v>10</v>
      </c>
      <c r="E1293" t="s">
        <v>36</v>
      </c>
      <c r="F1293" t="s">
        <v>37</v>
      </c>
      <c r="G1293" t="s">
        <v>38</v>
      </c>
      <c r="H1293" t="s">
        <v>83</v>
      </c>
      <c r="I1293" t="s">
        <v>190</v>
      </c>
      <c r="J1293" t="s">
        <v>58</v>
      </c>
      <c r="K1293" t="s">
        <v>59</v>
      </c>
      <c r="M1293" t="s">
        <v>730</v>
      </c>
      <c r="N1293" t="s">
        <v>731</v>
      </c>
      <c r="O1293" t="s">
        <v>36</v>
      </c>
      <c r="Q1293" t="s">
        <v>62</v>
      </c>
      <c r="R1293" t="s">
        <v>732</v>
      </c>
      <c r="S1293" t="s">
        <v>732</v>
      </c>
      <c r="T1293" t="s">
        <v>47</v>
      </c>
      <c r="U1293" t="s">
        <v>153</v>
      </c>
      <c r="V1293" t="s">
        <v>49</v>
      </c>
      <c r="W1293" t="s">
        <v>154</v>
      </c>
      <c r="X1293" t="s">
        <v>686</v>
      </c>
      <c r="Y1293" t="s">
        <v>155</v>
      </c>
      <c r="Z1293" t="s">
        <v>155</v>
      </c>
      <c r="AA1293" t="s">
        <v>821</v>
      </c>
      <c r="AB1293" s="3">
        <f t="shared" si="165"/>
        <v>1</v>
      </c>
      <c r="AC1293">
        <v>593.17999999999995</v>
      </c>
      <c r="AD1293" s="2">
        <v>593.17999999999995</v>
      </c>
      <c r="AE1293" s="2">
        <v>125.42</v>
      </c>
      <c r="AF1293" s="2">
        <v>4.3899999999999997</v>
      </c>
      <c r="AG1293" s="2">
        <v>722.99</v>
      </c>
      <c r="AH1293">
        <v>0</v>
      </c>
      <c r="AI1293">
        <v>722.99</v>
      </c>
      <c r="AJ1293">
        <v>3.6149499999999999</v>
      </c>
      <c r="AK1293" t="s">
        <v>54</v>
      </c>
      <c r="AL1293">
        <v>4.29</v>
      </c>
      <c r="AM1293" s="4">
        <f t="shared" si="166"/>
        <v>722.99</v>
      </c>
      <c r="AN1293" s="4">
        <f t="shared" si="167"/>
        <v>1112.2124999999999</v>
      </c>
      <c r="AO1293" s="4">
        <f t="shared" si="168"/>
        <v>1235.6680874999997</v>
      </c>
      <c r="AP1293" s="4">
        <f t="shared" si="169"/>
        <v>1801.6730287499997</v>
      </c>
      <c r="AQ1293" s="10">
        <f t="shared" si="162"/>
        <v>1257.351909</v>
      </c>
      <c r="AR1293" s="10">
        <f t="shared" si="163"/>
        <v>1397.0437060898998</v>
      </c>
      <c r="AS1293" s="10">
        <f t="shared" si="164"/>
        <v>1957.4454519311998</v>
      </c>
    </row>
    <row r="1294" spans="1:45" x14ac:dyDescent="0.3">
      <c r="A1294">
        <v>2025</v>
      </c>
      <c r="B1294">
        <v>6</v>
      </c>
      <c r="C1294" t="s">
        <v>55</v>
      </c>
      <c r="D1294">
        <v>10</v>
      </c>
      <c r="E1294" t="s">
        <v>36</v>
      </c>
      <c r="F1294" t="s">
        <v>37</v>
      </c>
      <c r="G1294" t="s">
        <v>38</v>
      </c>
      <c r="H1294" t="s">
        <v>83</v>
      </c>
      <c r="I1294" t="s">
        <v>190</v>
      </c>
      <c r="J1294" t="s">
        <v>58</v>
      </c>
      <c r="K1294" t="s">
        <v>59</v>
      </c>
      <c r="M1294" t="s">
        <v>730</v>
      </c>
      <c r="N1294" t="s">
        <v>731</v>
      </c>
      <c r="O1294" t="s">
        <v>36</v>
      </c>
      <c r="Q1294" t="s">
        <v>62</v>
      </c>
      <c r="R1294" t="s">
        <v>732</v>
      </c>
      <c r="S1294" t="s">
        <v>732</v>
      </c>
      <c r="T1294" t="s">
        <v>47</v>
      </c>
      <c r="U1294" t="s">
        <v>363</v>
      </c>
      <c r="V1294" t="s">
        <v>49</v>
      </c>
      <c r="W1294" t="s">
        <v>911</v>
      </c>
      <c r="X1294" t="s">
        <v>686</v>
      </c>
      <c r="Y1294" t="s">
        <v>847</v>
      </c>
      <c r="Z1294" t="s">
        <v>847</v>
      </c>
      <c r="AA1294" t="s">
        <v>848</v>
      </c>
      <c r="AB1294" s="3">
        <f t="shared" si="165"/>
        <v>2</v>
      </c>
      <c r="AC1294">
        <v>238.13</v>
      </c>
      <c r="AD1294" s="2">
        <v>119.065</v>
      </c>
      <c r="AE1294" s="2">
        <v>50.35</v>
      </c>
      <c r="AF1294" s="2">
        <v>1.76</v>
      </c>
      <c r="AG1294" s="2">
        <v>290.24</v>
      </c>
      <c r="AH1294">
        <v>0</v>
      </c>
      <c r="AI1294">
        <v>145.12</v>
      </c>
      <c r="AJ1294">
        <v>1.4512</v>
      </c>
      <c r="AK1294" t="s">
        <v>54</v>
      </c>
      <c r="AL1294">
        <v>1.72</v>
      </c>
      <c r="AM1294" s="4">
        <f t="shared" si="166"/>
        <v>145.12</v>
      </c>
      <c r="AN1294" s="4">
        <f t="shared" si="167"/>
        <v>223.24687499999999</v>
      </c>
      <c r="AO1294" s="4">
        <f t="shared" si="168"/>
        <v>248.02727812499998</v>
      </c>
      <c r="AP1294" s="4">
        <f t="shared" si="169"/>
        <v>361.63761281249998</v>
      </c>
      <c r="AQ1294" s="10">
        <f t="shared" si="162"/>
        <v>252.37819200000001</v>
      </c>
      <c r="AR1294" s="10">
        <f t="shared" si="163"/>
        <v>280.41740913120003</v>
      </c>
      <c r="AS1294" s="10">
        <f t="shared" si="164"/>
        <v>392.90236930560002</v>
      </c>
    </row>
    <row r="1295" spans="1:45" x14ac:dyDescent="0.3">
      <c r="A1295">
        <v>2025</v>
      </c>
      <c r="B1295">
        <v>6</v>
      </c>
      <c r="C1295" t="s">
        <v>55</v>
      </c>
      <c r="D1295">
        <v>10</v>
      </c>
      <c r="E1295" t="s">
        <v>36</v>
      </c>
      <c r="F1295" t="s">
        <v>37</v>
      </c>
      <c r="G1295" t="s">
        <v>38</v>
      </c>
      <c r="H1295" t="s">
        <v>83</v>
      </c>
      <c r="I1295" t="s">
        <v>190</v>
      </c>
      <c r="J1295" t="s">
        <v>58</v>
      </c>
      <c r="K1295" t="s">
        <v>59</v>
      </c>
      <c r="M1295" t="s">
        <v>730</v>
      </c>
      <c r="N1295" t="s">
        <v>731</v>
      </c>
      <c r="O1295" t="s">
        <v>36</v>
      </c>
      <c r="Q1295" t="s">
        <v>62</v>
      </c>
      <c r="R1295" t="s">
        <v>732</v>
      </c>
      <c r="S1295" t="s">
        <v>732</v>
      </c>
      <c r="T1295" t="s">
        <v>47</v>
      </c>
      <c r="U1295" t="s">
        <v>167</v>
      </c>
      <c r="V1295" t="s">
        <v>49</v>
      </c>
      <c r="W1295" t="s">
        <v>168</v>
      </c>
      <c r="X1295" t="s">
        <v>686</v>
      </c>
      <c r="Y1295" t="s">
        <v>921</v>
      </c>
      <c r="Z1295" t="s">
        <v>921</v>
      </c>
      <c r="AA1295" t="s">
        <v>922</v>
      </c>
      <c r="AB1295" s="3">
        <f t="shared" si="165"/>
        <v>1</v>
      </c>
      <c r="AC1295">
        <v>336.56</v>
      </c>
      <c r="AD1295" s="2">
        <v>336.56</v>
      </c>
      <c r="AE1295" s="2">
        <v>71.16</v>
      </c>
      <c r="AF1295" s="2">
        <v>2.4900000000000002</v>
      </c>
      <c r="AG1295" s="2">
        <v>410.21</v>
      </c>
      <c r="AH1295">
        <v>0</v>
      </c>
      <c r="AI1295">
        <v>410.21</v>
      </c>
      <c r="AJ1295">
        <v>2.05105</v>
      </c>
      <c r="AK1295" t="s">
        <v>54</v>
      </c>
      <c r="AL1295">
        <v>2.4300000000000002</v>
      </c>
      <c r="AM1295" s="4">
        <f t="shared" si="166"/>
        <v>410.21</v>
      </c>
      <c r="AN1295" s="4">
        <f t="shared" si="167"/>
        <v>631.04999999999995</v>
      </c>
      <c r="AO1295" s="4">
        <f t="shared" si="168"/>
        <v>701.09654999999998</v>
      </c>
      <c r="AP1295" s="4">
        <f t="shared" si="169"/>
        <v>1022.2378949999999</v>
      </c>
      <c r="AQ1295" s="10">
        <f t="shared" si="162"/>
        <v>713.39621099999999</v>
      </c>
      <c r="AR1295" s="10">
        <f t="shared" si="163"/>
        <v>792.65453004209996</v>
      </c>
      <c r="AS1295" s="10">
        <f t="shared" si="164"/>
        <v>1110.6152212847999</v>
      </c>
    </row>
    <row r="1296" spans="1:45" x14ac:dyDescent="0.3">
      <c r="A1296">
        <v>2025</v>
      </c>
      <c r="B1296">
        <v>6</v>
      </c>
      <c r="C1296" t="s">
        <v>55</v>
      </c>
      <c r="D1296">
        <v>10</v>
      </c>
      <c r="E1296" t="s">
        <v>36</v>
      </c>
      <c r="F1296" t="s">
        <v>37</v>
      </c>
      <c r="G1296" t="s">
        <v>38</v>
      </c>
      <c r="H1296" t="s">
        <v>83</v>
      </c>
      <c r="I1296" t="s">
        <v>190</v>
      </c>
      <c r="J1296" t="s">
        <v>58</v>
      </c>
      <c r="K1296" t="s">
        <v>59</v>
      </c>
      <c r="M1296" t="s">
        <v>730</v>
      </c>
      <c r="N1296" t="s">
        <v>731</v>
      </c>
      <c r="O1296" t="s">
        <v>36</v>
      </c>
      <c r="Q1296" t="s">
        <v>62</v>
      </c>
      <c r="R1296" t="s">
        <v>732</v>
      </c>
      <c r="S1296" t="s">
        <v>732</v>
      </c>
      <c r="T1296" t="s">
        <v>47</v>
      </c>
      <c r="U1296" t="s">
        <v>247</v>
      </c>
      <c r="V1296" t="s">
        <v>49</v>
      </c>
      <c r="W1296" t="s">
        <v>248</v>
      </c>
      <c r="X1296" t="s">
        <v>686</v>
      </c>
      <c r="Y1296" t="s">
        <v>884</v>
      </c>
      <c r="Z1296" t="s">
        <v>884</v>
      </c>
      <c r="AA1296" t="s">
        <v>885</v>
      </c>
      <c r="AB1296" s="3">
        <f t="shared" si="165"/>
        <v>1</v>
      </c>
      <c r="AC1296">
        <v>172</v>
      </c>
      <c r="AD1296" s="2">
        <v>172</v>
      </c>
      <c r="AE1296" s="2">
        <v>36.369999999999997</v>
      </c>
      <c r="AF1296" s="2">
        <v>1.27</v>
      </c>
      <c r="AG1296" s="2">
        <v>209.64</v>
      </c>
      <c r="AH1296">
        <v>0</v>
      </c>
      <c r="AI1296">
        <v>209.64</v>
      </c>
      <c r="AJ1296">
        <v>1.0482</v>
      </c>
      <c r="AK1296" t="s">
        <v>54</v>
      </c>
      <c r="AL1296">
        <v>1.24</v>
      </c>
      <c r="AM1296" s="4">
        <f t="shared" si="166"/>
        <v>209.64</v>
      </c>
      <c r="AN1296" s="4">
        <f t="shared" si="167"/>
        <v>322.5</v>
      </c>
      <c r="AO1296" s="4">
        <f t="shared" si="168"/>
        <v>358.29750000000001</v>
      </c>
      <c r="AP1296" s="4">
        <f t="shared" si="169"/>
        <v>522.41774999999996</v>
      </c>
      <c r="AQ1296" s="10">
        <f t="shared" si="162"/>
        <v>364.584924</v>
      </c>
      <c r="AR1296" s="10">
        <f t="shared" si="163"/>
        <v>405.09030905639997</v>
      </c>
      <c r="AS1296" s="10">
        <f t="shared" si="164"/>
        <v>567.58580968319995</v>
      </c>
    </row>
    <row r="1297" spans="1:45" x14ac:dyDescent="0.3">
      <c r="A1297">
        <v>2025</v>
      </c>
      <c r="B1297">
        <v>6</v>
      </c>
      <c r="C1297" t="s">
        <v>55</v>
      </c>
      <c r="D1297">
        <v>10</v>
      </c>
      <c r="E1297" t="s">
        <v>36</v>
      </c>
      <c r="F1297" t="s">
        <v>37</v>
      </c>
      <c r="G1297" t="s">
        <v>38</v>
      </c>
      <c r="H1297" t="s">
        <v>83</v>
      </c>
      <c r="I1297" t="s">
        <v>190</v>
      </c>
      <c r="J1297" t="s">
        <v>58</v>
      </c>
      <c r="K1297" t="s">
        <v>59</v>
      </c>
      <c r="M1297" t="s">
        <v>730</v>
      </c>
      <c r="N1297" t="s">
        <v>731</v>
      </c>
      <c r="O1297" t="s">
        <v>36</v>
      </c>
      <c r="Q1297" t="s">
        <v>62</v>
      </c>
      <c r="R1297" t="s">
        <v>732</v>
      </c>
      <c r="S1297" t="s">
        <v>732</v>
      </c>
      <c r="T1297" t="s">
        <v>47</v>
      </c>
      <c r="U1297" t="s">
        <v>157</v>
      </c>
      <c r="V1297" t="s">
        <v>49</v>
      </c>
      <c r="W1297" t="s">
        <v>158</v>
      </c>
      <c r="X1297" t="s">
        <v>686</v>
      </c>
      <c r="Y1297" t="s">
        <v>798</v>
      </c>
      <c r="Z1297" t="s">
        <v>798</v>
      </c>
      <c r="AA1297" t="s">
        <v>799</v>
      </c>
      <c r="AB1297" s="3">
        <f t="shared" si="165"/>
        <v>0.4300000000000016</v>
      </c>
      <c r="AC1297">
        <v>42.27</v>
      </c>
      <c r="AD1297" s="2">
        <v>98.302325581394996</v>
      </c>
      <c r="AE1297" s="2">
        <v>8.94</v>
      </c>
      <c r="AF1297" s="2">
        <v>0.31</v>
      </c>
      <c r="AG1297" s="2">
        <v>51.53</v>
      </c>
      <c r="AH1297">
        <v>0</v>
      </c>
      <c r="AI1297">
        <v>119.83720930233</v>
      </c>
      <c r="AJ1297">
        <v>0.25764999999999999</v>
      </c>
      <c r="AK1297" t="s">
        <v>54</v>
      </c>
      <c r="AL1297">
        <v>0.31</v>
      </c>
      <c r="AM1297" s="4">
        <f t="shared" si="166"/>
        <v>119.83720930232514</v>
      </c>
      <c r="AN1297" s="4">
        <f t="shared" si="167"/>
        <v>184.31686046511561</v>
      </c>
      <c r="AO1297" s="4">
        <f t="shared" si="168"/>
        <v>204.77603197674344</v>
      </c>
      <c r="AP1297" s="4">
        <f t="shared" si="169"/>
        <v>298.57488226744078</v>
      </c>
      <c r="AQ1297" s="10">
        <f t="shared" si="162"/>
        <v>208.40889069767366</v>
      </c>
      <c r="AR1297" s="10">
        <f t="shared" si="163"/>
        <v>231.5631184541852</v>
      </c>
      <c r="AS1297" s="10">
        <f t="shared" si="164"/>
        <v>324.45096103813836</v>
      </c>
    </row>
    <row r="1298" spans="1:45" x14ac:dyDescent="0.3">
      <c r="A1298">
        <v>2025</v>
      </c>
      <c r="B1298">
        <v>6</v>
      </c>
      <c r="C1298" t="s">
        <v>55</v>
      </c>
      <c r="D1298">
        <v>10</v>
      </c>
      <c r="E1298" t="s">
        <v>36</v>
      </c>
      <c r="F1298" t="s">
        <v>37</v>
      </c>
      <c r="G1298" t="s">
        <v>38</v>
      </c>
      <c r="H1298" t="s">
        <v>83</v>
      </c>
      <c r="I1298" t="s">
        <v>190</v>
      </c>
      <c r="J1298" t="s">
        <v>58</v>
      </c>
      <c r="K1298" t="s">
        <v>59</v>
      </c>
      <c r="M1298" t="s">
        <v>730</v>
      </c>
      <c r="N1298" t="s">
        <v>731</v>
      </c>
      <c r="O1298" t="s">
        <v>36</v>
      </c>
      <c r="Q1298" t="s">
        <v>62</v>
      </c>
      <c r="R1298" t="s">
        <v>732</v>
      </c>
      <c r="S1298" t="s">
        <v>732</v>
      </c>
      <c r="T1298" t="s">
        <v>47</v>
      </c>
      <c r="U1298" t="s">
        <v>356</v>
      </c>
      <c r="V1298" t="s">
        <v>49</v>
      </c>
      <c r="W1298" t="s">
        <v>357</v>
      </c>
      <c r="X1298" t="s">
        <v>686</v>
      </c>
      <c r="Y1298" t="s">
        <v>856</v>
      </c>
      <c r="Z1298" t="s">
        <v>856</v>
      </c>
      <c r="AA1298" t="s">
        <v>857</v>
      </c>
      <c r="AB1298" s="3">
        <f t="shared" si="165"/>
        <v>1</v>
      </c>
      <c r="AC1298">
        <v>146.49</v>
      </c>
      <c r="AD1298" s="2">
        <v>146.49</v>
      </c>
      <c r="AE1298" s="2">
        <v>30.97</v>
      </c>
      <c r="AF1298" s="2">
        <v>1.8</v>
      </c>
      <c r="AG1298" s="2">
        <v>178.54</v>
      </c>
      <c r="AH1298">
        <v>0</v>
      </c>
      <c r="AI1298">
        <v>178.54</v>
      </c>
      <c r="AJ1298">
        <v>0.89270000000000005</v>
      </c>
      <c r="AK1298" t="s">
        <v>54</v>
      </c>
      <c r="AL1298">
        <v>1.6</v>
      </c>
      <c r="AM1298" s="4">
        <f t="shared" si="166"/>
        <v>178.54</v>
      </c>
      <c r="AN1298" s="4">
        <f t="shared" si="167"/>
        <v>274.66875000000005</v>
      </c>
      <c r="AO1298" s="4">
        <f t="shared" si="168"/>
        <v>305.15698125000006</v>
      </c>
      <c r="AP1298" s="4">
        <f t="shared" si="169"/>
        <v>444.93590812500003</v>
      </c>
      <c r="AQ1298" s="10">
        <f t="shared" si="162"/>
        <v>310.49891400000001</v>
      </c>
      <c r="AR1298" s="10">
        <f t="shared" si="163"/>
        <v>344.99534334539999</v>
      </c>
      <c r="AS1298" s="10">
        <f t="shared" si="164"/>
        <v>483.38470931519998</v>
      </c>
    </row>
    <row r="1299" spans="1:45" x14ac:dyDescent="0.3">
      <c r="A1299">
        <v>2025</v>
      </c>
      <c r="B1299">
        <v>6</v>
      </c>
      <c r="C1299" t="s">
        <v>55</v>
      </c>
      <c r="D1299">
        <v>10</v>
      </c>
      <c r="E1299" t="s">
        <v>36</v>
      </c>
      <c r="F1299" t="s">
        <v>37</v>
      </c>
      <c r="G1299" t="s">
        <v>38</v>
      </c>
      <c r="H1299" t="s">
        <v>83</v>
      </c>
      <c r="I1299" t="s">
        <v>190</v>
      </c>
      <c r="J1299" t="s">
        <v>58</v>
      </c>
      <c r="K1299" t="s">
        <v>59</v>
      </c>
      <c r="M1299" t="s">
        <v>730</v>
      </c>
      <c r="N1299" t="s">
        <v>731</v>
      </c>
      <c r="O1299" t="s">
        <v>36</v>
      </c>
      <c r="Q1299" t="s">
        <v>62</v>
      </c>
      <c r="R1299" t="s">
        <v>732</v>
      </c>
      <c r="S1299" t="s">
        <v>732</v>
      </c>
      <c r="T1299" t="s">
        <v>47</v>
      </c>
      <c r="U1299" t="s">
        <v>244</v>
      </c>
      <c r="V1299" t="s">
        <v>49</v>
      </c>
      <c r="W1299" t="s">
        <v>90</v>
      </c>
      <c r="X1299" t="s">
        <v>686</v>
      </c>
      <c r="Y1299" t="s">
        <v>894</v>
      </c>
      <c r="Z1299" t="s">
        <v>894</v>
      </c>
      <c r="AA1299" t="s">
        <v>895</v>
      </c>
      <c r="AB1299" s="3">
        <f t="shared" si="165"/>
        <v>1</v>
      </c>
      <c r="AC1299">
        <v>700.8</v>
      </c>
      <c r="AD1299" s="2">
        <v>700.8</v>
      </c>
      <c r="AE1299" s="2">
        <v>148.19999999999999</v>
      </c>
      <c r="AF1299" s="2">
        <v>5.18</v>
      </c>
      <c r="AG1299" s="2">
        <v>853.28</v>
      </c>
      <c r="AH1299">
        <v>0</v>
      </c>
      <c r="AI1299">
        <v>853.28</v>
      </c>
      <c r="AJ1299">
        <v>4.2664</v>
      </c>
      <c r="AK1299" t="s">
        <v>54</v>
      </c>
      <c r="AL1299">
        <v>5.6</v>
      </c>
      <c r="AM1299" s="4">
        <f t="shared" si="166"/>
        <v>853.28</v>
      </c>
      <c r="AN1299" s="4">
        <f t="shared" si="167"/>
        <v>1314</v>
      </c>
      <c r="AO1299" s="4">
        <f t="shared" si="168"/>
        <v>1459.854</v>
      </c>
      <c r="AP1299" s="4">
        <f t="shared" si="169"/>
        <v>2128.5486000000001</v>
      </c>
      <c r="AQ1299" s="10">
        <f t="shared" si="162"/>
        <v>1483.9392480000001</v>
      </c>
      <c r="AR1299" s="10">
        <f t="shared" si="163"/>
        <v>1648.8048984528002</v>
      </c>
      <c r="AS1299" s="10">
        <f t="shared" si="164"/>
        <v>2310.1966212863999</v>
      </c>
    </row>
    <row r="1300" spans="1:45" x14ac:dyDescent="0.3">
      <c r="A1300">
        <v>2025</v>
      </c>
      <c r="B1300">
        <v>6</v>
      </c>
      <c r="C1300" t="s">
        <v>55</v>
      </c>
      <c r="D1300">
        <v>10</v>
      </c>
      <c r="E1300" t="s">
        <v>36</v>
      </c>
      <c r="F1300" t="s">
        <v>37</v>
      </c>
      <c r="G1300" t="s">
        <v>38</v>
      </c>
      <c r="H1300" t="s">
        <v>83</v>
      </c>
      <c r="I1300" t="s">
        <v>190</v>
      </c>
      <c r="J1300" t="s">
        <v>58</v>
      </c>
      <c r="K1300" t="s">
        <v>59</v>
      </c>
      <c r="M1300" t="s">
        <v>730</v>
      </c>
      <c r="N1300" t="s">
        <v>731</v>
      </c>
      <c r="O1300" t="s">
        <v>36</v>
      </c>
      <c r="Q1300" t="s">
        <v>62</v>
      </c>
      <c r="R1300" t="s">
        <v>732</v>
      </c>
      <c r="S1300" t="s">
        <v>732</v>
      </c>
      <c r="T1300" t="s">
        <v>47</v>
      </c>
      <c r="U1300" t="s">
        <v>363</v>
      </c>
      <c r="V1300" t="s">
        <v>49</v>
      </c>
      <c r="W1300" t="s">
        <v>911</v>
      </c>
      <c r="X1300" t="s">
        <v>686</v>
      </c>
      <c r="Y1300" t="s">
        <v>788</v>
      </c>
      <c r="Z1300" t="s">
        <v>788</v>
      </c>
      <c r="AA1300" t="s">
        <v>789</v>
      </c>
      <c r="AB1300" s="3">
        <f t="shared" si="165"/>
        <v>0.75000000000000244</v>
      </c>
      <c r="AC1300">
        <v>74.44</v>
      </c>
      <c r="AD1300" s="2">
        <v>99.253333333333003</v>
      </c>
      <c r="AE1300" s="2">
        <v>15.74</v>
      </c>
      <c r="AF1300" s="2">
        <v>0.55000000000000004</v>
      </c>
      <c r="AG1300" s="2">
        <v>90.74</v>
      </c>
      <c r="AH1300">
        <v>0</v>
      </c>
      <c r="AI1300">
        <v>120.98666666667</v>
      </c>
      <c r="AJ1300">
        <v>0.45369999999999999</v>
      </c>
      <c r="AK1300" t="s">
        <v>54</v>
      </c>
      <c r="AL1300">
        <v>0.54</v>
      </c>
      <c r="AM1300" s="4">
        <f t="shared" si="166"/>
        <v>120.98666666666627</v>
      </c>
      <c r="AN1300" s="4">
        <f t="shared" si="167"/>
        <v>186.09999999999937</v>
      </c>
      <c r="AO1300" s="4">
        <f t="shared" si="168"/>
        <v>206.7570999999993</v>
      </c>
      <c r="AP1300" s="4">
        <f t="shared" si="169"/>
        <v>301.46338999999898</v>
      </c>
      <c r="AQ1300" s="10">
        <f t="shared" si="162"/>
        <v>210.40791199999933</v>
      </c>
      <c r="AR1300" s="10">
        <f t="shared" si="163"/>
        <v>233.78423102319925</v>
      </c>
      <c r="AS1300" s="10">
        <f t="shared" si="164"/>
        <v>327.56303740159893</v>
      </c>
    </row>
    <row r="1301" spans="1:45" x14ac:dyDescent="0.3">
      <c r="A1301">
        <v>2025</v>
      </c>
      <c r="B1301">
        <v>6</v>
      </c>
      <c r="C1301" t="s">
        <v>55</v>
      </c>
      <c r="D1301">
        <v>10</v>
      </c>
      <c r="E1301" t="s">
        <v>36</v>
      </c>
      <c r="F1301" t="s">
        <v>37</v>
      </c>
      <c r="G1301" t="s">
        <v>38</v>
      </c>
      <c r="H1301" t="s">
        <v>83</v>
      </c>
      <c r="I1301" t="s">
        <v>190</v>
      </c>
      <c r="J1301" t="s">
        <v>58</v>
      </c>
      <c r="K1301" t="s">
        <v>59</v>
      </c>
      <c r="M1301" t="s">
        <v>730</v>
      </c>
      <c r="N1301" t="s">
        <v>731</v>
      </c>
      <c r="O1301" t="s">
        <v>36</v>
      </c>
      <c r="Q1301" t="s">
        <v>62</v>
      </c>
      <c r="R1301" t="s">
        <v>732</v>
      </c>
      <c r="S1301" t="s">
        <v>732</v>
      </c>
      <c r="T1301" t="s">
        <v>47</v>
      </c>
      <c r="U1301" t="s">
        <v>363</v>
      </c>
      <c r="V1301" t="s">
        <v>49</v>
      </c>
      <c r="W1301" t="s">
        <v>911</v>
      </c>
      <c r="X1301" t="s">
        <v>686</v>
      </c>
      <c r="Y1301" t="s">
        <v>912</v>
      </c>
      <c r="Z1301" t="s">
        <v>912</v>
      </c>
      <c r="AA1301" t="s">
        <v>913</v>
      </c>
      <c r="AB1301" s="3">
        <f t="shared" si="165"/>
        <v>1</v>
      </c>
      <c r="AC1301">
        <v>46.32</v>
      </c>
      <c r="AD1301" s="2">
        <v>46.32</v>
      </c>
      <c r="AE1301" s="2">
        <v>9.7899999999999991</v>
      </c>
      <c r="AF1301" s="2">
        <v>0.34</v>
      </c>
      <c r="AG1301" s="2">
        <v>56.46</v>
      </c>
      <c r="AH1301">
        <v>0</v>
      </c>
      <c r="AI1301">
        <v>56.46</v>
      </c>
      <c r="AJ1301">
        <v>0.2823</v>
      </c>
      <c r="AK1301" t="s">
        <v>54</v>
      </c>
      <c r="AL1301">
        <v>0.34</v>
      </c>
      <c r="AM1301" s="4">
        <f t="shared" si="166"/>
        <v>56.46</v>
      </c>
      <c r="AN1301" s="4">
        <f t="shared" si="167"/>
        <v>86.85</v>
      </c>
      <c r="AO1301" s="4">
        <f t="shared" si="168"/>
        <v>96.490349999999992</v>
      </c>
      <c r="AP1301" s="4">
        <f t="shared" si="169"/>
        <v>140.68831499999999</v>
      </c>
      <c r="AQ1301" s="10">
        <f t="shared" si="162"/>
        <v>98.189586000000006</v>
      </c>
      <c r="AR1301" s="10">
        <f t="shared" si="163"/>
        <v>109.0984490046</v>
      </c>
      <c r="AS1301" s="10">
        <f t="shared" si="164"/>
        <v>152.86154748480001</v>
      </c>
    </row>
    <row r="1302" spans="1:45" x14ac:dyDescent="0.3">
      <c r="A1302">
        <v>2025</v>
      </c>
      <c r="B1302">
        <v>6</v>
      </c>
      <c r="C1302" t="s">
        <v>55</v>
      </c>
      <c r="D1302">
        <v>10</v>
      </c>
      <c r="E1302" t="s">
        <v>36</v>
      </c>
      <c r="F1302" t="s">
        <v>37</v>
      </c>
      <c r="G1302" t="s">
        <v>38</v>
      </c>
      <c r="H1302" t="s">
        <v>83</v>
      </c>
      <c r="I1302" t="s">
        <v>190</v>
      </c>
      <c r="J1302" t="s">
        <v>58</v>
      </c>
      <c r="K1302" t="s">
        <v>59</v>
      </c>
      <c r="M1302" t="s">
        <v>730</v>
      </c>
      <c r="N1302" t="s">
        <v>731</v>
      </c>
      <c r="O1302" t="s">
        <v>36</v>
      </c>
      <c r="Q1302" t="s">
        <v>62</v>
      </c>
      <c r="R1302" t="s">
        <v>732</v>
      </c>
      <c r="S1302" t="s">
        <v>732</v>
      </c>
      <c r="T1302" t="s">
        <v>47</v>
      </c>
      <c r="U1302" t="s">
        <v>363</v>
      </c>
      <c r="V1302" t="s">
        <v>49</v>
      </c>
      <c r="W1302" t="s">
        <v>911</v>
      </c>
      <c r="X1302" t="s">
        <v>686</v>
      </c>
      <c r="Y1302" t="s">
        <v>919</v>
      </c>
      <c r="Z1302" t="s">
        <v>919</v>
      </c>
      <c r="AA1302" t="s">
        <v>920</v>
      </c>
      <c r="AB1302" s="3">
        <f t="shared" si="165"/>
        <v>1</v>
      </c>
      <c r="AC1302">
        <v>995.98</v>
      </c>
      <c r="AD1302" s="2">
        <v>995.98</v>
      </c>
      <c r="AE1302" s="2">
        <v>210.58</v>
      </c>
      <c r="AF1302" s="2">
        <v>7.37</v>
      </c>
      <c r="AG1302" s="2">
        <v>1213.93</v>
      </c>
      <c r="AH1302">
        <v>0</v>
      </c>
      <c r="AI1302">
        <v>1213.93</v>
      </c>
      <c r="AJ1302">
        <v>6.0696500000000002</v>
      </c>
      <c r="AK1302" t="s">
        <v>54</v>
      </c>
      <c r="AL1302">
        <v>7.2</v>
      </c>
      <c r="AM1302" s="4">
        <f t="shared" si="166"/>
        <v>1213.93</v>
      </c>
      <c r="AN1302" s="4">
        <f t="shared" si="167"/>
        <v>1867.4625000000001</v>
      </c>
      <c r="AO1302" s="4">
        <f t="shared" si="168"/>
        <v>2074.7508375000002</v>
      </c>
      <c r="AP1302" s="4">
        <f t="shared" si="169"/>
        <v>3025.1025037499999</v>
      </c>
      <c r="AQ1302" s="10">
        <f t="shared" si="162"/>
        <v>2111.1456630000002</v>
      </c>
      <c r="AR1302" s="10">
        <f t="shared" si="163"/>
        <v>2345.6939461593001</v>
      </c>
      <c r="AS1302" s="10">
        <f t="shared" si="164"/>
        <v>3286.6315681584001</v>
      </c>
    </row>
    <row r="1303" spans="1:45" x14ac:dyDescent="0.3">
      <c r="A1303">
        <v>2025</v>
      </c>
      <c r="B1303">
        <v>8</v>
      </c>
      <c r="C1303" t="s">
        <v>55</v>
      </c>
      <c r="D1303">
        <v>10</v>
      </c>
      <c r="E1303" t="s">
        <v>36</v>
      </c>
      <c r="F1303" t="s">
        <v>37</v>
      </c>
      <c r="G1303" t="s">
        <v>38</v>
      </c>
      <c r="H1303" t="s">
        <v>83</v>
      </c>
      <c r="I1303" t="s">
        <v>190</v>
      </c>
      <c r="J1303" t="s">
        <v>58</v>
      </c>
      <c r="K1303" t="s">
        <v>59</v>
      </c>
      <c r="L1303" t="s">
        <v>1194</v>
      </c>
      <c r="M1303" t="s">
        <v>1195</v>
      </c>
      <c r="N1303" t="s">
        <v>1196</v>
      </c>
      <c r="O1303" t="s">
        <v>1197</v>
      </c>
      <c r="Q1303" t="s">
        <v>62</v>
      </c>
      <c r="R1303" t="s">
        <v>1198</v>
      </c>
      <c r="S1303" t="s">
        <v>1198</v>
      </c>
      <c r="T1303" t="s">
        <v>47</v>
      </c>
      <c r="U1303" t="s">
        <v>356</v>
      </c>
      <c r="V1303" t="s">
        <v>49</v>
      </c>
      <c r="W1303" t="s">
        <v>357</v>
      </c>
      <c r="X1303" t="s">
        <v>388</v>
      </c>
      <c r="Y1303" t="s">
        <v>923</v>
      </c>
      <c r="Z1303" t="s">
        <v>923</v>
      </c>
      <c r="AA1303" t="s">
        <v>920</v>
      </c>
      <c r="AB1303" s="3">
        <f t="shared" si="165"/>
        <v>1</v>
      </c>
      <c r="AC1303">
        <v>995.98</v>
      </c>
      <c r="AD1303" s="2">
        <v>995.98</v>
      </c>
      <c r="AE1303" s="2">
        <v>210.58</v>
      </c>
      <c r="AF1303" s="2">
        <v>7.37</v>
      </c>
      <c r="AG1303" s="2">
        <v>1213.93</v>
      </c>
      <c r="AH1303">
        <v>0</v>
      </c>
      <c r="AI1303">
        <v>1213.93</v>
      </c>
      <c r="AJ1303">
        <v>6.0696500000000002</v>
      </c>
      <c r="AK1303" t="s">
        <v>54</v>
      </c>
      <c r="AL1303">
        <v>7.2</v>
      </c>
      <c r="AM1303" s="4">
        <f t="shared" si="166"/>
        <v>1213.93</v>
      </c>
      <c r="AN1303" s="4">
        <f t="shared" si="167"/>
        <v>1867.4625000000001</v>
      </c>
      <c r="AO1303" s="4">
        <f t="shared" si="168"/>
        <v>2074.7508375000002</v>
      </c>
      <c r="AP1303" s="4">
        <f t="shared" si="169"/>
        <v>3025.1025037499999</v>
      </c>
      <c r="AQ1303" s="10">
        <f t="shared" si="162"/>
        <v>2111.1456630000002</v>
      </c>
      <c r="AR1303" s="10">
        <f t="shared" si="163"/>
        <v>2345.6939461593001</v>
      </c>
      <c r="AS1303" s="10">
        <f t="shared" si="164"/>
        <v>3286.6315681584001</v>
      </c>
    </row>
    <row r="1304" spans="1:45" x14ac:dyDescent="0.3">
      <c r="A1304">
        <v>2025</v>
      </c>
      <c r="B1304">
        <v>5</v>
      </c>
      <c r="C1304" t="s">
        <v>55</v>
      </c>
      <c r="D1304">
        <v>10</v>
      </c>
      <c r="E1304" t="s">
        <v>36</v>
      </c>
      <c r="F1304" t="s">
        <v>37</v>
      </c>
      <c r="G1304" t="s">
        <v>38</v>
      </c>
      <c r="H1304" t="s">
        <v>83</v>
      </c>
      <c r="I1304" t="s">
        <v>190</v>
      </c>
      <c r="J1304" t="s">
        <v>58</v>
      </c>
      <c r="K1304" t="s">
        <v>59</v>
      </c>
      <c r="M1304" t="s">
        <v>682</v>
      </c>
      <c r="N1304" t="s">
        <v>384</v>
      </c>
      <c r="O1304" t="s">
        <v>36</v>
      </c>
      <c r="Q1304" t="s">
        <v>62</v>
      </c>
      <c r="R1304" t="s">
        <v>683</v>
      </c>
      <c r="S1304" t="s">
        <v>683</v>
      </c>
      <c r="T1304" t="s">
        <v>47</v>
      </c>
      <c r="U1304" t="s">
        <v>114</v>
      </c>
      <c r="V1304" t="s">
        <v>49</v>
      </c>
      <c r="W1304" t="s">
        <v>710</v>
      </c>
      <c r="X1304" t="s">
        <v>686</v>
      </c>
      <c r="Y1304" t="s">
        <v>1425</v>
      </c>
      <c r="Z1304" t="s">
        <v>1425</v>
      </c>
      <c r="AA1304" t="s">
        <v>1426</v>
      </c>
      <c r="AB1304" s="3">
        <f t="shared" si="165"/>
        <v>1</v>
      </c>
      <c r="AC1304">
        <v>864.82</v>
      </c>
      <c r="AD1304" s="2">
        <v>864.82</v>
      </c>
      <c r="AE1304" s="2">
        <v>61.98</v>
      </c>
      <c r="AF1304" s="2">
        <v>5.6</v>
      </c>
      <c r="AG1304" s="2">
        <v>932.39</v>
      </c>
      <c r="AH1304">
        <v>0</v>
      </c>
      <c r="AI1304">
        <v>932.39</v>
      </c>
      <c r="AJ1304">
        <v>4.66195</v>
      </c>
      <c r="AK1304" t="s">
        <v>54</v>
      </c>
      <c r="AL1304">
        <v>7.28</v>
      </c>
      <c r="AM1304" s="4">
        <f t="shared" si="166"/>
        <v>932.39</v>
      </c>
      <c r="AN1304" s="4">
        <f t="shared" si="167"/>
        <v>1621.5375000000001</v>
      </c>
      <c r="AO1304" s="4">
        <f t="shared" si="168"/>
        <v>1801.5281625000002</v>
      </c>
      <c r="AP1304" s="4">
        <f t="shared" si="169"/>
        <v>2626.72859625</v>
      </c>
      <c r="AQ1304" s="10">
        <f t="shared" si="162"/>
        <v>1621.5194490000001</v>
      </c>
      <c r="AR1304" s="10">
        <f t="shared" si="163"/>
        <v>1801.6702597839001</v>
      </c>
      <c r="AS1304" s="10">
        <f t="shared" si="164"/>
        <v>2524.3814782032</v>
      </c>
    </row>
    <row r="1305" spans="1:45" x14ac:dyDescent="0.3">
      <c r="A1305">
        <v>2025</v>
      </c>
      <c r="B1305">
        <v>5</v>
      </c>
      <c r="C1305" t="s">
        <v>55</v>
      </c>
      <c r="D1305">
        <v>10</v>
      </c>
      <c r="E1305" t="s">
        <v>36</v>
      </c>
      <c r="F1305" t="s">
        <v>37</v>
      </c>
      <c r="G1305" t="s">
        <v>38</v>
      </c>
      <c r="H1305" t="s">
        <v>83</v>
      </c>
      <c r="I1305" t="s">
        <v>190</v>
      </c>
      <c r="J1305" t="s">
        <v>58</v>
      </c>
      <c r="K1305" t="s">
        <v>59</v>
      </c>
      <c r="M1305" t="s">
        <v>682</v>
      </c>
      <c r="N1305" t="s">
        <v>384</v>
      </c>
      <c r="O1305" t="s">
        <v>36</v>
      </c>
      <c r="Q1305" t="s">
        <v>62</v>
      </c>
      <c r="R1305" t="s">
        <v>683</v>
      </c>
      <c r="S1305" t="s">
        <v>683</v>
      </c>
      <c r="T1305" t="s">
        <v>47</v>
      </c>
      <c r="U1305" t="s">
        <v>114</v>
      </c>
      <c r="V1305" t="s">
        <v>49</v>
      </c>
      <c r="W1305" t="s">
        <v>710</v>
      </c>
      <c r="X1305" t="s">
        <v>686</v>
      </c>
      <c r="Y1305" t="s">
        <v>515</v>
      </c>
      <c r="Z1305" t="s">
        <v>515</v>
      </c>
      <c r="AA1305" t="s">
        <v>711</v>
      </c>
      <c r="AB1305" s="3">
        <f t="shared" si="165"/>
        <v>1</v>
      </c>
      <c r="AC1305">
        <v>1014.49</v>
      </c>
      <c r="AD1305" s="2">
        <v>1014.49</v>
      </c>
      <c r="AE1305" s="2">
        <v>94.84</v>
      </c>
      <c r="AF1305" s="2">
        <v>9.66</v>
      </c>
      <c r="AG1305" s="2">
        <v>1118.99</v>
      </c>
      <c r="AH1305">
        <v>0</v>
      </c>
      <c r="AI1305">
        <v>1118.99</v>
      </c>
      <c r="AJ1305">
        <v>5.5949499999999999</v>
      </c>
      <c r="AK1305" t="s">
        <v>54</v>
      </c>
      <c r="AL1305">
        <v>3.11</v>
      </c>
      <c r="AM1305" s="4">
        <f t="shared" si="166"/>
        <v>1118.99</v>
      </c>
      <c r="AN1305" s="4">
        <f t="shared" si="167"/>
        <v>1902.16875</v>
      </c>
      <c r="AO1305" s="4">
        <f t="shared" si="168"/>
        <v>2113.3094812499999</v>
      </c>
      <c r="AP1305" s="4">
        <f t="shared" si="169"/>
        <v>3081.3231581249997</v>
      </c>
      <c r="AQ1305" s="10">
        <f t="shared" si="162"/>
        <v>1946.035509</v>
      </c>
      <c r="AR1305" s="10">
        <f t="shared" si="163"/>
        <v>2162.2400540499002</v>
      </c>
      <c r="AS1305" s="10">
        <f t="shared" si="164"/>
        <v>3029.5880804111998</v>
      </c>
    </row>
    <row r="1306" spans="1:45" x14ac:dyDescent="0.3">
      <c r="A1306">
        <v>2025</v>
      </c>
      <c r="B1306">
        <v>5</v>
      </c>
      <c r="C1306" t="s">
        <v>55</v>
      </c>
      <c r="D1306">
        <v>10</v>
      </c>
      <c r="E1306" t="s">
        <v>36</v>
      </c>
      <c r="F1306" t="s">
        <v>37</v>
      </c>
      <c r="G1306" t="s">
        <v>38</v>
      </c>
      <c r="H1306" t="s">
        <v>83</v>
      </c>
      <c r="I1306" t="s">
        <v>190</v>
      </c>
      <c r="J1306" t="s">
        <v>58</v>
      </c>
      <c r="K1306" t="s">
        <v>59</v>
      </c>
      <c r="M1306" t="s">
        <v>682</v>
      </c>
      <c r="N1306" t="s">
        <v>384</v>
      </c>
      <c r="O1306" t="s">
        <v>36</v>
      </c>
      <c r="Q1306" t="s">
        <v>62</v>
      </c>
      <c r="R1306" t="s">
        <v>683</v>
      </c>
      <c r="S1306" t="s">
        <v>683</v>
      </c>
      <c r="T1306" t="s">
        <v>47</v>
      </c>
      <c r="U1306" t="s">
        <v>114</v>
      </c>
      <c r="V1306" t="s">
        <v>49</v>
      </c>
      <c r="W1306" t="s">
        <v>710</v>
      </c>
      <c r="X1306" t="s">
        <v>686</v>
      </c>
      <c r="Y1306" t="s">
        <v>515</v>
      </c>
      <c r="Z1306" t="s">
        <v>515</v>
      </c>
      <c r="AA1306" t="s">
        <v>711</v>
      </c>
      <c r="AB1306" s="3">
        <f t="shared" si="165"/>
        <v>1</v>
      </c>
      <c r="AC1306">
        <v>1014.49</v>
      </c>
      <c r="AD1306" s="2">
        <v>1014.49</v>
      </c>
      <c r="AE1306" s="2">
        <v>94.84</v>
      </c>
      <c r="AF1306" s="2">
        <v>9.66</v>
      </c>
      <c r="AG1306" s="2">
        <v>1118.99</v>
      </c>
      <c r="AH1306">
        <v>0</v>
      </c>
      <c r="AI1306">
        <v>1118.99</v>
      </c>
      <c r="AJ1306">
        <v>5.5949499999999999</v>
      </c>
      <c r="AK1306" t="s">
        <v>54</v>
      </c>
      <c r="AL1306">
        <v>3.11</v>
      </c>
      <c r="AM1306" s="4">
        <f t="shared" si="166"/>
        <v>1118.99</v>
      </c>
      <c r="AN1306" s="4">
        <f t="shared" si="167"/>
        <v>1902.16875</v>
      </c>
      <c r="AO1306" s="4">
        <f t="shared" si="168"/>
        <v>2113.3094812499999</v>
      </c>
      <c r="AP1306" s="4">
        <f t="shared" si="169"/>
        <v>3081.3231581249997</v>
      </c>
      <c r="AQ1306" s="10">
        <f t="shared" si="162"/>
        <v>1946.035509</v>
      </c>
      <c r="AR1306" s="10">
        <f t="shared" si="163"/>
        <v>2162.2400540499002</v>
      </c>
      <c r="AS1306" s="10">
        <f t="shared" si="164"/>
        <v>3029.5880804111998</v>
      </c>
    </row>
    <row r="1307" spans="1:45" x14ac:dyDescent="0.3">
      <c r="A1307">
        <v>2025</v>
      </c>
      <c r="B1307">
        <v>5</v>
      </c>
      <c r="C1307" t="s">
        <v>55</v>
      </c>
      <c r="D1307">
        <v>10</v>
      </c>
      <c r="E1307" t="s">
        <v>36</v>
      </c>
      <c r="F1307" t="s">
        <v>37</v>
      </c>
      <c r="G1307" t="s">
        <v>38</v>
      </c>
      <c r="H1307" t="s">
        <v>83</v>
      </c>
      <c r="I1307" t="s">
        <v>190</v>
      </c>
      <c r="J1307" t="s">
        <v>58</v>
      </c>
      <c r="K1307" t="s">
        <v>59</v>
      </c>
      <c r="M1307" t="s">
        <v>682</v>
      </c>
      <c r="N1307" t="s">
        <v>384</v>
      </c>
      <c r="O1307" t="s">
        <v>36</v>
      </c>
      <c r="Q1307" t="s">
        <v>62</v>
      </c>
      <c r="R1307" t="s">
        <v>683</v>
      </c>
      <c r="S1307" t="s">
        <v>683</v>
      </c>
      <c r="T1307" t="s">
        <v>47</v>
      </c>
      <c r="U1307" t="s">
        <v>114</v>
      </c>
      <c r="V1307" t="s">
        <v>49</v>
      </c>
      <c r="W1307" t="s">
        <v>710</v>
      </c>
      <c r="X1307" t="s">
        <v>686</v>
      </c>
      <c r="Y1307" t="s">
        <v>515</v>
      </c>
      <c r="Z1307" t="s">
        <v>515</v>
      </c>
      <c r="AA1307" t="s">
        <v>711</v>
      </c>
      <c r="AB1307" s="3">
        <f t="shared" si="165"/>
        <v>1</v>
      </c>
      <c r="AC1307">
        <v>1014.49</v>
      </c>
      <c r="AD1307" s="2">
        <v>1014.49</v>
      </c>
      <c r="AE1307" s="2">
        <v>94.84</v>
      </c>
      <c r="AF1307" s="2">
        <v>9.66</v>
      </c>
      <c r="AG1307" s="2">
        <v>1118.99</v>
      </c>
      <c r="AH1307">
        <v>0</v>
      </c>
      <c r="AI1307">
        <v>1118.99</v>
      </c>
      <c r="AJ1307">
        <v>5.5949499999999999</v>
      </c>
      <c r="AK1307" t="s">
        <v>54</v>
      </c>
      <c r="AL1307">
        <v>3.11</v>
      </c>
      <c r="AM1307" s="4">
        <f t="shared" si="166"/>
        <v>1118.99</v>
      </c>
      <c r="AN1307" s="4">
        <f t="shared" si="167"/>
        <v>1902.16875</v>
      </c>
      <c r="AO1307" s="4">
        <f t="shared" si="168"/>
        <v>2113.3094812499999</v>
      </c>
      <c r="AP1307" s="4">
        <f t="shared" si="169"/>
        <v>3081.3231581249997</v>
      </c>
      <c r="AQ1307" s="10">
        <f t="shared" si="162"/>
        <v>1946.035509</v>
      </c>
      <c r="AR1307" s="10">
        <f t="shared" si="163"/>
        <v>2162.2400540499002</v>
      </c>
      <c r="AS1307" s="10">
        <f t="shared" si="164"/>
        <v>3029.5880804111998</v>
      </c>
    </row>
    <row r="1308" spans="1:45" x14ac:dyDescent="0.3">
      <c r="A1308">
        <v>2025</v>
      </c>
      <c r="B1308">
        <v>5</v>
      </c>
      <c r="C1308" t="s">
        <v>55</v>
      </c>
      <c r="D1308">
        <v>10</v>
      </c>
      <c r="E1308" t="s">
        <v>36</v>
      </c>
      <c r="F1308" t="s">
        <v>37</v>
      </c>
      <c r="G1308" t="s">
        <v>38</v>
      </c>
      <c r="H1308" t="s">
        <v>83</v>
      </c>
      <c r="I1308" t="s">
        <v>190</v>
      </c>
      <c r="J1308" t="s">
        <v>58</v>
      </c>
      <c r="K1308" t="s">
        <v>59</v>
      </c>
      <c r="M1308" t="s">
        <v>682</v>
      </c>
      <c r="N1308" t="s">
        <v>384</v>
      </c>
      <c r="O1308" t="s">
        <v>36</v>
      </c>
      <c r="Q1308" t="s">
        <v>62</v>
      </c>
      <c r="R1308" t="s">
        <v>683</v>
      </c>
      <c r="S1308" t="s">
        <v>683</v>
      </c>
      <c r="T1308" t="s">
        <v>47</v>
      </c>
      <c r="U1308" t="s">
        <v>114</v>
      </c>
      <c r="V1308" t="s">
        <v>49</v>
      </c>
      <c r="W1308" t="s">
        <v>710</v>
      </c>
      <c r="X1308" t="s">
        <v>686</v>
      </c>
      <c r="Y1308" t="s">
        <v>515</v>
      </c>
      <c r="Z1308" t="s">
        <v>515</v>
      </c>
      <c r="AA1308" t="s">
        <v>711</v>
      </c>
      <c r="AB1308" s="3">
        <f t="shared" si="165"/>
        <v>1</v>
      </c>
      <c r="AC1308">
        <v>1014.49</v>
      </c>
      <c r="AD1308" s="2">
        <v>1014.49</v>
      </c>
      <c r="AE1308" s="2">
        <v>94.84</v>
      </c>
      <c r="AF1308" s="2">
        <v>9.66</v>
      </c>
      <c r="AG1308" s="2">
        <v>1118.99</v>
      </c>
      <c r="AH1308">
        <v>0</v>
      </c>
      <c r="AI1308">
        <v>1118.99</v>
      </c>
      <c r="AJ1308">
        <v>5.5949499999999999</v>
      </c>
      <c r="AK1308" t="s">
        <v>54</v>
      </c>
      <c r="AL1308">
        <v>3.11</v>
      </c>
      <c r="AM1308" s="4">
        <f t="shared" si="166"/>
        <v>1118.99</v>
      </c>
      <c r="AN1308" s="4">
        <f t="shared" si="167"/>
        <v>1902.16875</v>
      </c>
      <c r="AO1308" s="4">
        <f t="shared" si="168"/>
        <v>2113.3094812499999</v>
      </c>
      <c r="AP1308" s="4">
        <f t="shared" si="169"/>
        <v>3081.3231581249997</v>
      </c>
      <c r="AQ1308" s="10">
        <f t="shared" si="162"/>
        <v>1946.035509</v>
      </c>
      <c r="AR1308" s="10">
        <f t="shared" si="163"/>
        <v>2162.2400540499002</v>
      </c>
      <c r="AS1308" s="10">
        <f t="shared" si="164"/>
        <v>3029.5880804111998</v>
      </c>
    </row>
    <row r="1309" spans="1:45" x14ac:dyDescent="0.3">
      <c r="A1309">
        <v>2025</v>
      </c>
      <c r="B1309">
        <v>5</v>
      </c>
      <c r="C1309" t="s">
        <v>55</v>
      </c>
      <c r="D1309">
        <v>10</v>
      </c>
      <c r="E1309" t="s">
        <v>36</v>
      </c>
      <c r="F1309" t="s">
        <v>37</v>
      </c>
      <c r="G1309" t="s">
        <v>38</v>
      </c>
      <c r="H1309" t="s">
        <v>83</v>
      </c>
      <c r="I1309" t="s">
        <v>190</v>
      </c>
      <c r="J1309" t="s">
        <v>58</v>
      </c>
      <c r="K1309" t="s">
        <v>59</v>
      </c>
      <c r="M1309" t="s">
        <v>682</v>
      </c>
      <c r="N1309" t="s">
        <v>384</v>
      </c>
      <c r="O1309" t="s">
        <v>36</v>
      </c>
      <c r="Q1309" t="s">
        <v>62</v>
      </c>
      <c r="R1309" t="s">
        <v>683</v>
      </c>
      <c r="S1309" t="s">
        <v>683</v>
      </c>
      <c r="T1309" t="s">
        <v>47</v>
      </c>
      <c r="U1309" t="s">
        <v>114</v>
      </c>
      <c r="V1309" t="s">
        <v>49</v>
      </c>
      <c r="W1309" t="s">
        <v>710</v>
      </c>
      <c r="X1309" t="s">
        <v>686</v>
      </c>
      <c r="Y1309" t="s">
        <v>515</v>
      </c>
      <c r="Z1309" t="s">
        <v>515</v>
      </c>
      <c r="AA1309" t="s">
        <v>711</v>
      </c>
      <c r="AB1309" s="3">
        <f t="shared" si="165"/>
        <v>1</v>
      </c>
      <c r="AC1309">
        <v>1014.49</v>
      </c>
      <c r="AD1309" s="2">
        <v>1014.49</v>
      </c>
      <c r="AE1309" s="2">
        <v>94.84</v>
      </c>
      <c r="AF1309" s="2">
        <v>9.66</v>
      </c>
      <c r="AG1309" s="2">
        <v>1118.99</v>
      </c>
      <c r="AH1309">
        <v>0</v>
      </c>
      <c r="AI1309">
        <v>1118.99</v>
      </c>
      <c r="AJ1309">
        <v>5.5949499999999999</v>
      </c>
      <c r="AK1309" t="s">
        <v>54</v>
      </c>
      <c r="AL1309">
        <v>3.11</v>
      </c>
      <c r="AM1309" s="4">
        <f t="shared" si="166"/>
        <v>1118.99</v>
      </c>
      <c r="AN1309" s="4">
        <f t="shared" si="167"/>
        <v>1902.16875</v>
      </c>
      <c r="AO1309" s="4">
        <f t="shared" si="168"/>
        <v>2113.3094812499999</v>
      </c>
      <c r="AP1309" s="4">
        <f t="shared" si="169"/>
        <v>3081.3231581249997</v>
      </c>
      <c r="AQ1309" s="10">
        <f t="shared" si="162"/>
        <v>1946.035509</v>
      </c>
      <c r="AR1309" s="10">
        <f t="shared" si="163"/>
        <v>2162.2400540499002</v>
      </c>
      <c r="AS1309" s="10">
        <f t="shared" si="164"/>
        <v>3029.5880804111998</v>
      </c>
    </row>
    <row r="1310" spans="1:45" x14ac:dyDescent="0.3">
      <c r="A1310">
        <v>2025</v>
      </c>
      <c r="B1310">
        <v>5</v>
      </c>
      <c r="C1310" t="s">
        <v>55</v>
      </c>
      <c r="D1310">
        <v>10</v>
      </c>
      <c r="E1310" t="s">
        <v>36</v>
      </c>
      <c r="F1310" t="s">
        <v>37</v>
      </c>
      <c r="G1310" t="s">
        <v>38</v>
      </c>
      <c r="H1310" t="s">
        <v>83</v>
      </c>
      <c r="I1310" t="s">
        <v>190</v>
      </c>
      <c r="J1310" t="s">
        <v>58</v>
      </c>
      <c r="K1310" t="s">
        <v>59</v>
      </c>
      <c r="M1310" t="s">
        <v>682</v>
      </c>
      <c r="N1310" t="s">
        <v>384</v>
      </c>
      <c r="O1310" t="s">
        <v>36</v>
      </c>
      <c r="Q1310" t="s">
        <v>62</v>
      </c>
      <c r="R1310" t="s">
        <v>683</v>
      </c>
      <c r="S1310" t="s">
        <v>683</v>
      </c>
      <c r="T1310" t="s">
        <v>47</v>
      </c>
      <c r="U1310" t="s">
        <v>114</v>
      </c>
      <c r="V1310" t="s">
        <v>49</v>
      </c>
      <c r="W1310" t="s">
        <v>710</v>
      </c>
      <c r="X1310" t="s">
        <v>686</v>
      </c>
      <c r="Y1310" t="s">
        <v>515</v>
      </c>
      <c r="Z1310" t="s">
        <v>515</v>
      </c>
      <c r="AA1310" t="s">
        <v>711</v>
      </c>
      <c r="AB1310" s="3">
        <f t="shared" si="165"/>
        <v>1</v>
      </c>
      <c r="AC1310">
        <v>1014.49</v>
      </c>
      <c r="AD1310" s="2">
        <v>1014.49</v>
      </c>
      <c r="AE1310" s="2">
        <v>94.84</v>
      </c>
      <c r="AF1310" s="2">
        <v>9.66</v>
      </c>
      <c r="AG1310" s="2">
        <v>1118.99</v>
      </c>
      <c r="AH1310">
        <v>0</v>
      </c>
      <c r="AI1310">
        <v>1118.99</v>
      </c>
      <c r="AJ1310">
        <v>5.5949499999999999</v>
      </c>
      <c r="AK1310" t="s">
        <v>54</v>
      </c>
      <c r="AL1310">
        <v>3.11</v>
      </c>
      <c r="AM1310" s="4">
        <f t="shared" si="166"/>
        <v>1118.99</v>
      </c>
      <c r="AN1310" s="4">
        <f t="shared" si="167"/>
        <v>1902.16875</v>
      </c>
      <c r="AO1310" s="4">
        <f t="shared" si="168"/>
        <v>2113.3094812499999</v>
      </c>
      <c r="AP1310" s="4">
        <f t="shared" si="169"/>
        <v>3081.3231581249997</v>
      </c>
      <c r="AQ1310" s="10">
        <f t="shared" si="162"/>
        <v>1946.035509</v>
      </c>
      <c r="AR1310" s="10">
        <f t="shared" si="163"/>
        <v>2162.2400540499002</v>
      </c>
      <c r="AS1310" s="10">
        <f t="shared" si="164"/>
        <v>3029.5880804111998</v>
      </c>
    </row>
    <row r="1311" spans="1:45" x14ac:dyDescent="0.3">
      <c r="A1311">
        <v>2025</v>
      </c>
      <c r="B1311">
        <v>5</v>
      </c>
      <c r="C1311" t="s">
        <v>55</v>
      </c>
      <c r="D1311">
        <v>10</v>
      </c>
      <c r="E1311" t="s">
        <v>36</v>
      </c>
      <c r="F1311" t="s">
        <v>37</v>
      </c>
      <c r="G1311" t="s">
        <v>38</v>
      </c>
      <c r="H1311" t="s">
        <v>83</v>
      </c>
      <c r="I1311" t="s">
        <v>190</v>
      </c>
      <c r="J1311" t="s">
        <v>58</v>
      </c>
      <c r="K1311" t="s">
        <v>59</v>
      </c>
      <c r="M1311" t="s">
        <v>682</v>
      </c>
      <c r="N1311" t="s">
        <v>384</v>
      </c>
      <c r="O1311" t="s">
        <v>36</v>
      </c>
      <c r="Q1311" t="s">
        <v>62</v>
      </c>
      <c r="R1311" t="s">
        <v>683</v>
      </c>
      <c r="S1311" t="s">
        <v>683</v>
      </c>
      <c r="T1311" t="s">
        <v>47</v>
      </c>
      <c r="U1311" t="s">
        <v>114</v>
      </c>
      <c r="V1311" t="s">
        <v>49</v>
      </c>
      <c r="W1311" t="s">
        <v>710</v>
      </c>
      <c r="X1311" t="s">
        <v>686</v>
      </c>
      <c r="Y1311" t="s">
        <v>515</v>
      </c>
      <c r="Z1311" t="s">
        <v>515</v>
      </c>
      <c r="AA1311" t="s">
        <v>711</v>
      </c>
      <c r="AB1311" s="3">
        <f t="shared" si="165"/>
        <v>1</v>
      </c>
      <c r="AC1311">
        <v>1014.49</v>
      </c>
      <c r="AD1311" s="2">
        <v>1014.49</v>
      </c>
      <c r="AE1311" s="2">
        <v>94.84</v>
      </c>
      <c r="AF1311" s="2">
        <v>9.66</v>
      </c>
      <c r="AG1311" s="2">
        <v>1118.99</v>
      </c>
      <c r="AH1311">
        <v>0</v>
      </c>
      <c r="AI1311">
        <v>1118.99</v>
      </c>
      <c r="AJ1311">
        <v>5.5949499999999999</v>
      </c>
      <c r="AK1311" t="s">
        <v>54</v>
      </c>
      <c r="AL1311">
        <v>3.11</v>
      </c>
      <c r="AM1311" s="4">
        <f t="shared" si="166"/>
        <v>1118.99</v>
      </c>
      <c r="AN1311" s="4">
        <f t="shared" si="167"/>
        <v>1902.16875</v>
      </c>
      <c r="AO1311" s="4">
        <f t="shared" si="168"/>
        <v>2113.3094812499999</v>
      </c>
      <c r="AP1311" s="4">
        <f t="shared" si="169"/>
        <v>3081.3231581249997</v>
      </c>
      <c r="AQ1311" s="10">
        <f t="shared" si="162"/>
        <v>1946.035509</v>
      </c>
      <c r="AR1311" s="10">
        <f t="shared" si="163"/>
        <v>2162.2400540499002</v>
      </c>
      <c r="AS1311" s="10">
        <f t="shared" si="164"/>
        <v>3029.5880804111998</v>
      </c>
    </row>
    <row r="1312" spans="1:45" x14ac:dyDescent="0.3">
      <c r="A1312">
        <v>2025</v>
      </c>
      <c r="B1312">
        <v>5</v>
      </c>
      <c r="C1312" t="s">
        <v>55</v>
      </c>
      <c r="D1312">
        <v>10</v>
      </c>
      <c r="E1312" t="s">
        <v>36</v>
      </c>
      <c r="F1312" t="s">
        <v>37</v>
      </c>
      <c r="G1312" t="s">
        <v>38</v>
      </c>
      <c r="H1312" t="s">
        <v>83</v>
      </c>
      <c r="I1312" t="s">
        <v>190</v>
      </c>
      <c r="J1312" t="s">
        <v>58</v>
      </c>
      <c r="K1312" t="s">
        <v>59</v>
      </c>
      <c r="M1312" t="s">
        <v>682</v>
      </c>
      <c r="N1312" t="s">
        <v>384</v>
      </c>
      <c r="O1312" t="s">
        <v>36</v>
      </c>
      <c r="Q1312" t="s">
        <v>62</v>
      </c>
      <c r="R1312" t="s">
        <v>683</v>
      </c>
      <c r="S1312" t="s">
        <v>683</v>
      </c>
      <c r="T1312" t="s">
        <v>47</v>
      </c>
      <c r="U1312" t="s">
        <v>114</v>
      </c>
      <c r="V1312" t="s">
        <v>49</v>
      </c>
      <c r="W1312" t="s">
        <v>710</v>
      </c>
      <c r="X1312" t="s">
        <v>686</v>
      </c>
      <c r="Y1312" t="s">
        <v>515</v>
      </c>
      <c r="Z1312" t="s">
        <v>515</v>
      </c>
      <c r="AA1312" t="s">
        <v>711</v>
      </c>
      <c r="AB1312" s="3">
        <f t="shared" si="165"/>
        <v>1</v>
      </c>
      <c r="AC1312">
        <v>1014.49</v>
      </c>
      <c r="AD1312" s="2">
        <v>1014.49</v>
      </c>
      <c r="AE1312" s="2">
        <v>94.84</v>
      </c>
      <c r="AF1312" s="2">
        <v>9.66</v>
      </c>
      <c r="AG1312" s="2">
        <v>1118.99</v>
      </c>
      <c r="AH1312">
        <v>0</v>
      </c>
      <c r="AI1312">
        <v>1118.99</v>
      </c>
      <c r="AJ1312">
        <v>5.5949499999999999</v>
      </c>
      <c r="AK1312" t="s">
        <v>54</v>
      </c>
      <c r="AL1312">
        <v>3.11</v>
      </c>
      <c r="AM1312" s="4">
        <f t="shared" si="166"/>
        <v>1118.99</v>
      </c>
      <c r="AN1312" s="4">
        <f t="shared" si="167"/>
        <v>1902.16875</v>
      </c>
      <c r="AO1312" s="4">
        <f t="shared" si="168"/>
        <v>2113.3094812499999</v>
      </c>
      <c r="AP1312" s="4">
        <f t="shared" si="169"/>
        <v>3081.3231581249997</v>
      </c>
      <c r="AQ1312" s="10">
        <f t="shared" si="162"/>
        <v>1946.035509</v>
      </c>
      <c r="AR1312" s="10">
        <f t="shared" si="163"/>
        <v>2162.2400540499002</v>
      </c>
      <c r="AS1312" s="10">
        <f t="shared" si="164"/>
        <v>3029.5880804111998</v>
      </c>
    </row>
    <row r="1313" spans="1:45" x14ac:dyDescent="0.3">
      <c r="A1313">
        <v>2025</v>
      </c>
      <c r="B1313">
        <v>8</v>
      </c>
      <c r="C1313" t="s">
        <v>55</v>
      </c>
      <c r="D1313">
        <v>10</v>
      </c>
      <c r="E1313" t="s">
        <v>36</v>
      </c>
      <c r="F1313" t="s">
        <v>37</v>
      </c>
      <c r="G1313" t="s">
        <v>38</v>
      </c>
      <c r="H1313" t="s">
        <v>83</v>
      </c>
      <c r="I1313" t="s">
        <v>190</v>
      </c>
      <c r="J1313" t="s">
        <v>58</v>
      </c>
      <c r="K1313" t="s">
        <v>59</v>
      </c>
      <c r="L1313" t="s">
        <v>1194</v>
      </c>
      <c r="M1313" t="s">
        <v>1195</v>
      </c>
      <c r="N1313" t="s">
        <v>1196</v>
      </c>
      <c r="O1313" t="s">
        <v>1197</v>
      </c>
      <c r="Q1313" t="s">
        <v>62</v>
      </c>
      <c r="R1313" t="s">
        <v>1198</v>
      </c>
      <c r="S1313" t="s">
        <v>1198</v>
      </c>
      <c r="T1313" t="s">
        <v>47</v>
      </c>
      <c r="U1313" t="s">
        <v>559</v>
      </c>
      <c r="V1313" t="s">
        <v>49</v>
      </c>
      <c r="W1313" t="s">
        <v>560</v>
      </c>
      <c r="X1313" t="s">
        <v>388</v>
      </c>
      <c r="Y1313" t="s">
        <v>515</v>
      </c>
      <c r="Z1313" t="s">
        <v>515</v>
      </c>
      <c r="AA1313" t="s">
        <v>711</v>
      </c>
      <c r="AB1313" s="3">
        <f t="shared" si="165"/>
        <v>1</v>
      </c>
      <c r="AC1313">
        <v>1014.49</v>
      </c>
      <c r="AD1313" s="2">
        <v>1014.49</v>
      </c>
      <c r="AE1313" s="2">
        <v>94.84</v>
      </c>
      <c r="AF1313" s="2">
        <v>9.66</v>
      </c>
      <c r="AG1313" s="2">
        <v>1118.99</v>
      </c>
      <c r="AH1313">
        <v>0</v>
      </c>
      <c r="AI1313">
        <v>1118.99</v>
      </c>
      <c r="AJ1313">
        <v>5.5949499999999999</v>
      </c>
      <c r="AK1313" t="s">
        <v>54</v>
      </c>
      <c r="AL1313">
        <v>3.11</v>
      </c>
      <c r="AM1313" s="4">
        <f t="shared" si="166"/>
        <v>1118.99</v>
      </c>
      <c r="AN1313" s="4">
        <f t="shared" si="167"/>
        <v>1902.16875</v>
      </c>
      <c r="AO1313" s="4">
        <f t="shared" si="168"/>
        <v>2113.3094812499999</v>
      </c>
      <c r="AP1313" s="4">
        <f t="shared" si="169"/>
        <v>3081.3231581249997</v>
      </c>
      <c r="AQ1313" s="10">
        <f t="shared" si="162"/>
        <v>1946.035509</v>
      </c>
      <c r="AR1313" s="10">
        <f t="shared" si="163"/>
        <v>2162.2400540499002</v>
      </c>
      <c r="AS1313" s="10">
        <f t="shared" si="164"/>
        <v>3029.5880804111998</v>
      </c>
    </row>
    <row r="1314" spans="1:45" x14ac:dyDescent="0.3">
      <c r="A1314">
        <v>2025</v>
      </c>
      <c r="B1314">
        <v>8</v>
      </c>
      <c r="C1314" t="s">
        <v>55</v>
      </c>
      <c r="D1314">
        <v>10</v>
      </c>
      <c r="E1314" t="s">
        <v>36</v>
      </c>
      <c r="F1314" t="s">
        <v>37</v>
      </c>
      <c r="G1314" t="s">
        <v>38</v>
      </c>
      <c r="H1314" t="s">
        <v>83</v>
      </c>
      <c r="I1314" t="s">
        <v>190</v>
      </c>
      <c r="J1314" t="s">
        <v>58</v>
      </c>
      <c r="K1314" t="s">
        <v>59</v>
      </c>
      <c r="L1314" t="s">
        <v>1194</v>
      </c>
      <c r="M1314" t="s">
        <v>1195</v>
      </c>
      <c r="N1314" t="s">
        <v>1196</v>
      </c>
      <c r="O1314" t="s">
        <v>1197</v>
      </c>
      <c r="Q1314" t="s">
        <v>62</v>
      </c>
      <c r="R1314" t="s">
        <v>1198</v>
      </c>
      <c r="S1314" t="s">
        <v>1198</v>
      </c>
      <c r="T1314" t="s">
        <v>47</v>
      </c>
      <c r="U1314" t="s">
        <v>363</v>
      </c>
      <c r="V1314" t="s">
        <v>49</v>
      </c>
      <c r="W1314" t="s">
        <v>911</v>
      </c>
      <c r="X1314" t="s">
        <v>388</v>
      </c>
      <c r="Y1314" t="s">
        <v>1139</v>
      </c>
      <c r="Z1314" t="s">
        <v>1139</v>
      </c>
      <c r="AA1314" t="s">
        <v>1395</v>
      </c>
      <c r="AB1314" s="3">
        <f t="shared" si="165"/>
        <v>1</v>
      </c>
      <c r="AC1314">
        <v>131.55000000000001</v>
      </c>
      <c r="AD1314" s="2">
        <v>131.55000000000001</v>
      </c>
      <c r="AE1314" s="2">
        <v>9.43</v>
      </c>
      <c r="AF1314" s="2">
        <v>0.85</v>
      </c>
      <c r="AG1314" s="2">
        <v>141.82</v>
      </c>
      <c r="AH1314">
        <v>0</v>
      </c>
      <c r="AI1314">
        <v>141.82</v>
      </c>
      <c r="AJ1314">
        <v>0.70909999999999995</v>
      </c>
      <c r="AK1314" t="s">
        <v>54</v>
      </c>
      <c r="AL1314">
        <v>1.1100000000000001</v>
      </c>
      <c r="AM1314" s="4">
        <f t="shared" si="166"/>
        <v>141.82</v>
      </c>
      <c r="AN1314" s="4">
        <f t="shared" si="167"/>
        <v>246.65625000000003</v>
      </c>
      <c r="AO1314" s="4">
        <f t="shared" si="168"/>
        <v>274.03509375000004</v>
      </c>
      <c r="AP1314" s="4">
        <f t="shared" si="169"/>
        <v>399.55845937500004</v>
      </c>
      <c r="AQ1314" s="10">
        <f t="shared" ref="AQ1314:AQ1377" si="170">SUM(AM1314)*1.7391</f>
        <v>246.639162</v>
      </c>
      <c r="AR1314" s="10">
        <f t="shared" ref="AR1314:AR1377" si="171">SUM(AQ1314)*1.1111</f>
        <v>274.04077289819998</v>
      </c>
      <c r="AS1314" s="10">
        <f t="shared" ref="AS1314:AS1377" si="172">SUM(AQ1314)*1.5568</f>
        <v>383.96784740160001</v>
      </c>
    </row>
    <row r="1315" spans="1:45" x14ac:dyDescent="0.3">
      <c r="A1315">
        <v>2025</v>
      </c>
      <c r="B1315">
        <v>3</v>
      </c>
      <c r="C1315" t="s">
        <v>55</v>
      </c>
      <c r="D1315">
        <v>10</v>
      </c>
      <c r="E1315" t="s">
        <v>36</v>
      </c>
      <c r="F1315" t="s">
        <v>37</v>
      </c>
      <c r="G1315" t="s">
        <v>38</v>
      </c>
      <c r="H1315" t="s">
        <v>78</v>
      </c>
      <c r="I1315" t="s">
        <v>190</v>
      </c>
      <c r="J1315" t="s">
        <v>58</v>
      </c>
      <c r="K1315" t="s">
        <v>59</v>
      </c>
      <c r="M1315" t="s">
        <v>209</v>
      </c>
      <c r="N1315" t="s">
        <v>61</v>
      </c>
      <c r="O1315" t="s">
        <v>43</v>
      </c>
      <c r="Q1315" t="s">
        <v>62</v>
      </c>
      <c r="R1315" t="s">
        <v>210</v>
      </c>
      <c r="S1315" t="s">
        <v>211</v>
      </c>
      <c r="T1315" t="s">
        <v>47</v>
      </c>
      <c r="U1315" t="s">
        <v>118</v>
      </c>
      <c r="V1315" t="s">
        <v>49</v>
      </c>
      <c r="W1315" t="s">
        <v>119</v>
      </c>
      <c r="X1315" t="s">
        <v>51</v>
      </c>
      <c r="Y1315" t="s">
        <v>1168</v>
      </c>
      <c r="Z1315" t="s">
        <v>1168</v>
      </c>
      <c r="AA1315" t="s">
        <v>1449</v>
      </c>
      <c r="AB1315" s="3">
        <f t="shared" si="165"/>
        <v>1</v>
      </c>
      <c r="AC1315">
        <v>84.82</v>
      </c>
      <c r="AD1315" s="2">
        <v>84.82</v>
      </c>
      <c r="AE1315" s="2">
        <v>6.8</v>
      </c>
      <c r="AF1315" s="2">
        <v>0.55000000000000004</v>
      </c>
      <c r="AG1315" s="2">
        <v>91.45</v>
      </c>
      <c r="AH1315">
        <v>0</v>
      </c>
      <c r="AI1315">
        <v>91.45</v>
      </c>
      <c r="AJ1315">
        <v>0.45724999999999999</v>
      </c>
      <c r="AK1315" t="s">
        <v>54</v>
      </c>
      <c r="AL1315">
        <v>0.71</v>
      </c>
      <c r="AM1315" s="4">
        <f t="shared" si="166"/>
        <v>91.45</v>
      </c>
      <c r="AN1315" s="4">
        <f t="shared" si="167"/>
        <v>159.03749999999999</v>
      </c>
      <c r="AO1315" s="4">
        <f t="shared" si="168"/>
        <v>176.6906625</v>
      </c>
      <c r="AP1315" s="4">
        <f t="shared" si="169"/>
        <v>257.62484624999996</v>
      </c>
      <c r="AQ1315" s="10">
        <f t="shared" si="170"/>
        <v>159.040695</v>
      </c>
      <c r="AR1315" s="10">
        <f t="shared" si="171"/>
        <v>176.7101162145</v>
      </c>
      <c r="AS1315" s="10">
        <f t="shared" si="172"/>
        <v>247.59455397599999</v>
      </c>
    </row>
    <row r="1316" spans="1:45" x14ac:dyDescent="0.3">
      <c r="A1316">
        <v>2025</v>
      </c>
      <c r="B1316">
        <v>8</v>
      </c>
      <c r="C1316" t="s">
        <v>55</v>
      </c>
      <c r="D1316">
        <v>10</v>
      </c>
      <c r="E1316" t="s">
        <v>36</v>
      </c>
      <c r="F1316" t="s">
        <v>37</v>
      </c>
      <c r="G1316" t="s">
        <v>38</v>
      </c>
      <c r="H1316" t="s">
        <v>83</v>
      </c>
      <c r="I1316" t="s">
        <v>190</v>
      </c>
      <c r="J1316" t="s">
        <v>58</v>
      </c>
      <c r="K1316" t="s">
        <v>59</v>
      </c>
      <c r="L1316" t="s">
        <v>1194</v>
      </c>
      <c r="M1316" t="s">
        <v>1195</v>
      </c>
      <c r="N1316" t="s">
        <v>1196</v>
      </c>
      <c r="O1316" t="s">
        <v>1197</v>
      </c>
      <c r="Q1316" t="s">
        <v>62</v>
      </c>
      <c r="R1316" t="s">
        <v>1198</v>
      </c>
      <c r="S1316" t="s">
        <v>1198</v>
      </c>
      <c r="T1316" t="s">
        <v>47</v>
      </c>
      <c r="U1316" t="s">
        <v>149</v>
      </c>
      <c r="V1316" t="s">
        <v>49</v>
      </c>
      <c r="W1316" t="s">
        <v>150</v>
      </c>
      <c r="X1316" t="s">
        <v>388</v>
      </c>
      <c r="Y1316" t="s">
        <v>116</v>
      </c>
      <c r="Z1316" t="s">
        <v>64</v>
      </c>
      <c r="AA1316" t="s">
        <v>287</v>
      </c>
      <c r="AB1316" s="3">
        <f t="shared" si="165"/>
        <v>2</v>
      </c>
      <c r="AC1316">
        <v>2013.09</v>
      </c>
      <c r="AD1316" s="2">
        <v>1006.545</v>
      </c>
      <c r="AE1316" s="2">
        <v>449.66</v>
      </c>
      <c r="AF1316" s="2">
        <v>14.75</v>
      </c>
      <c r="AG1316" s="2">
        <v>2477.5</v>
      </c>
      <c r="AH1316">
        <v>0</v>
      </c>
      <c r="AI1316">
        <v>1238.75</v>
      </c>
      <c r="AJ1316">
        <v>12.387499999999999</v>
      </c>
      <c r="AK1316" t="s">
        <v>54</v>
      </c>
      <c r="AL1316">
        <v>4.4000000000000004</v>
      </c>
      <c r="AM1316" s="4">
        <f t="shared" si="166"/>
        <v>1238.75</v>
      </c>
      <c r="AN1316" s="4">
        <f t="shared" si="167"/>
        <v>1887.2718749999999</v>
      </c>
      <c r="AO1316" s="4">
        <f t="shared" si="168"/>
        <v>2096.7590531249998</v>
      </c>
      <c r="AP1316" s="4">
        <f t="shared" si="169"/>
        <v>3057.1917103124997</v>
      </c>
      <c r="AQ1316" s="10">
        <f t="shared" si="170"/>
        <v>2154.310125</v>
      </c>
      <c r="AR1316" s="10">
        <f t="shared" si="171"/>
        <v>2393.6539798875001</v>
      </c>
      <c r="AS1316" s="10">
        <f t="shared" si="172"/>
        <v>3353.8300025999997</v>
      </c>
    </row>
    <row r="1317" spans="1:45" x14ac:dyDescent="0.3">
      <c r="A1317">
        <v>2025</v>
      </c>
      <c r="B1317">
        <v>8</v>
      </c>
      <c r="C1317" t="s">
        <v>55</v>
      </c>
      <c r="D1317">
        <v>10</v>
      </c>
      <c r="E1317" t="s">
        <v>36</v>
      </c>
      <c r="F1317" t="s">
        <v>37</v>
      </c>
      <c r="G1317" t="s">
        <v>38</v>
      </c>
      <c r="H1317" t="s">
        <v>83</v>
      </c>
      <c r="I1317" t="s">
        <v>190</v>
      </c>
      <c r="J1317" t="s">
        <v>58</v>
      </c>
      <c r="K1317" t="s">
        <v>59</v>
      </c>
      <c r="L1317" t="s">
        <v>1194</v>
      </c>
      <c r="M1317" t="s">
        <v>1195</v>
      </c>
      <c r="N1317" t="s">
        <v>1196</v>
      </c>
      <c r="O1317" t="s">
        <v>1197</v>
      </c>
      <c r="Q1317" t="s">
        <v>62</v>
      </c>
      <c r="R1317" t="s">
        <v>1198</v>
      </c>
      <c r="S1317" t="s">
        <v>1198</v>
      </c>
      <c r="T1317" t="s">
        <v>47</v>
      </c>
      <c r="U1317" t="s">
        <v>1038</v>
      </c>
      <c r="V1317" t="s">
        <v>49</v>
      </c>
      <c r="W1317" t="s">
        <v>1039</v>
      </c>
      <c r="X1317" t="s">
        <v>388</v>
      </c>
      <c r="Y1317" t="s">
        <v>1366</v>
      </c>
      <c r="Z1317" t="s">
        <v>1367</v>
      </c>
      <c r="AA1317" t="s">
        <v>1368</v>
      </c>
      <c r="AB1317" s="3">
        <f t="shared" si="165"/>
        <v>1</v>
      </c>
      <c r="AC1317">
        <v>591.85</v>
      </c>
      <c r="AD1317" s="2">
        <v>591.85</v>
      </c>
      <c r="AE1317" s="2">
        <v>42.41</v>
      </c>
      <c r="AF1317" s="2">
        <v>3.83</v>
      </c>
      <c r="AG1317" s="2">
        <v>638.9</v>
      </c>
      <c r="AH1317">
        <v>0</v>
      </c>
      <c r="AI1317">
        <v>638.9</v>
      </c>
      <c r="AJ1317">
        <v>3.1945000000000001</v>
      </c>
      <c r="AK1317" t="s">
        <v>54</v>
      </c>
      <c r="AL1317">
        <v>4.9800000000000004</v>
      </c>
      <c r="AM1317" s="4">
        <f t="shared" si="166"/>
        <v>638.9</v>
      </c>
      <c r="AN1317" s="4">
        <f t="shared" si="167"/>
        <v>1109.71875</v>
      </c>
      <c r="AO1317" s="4">
        <f t="shared" si="168"/>
        <v>1232.8975312499999</v>
      </c>
      <c r="AP1317" s="4">
        <f t="shared" si="169"/>
        <v>1797.6334031249999</v>
      </c>
      <c r="AQ1317" s="10">
        <f t="shared" si="170"/>
        <v>1111.1109900000001</v>
      </c>
      <c r="AR1317" s="10">
        <f t="shared" si="171"/>
        <v>1234.5554209890001</v>
      </c>
      <c r="AS1317" s="10">
        <f t="shared" si="172"/>
        <v>1729.7775892320001</v>
      </c>
    </row>
    <row r="1318" spans="1:45" x14ac:dyDescent="0.3">
      <c r="A1318">
        <v>2025</v>
      </c>
      <c r="B1318">
        <v>8</v>
      </c>
      <c r="C1318" t="s">
        <v>55</v>
      </c>
      <c r="D1318">
        <v>10</v>
      </c>
      <c r="E1318" t="s">
        <v>36</v>
      </c>
      <c r="F1318" t="s">
        <v>37</v>
      </c>
      <c r="G1318" t="s">
        <v>38</v>
      </c>
      <c r="H1318" t="s">
        <v>83</v>
      </c>
      <c r="I1318" t="s">
        <v>190</v>
      </c>
      <c r="J1318" t="s">
        <v>58</v>
      </c>
      <c r="K1318" t="s">
        <v>59</v>
      </c>
      <c r="L1318" t="s">
        <v>1194</v>
      </c>
      <c r="M1318" t="s">
        <v>1195</v>
      </c>
      <c r="N1318" t="s">
        <v>1196</v>
      </c>
      <c r="O1318" t="s">
        <v>1197</v>
      </c>
      <c r="Q1318" t="s">
        <v>62</v>
      </c>
      <c r="R1318" t="s">
        <v>1198</v>
      </c>
      <c r="S1318" t="s">
        <v>1198</v>
      </c>
      <c r="T1318" t="s">
        <v>47</v>
      </c>
      <c r="U1318" t="s">
        <v>559</v>
      </c>
      <c r="V1318" t="s">
        <v>49</v>
      </c>
      <c r="W1318" t="s">
        <v>560</v>
      </c>
      <c r="X1318" t="s">
        <v>388</v>
      </c>
      <c r="Y1318" t="s">
        <v>1287</v>
      </c>
      <c r="Z1318" t="s">
        <v>1287</v>
      </c>
      <c r="AA1318" t="s">
        <v>1288</v>
      </c>
      <c r="AB1318" s="3">
        <f t="shared" si="165"/>
        <v>1</v>
      </c>
      <c r="AC1318">
        <v>4456.4399999999996</v>
      </c>
      <c r="AD1318" s="2">
        <v>4456.4399999999996</v>
      </c>
      <c r="AE1318" s="2">
        <v>319.37</v>
      </c>
      <c r="AF1318" s="2">
        <v>28.83</v>
      </c>
      <c r="AG1318" s="2">
        <v>4804.6400000000003</v>
      </c>
      <c r="AH1318">
        <v>0</v>
      </c>
      <c r="AI1318">
        <v>4804.6400000000003</v>
      </c>
      <c r="AJ1318">
        <v>24.023199999999999</v>
      </c>
      <c r="AK1318" t="s">
        <v>54</v>
      </c>
      <c r="AL1318">
        <v>37.520000000000003</v>
      </c>
      <c r="AM1318" s="4">
        <f t="shared" si="166"/>
        <v>4804.6400000000003</v>
      </c>
      <c r="AN1318" s="4">
        <f t="shared" si="167"/>
        <v>8355.8249999999989</v>
      </c>
      <c r="AO1318" s="4">
        <f t="shared" si="168"/>
        <v>9283.3215749999981</v>
      </c>
      <c r="AP1318" s="4">
        <f t="shared" si="169"/>
        <v>13535.600917499998</v>
      </c>
      <c r="AQ1318" s="10">
        <f t="shared" si="170"/>
        <v>8355.7494240000015</v>
      </c>
      <c r="AR1318" s="10">
        <f t="shared" si="171"/>
        <v>9284.0731850064021</v>
      </c>
      <c r="AS1318" s="10">
        <f t="shared" si="172"/>
        <v>13008.230703283201</v>
      </c>
    </row>
    <row r="1319" spans="1:45" x14ac:dyDescent="0.3">
      <c r="A1319">
        <v>2025</v>
      </c>
      <c r="B1319">
        <v>8</v>
      </c>
      <c r="C1319" t="s">
        <v>55</v>
      </c>
      <c r="D1319">
        <v>10</v>
      </c>
      <c r="E1319" t="s">
        <v>36</v>
      </c>
      <c r="F1319" t="s">
        <v>37</v>
      </c>
      <c r="G1319" t="s">
        <v>38</v>
      </c>
      <c r="H1319" t="s">
        <v>83</v>
      </c>
      <c r="I1319" t="s">
        <v>190</v>
      </c>
      <c r="J1319" t="s">
        <v>58</v>
      </c>
      <c r="K1319" t="s">
        <v>59</v>
      </c>
      <c r="L1319" t="s">
        <v>1194</v>
      </c>
      <c r="M1319" t="s">
        <v>1195</v>
      </c>
      <c r="N1319" t="s">
        <v>1196</v>
      </c>
      <c r="O1319" t="s">
        <v>1197</v>
      </c>
      <c r="Q1319" t="s">
        <v>62</v>
      </c>
      <c r="R1319" t="s">
        <v>1198</v>
      </c>
      <c r="S1319" t="s">
        <v>1198</v>
      </c>
      <c r="T1319" t="s">
        <v>47</v>
      </c>
      <c r="U1319" t="s">
        <v>393</v>
      </c>
      <c r="V1319" t="s">
        <v>49</v>
      </c>
      <c r="W1319" t="s">
        <v>394</v>
      </c>
      <c r="X1319" t="s">
        <v>388</v>
      </c>
      <c r="Y1319" t="s">
        <v>1397</v>
      </c>
      <c r="Z1319" t="s">
        <v>1397</v>
      </c>
      <c r="AA1319" t="s">
        <v>1398</v>
      </c>
      <c r="AB1319" s="3">
        <f t="shared" si="165"/>
        <v>1</v>
      </c>
      <c r="AC1319">
        <v>456.42</v>
      </c>
      <c r="AD1319" s="2">
        <v>456.42</v>
      </c>
      <c r="AE1319" s="2">
        <v>32.71</v>
      </c>
      <c r="AF1319" s="2">
        <v>2.95</v>
      </c>
      <c r="AG1319" s="2">
        <v>492.9</v>
      </c>
      <c r="AH1319">
        <v>0</v>
      </c>
      <c r="AI1319">
        <v>492.9</v>
      </c>
      <c r="AJ1319">
        <v>2.4645000000000001</v>
      </c>
      <c r="AK1319" t="s">
        <v>54</v>
      </c>
      <c r="AL1319">
        <v>3.84</v>
      </c>
      <c r="AM1319" s="4">
        <f t="shared" si="166"/>
        <v>492.9</v>
      </c>
      <c r="AN1319" s="4">
        <f t="shared" si="167"/>
        <v>855.78750000000002</v>
      </c>
      <c r="AO1319" s="4">
        <f t="shared" si="168"/>
        <v>950.77991250000002</v>
      </c>
      <c r="AP1319" s="4">
        <f t="shared" si="169"/>
        <v>1386.29017125</v>
      </c>
      <c r="AQ1319" s="10">
        <f t="shared" si="170"/>
        <v>857.20239000000004</v>
      </c>
      <c r="AR1319" s="10">
        <f t="shared" si="171"/>
        <v>952.43757552900001</v>
      </c>
      <c r="AS1319" s="10">
        <f t="shared" si="172"/>
        <v>1334.4926807520001</v>
      </c>
    </row>
    <row r="1320" spans="1:45" x14ac:dyDescent="0.3">
      <c r="A1320">
        <v>2025</v>
      </c>
      <c r="B1320">
        <v>8</v>
      </c>
      <c r="C1320" t="s">
        <v>55</v>
      </c>
      <c r="D1320">
        <v>10</v>
      </c>
      <c r="E1320" t="s">
        <v>36</v>
      </c>
      <c r="F1320" t="s">
        <v>37</v>
      </c>
      <c r="G1320" t="s">
        <v>38</v>
      </c>
      <c r="H1320" t="s">
        <v>83</v>
      </c>
      <c r="I1320" t="s">
        <v>190</v>
      </c>
      <c r="J1320" t="s">
        <v>58</v>
      </c>
      <c r="K1320" t="s">
        <v>59</v>
      </c>
      <c r="L1320" t="s">
        <v>1194</v>
      </c>
      <c r="M1320" t="s">
        <v>1195</v>
      </c>
      <c r="N1320" t="s">
        <v>1196</v>
      </c>
      <c r="O1320" t="s">
        <v>1197</v>
      </c>
      <c r="Q1320" t="s">
        <v>62</v>
      </c>
      <c r="R1320" t="s">
        <v>1198</v>
      </c>
      <c r="S1320" t="s">
        <v>1198</v>
      </c>
      <c r="T1320" t="s">
        <v>47</v>
      </c>
      <c r="U1320" t="s">
        <v>782</v>
      </c>
      <c r="V1320" t="s">
        <v>49</v>
      </c>
      <c r="W1320" t="s">
        <v>783</v>
      </c>
      <c r="X1320" t="s">
        <v>388</v>
      </c>
      <c r="Y1320" t="s">
        <v>1228</v>
      </c>
      <c r="Z1320" t="s">
        <v>1228</v>
      </c>
      <c r="AA1320" t="s">
        <v>1229</v>
      </c>
      <c r="AB1320" s="3">
        <f t="shared" si="165"/>
        <v>1</v>
      </c>
      <c r="AC1320">
        <v>21.5</v>
      </c>
      <c r="AD1320" s="2">
        <v>21.5</v>
      </c>
      <c r="AE1320" s="2">
        <v>1.54</v>
      </c>
      <c r="AF1320" s="2">
        <v>0.14000000000000001</v>
      </c>
      <c r="AG1320" s="2">
        <v>23.18</v>
      </c>
      <c r="AH1320">
        <v>0</v>
      </c>
      <c r="AI1320">
        <v>23.18</v>
      </c>
      <c r="AJ1320">
        <v>0.1159</v>
      </c>
      <c r="AK1320" t="s">
        <v>54</v>
      </c>
      <c r="AL1320">
        <v>0.18</v>
      </c>
      <c r="AM1320" s="4">
        <f t="shared" si="166"/>
        <v>23.18</v>
      </c>
      <c r="AN1320" s="4">
        <f t="shared" si="167"/>
        <v>40.3125</v>
      </c>
      <c r="AO1320" s="4">
        <f t="shared" si="168"/>
        <v>44.787187500000002</v>
      </c>
      <c r="AP1320" s="4">
        <f t="shared" si="169"/>
        <v>65.302218749999994</v>
      </c>
      <c r="AQ1320" s="10">
        <f t="shared" si="170"/>
        <v>40.312338000000004</v>
      </c>
      <c r="AR1320" s="10">
        <f t="shared" si="171"/>
        <v>44.791038751800002</v>
      </c>
      <c r="AS1320" s="10">
        <f t="shared" si="172"/>
        <v>62.758247798400006</v>
      </c>
    </row>
    <row r="1321" spans="1:45" x14ac:dyDescent="0.3">
      <c r="A1321">
        <v>2025</v>
      </c>
      <c r="B1321">
        <v>8</v>
      </c>
      <c r="C1321" t="s">
        <v>55</v>
      </c>
      <c r="D1321">
        <v>10</v>
      </c>
      <c r="E1321" t="s">
        <v>36</v>
      </c>
      <c r="F1321" t="s">
        <v>37</v>
      </c>
      <c r="G1321" t="s">
        <v>38</v>
      </c>
      <c r="H1321" t="s">
        <v>83</v>
      </c>
      <c r="I1321" t="s">
        <v>190</v>
      </c>
      <c r="J1321" t="s">
        <v>58</v>
      </c>
      <c r="K1321" t="s">
        <v>59</v>
      </c>
      <c r="L1321" t="s">
        <v>1194</v>
      </c>
      <c r="M1321" t="s">
        <v>1195</v>
      </c>
      <c r="N1321" t="s">
        <v>1196</v>
      </c>
      <c r="O1321" t="s">
        <v>1197</v>
      </c>
      <c r="Q1321" t="s">
        <v>62</v>
      </c>
      <c r="R1321" t="s">
        <v>1198</v>
      </c>
      <c r="S1321" t="s">
        <v>1198</v>
      </c>
      <c r="T1321" t="s">
        <v>47</v>
      </c>
      <c r="U1321" t="s">
        <v>359</v>
      </c>
      <c r="V1321" t="s">
        <v>49</v>
      </c>
      <c r="W1321" t="s">
        <v>896</v>
      </c>
      <c r="X1321" t="s">
        <v>388</v>
      </c>
      <c r="Y1321" t="s">
        <v>1269</v>
      </c>
      <c r="Z1321" t="s">
        <v>1269</v>
      </c>
      <c r="AA1321" t="s">
        <v>1270</v>
      </c>
      <c r="AB1321" s="3">
        <f t="shared" si="165"/>
        <v>1</v>
      </c>
      <c r="AC1321">
        <v>98.57</v>
      </c>
      <c r="AD1321" s="2">
        <v>98.57</v>
      </c>
      <c r="AE1321" s="2">
        <v>7.6</v>
      </c>
      <c r="AF1321" s="2">
        <v>0.64</v>
      </c>
      <c r="AG1321" s="2">
        <v>106.27</v>
      </c>
      <c r="AH1321">
        <v>0</v>
      </c>
      <c r="AI1321">
        <v>106.27</v>
      </c>
      <c r="AJ1321">
        <v>0.53134999999999999</v>
      </c>
      <c r="AK1321" t="s">
        <v>54</v>
      </c>
      <c r="AL1321">
        <v>0.83</v>
      </c>
      <c r="AM1321" s="4">
        <f t="shared" si="166"/>
        <v>106.27</v>
      </c>
      <c r="AN1321" s="4">
        <f t="shared" si="167"/>
        <v>184.81874999999999</v>
      </c>
      <c r="AO1321" s="4">
        <f t="shared" si="168"/>
        <v>205.33363125</v>
      </c>
      <c r="AP1321" s="4">
        <f t="shared" si="169"/>
        <v>299.38789312499995</v>
      </c>
      <c r="AQ1321" s="10">
        <f t="shared" si="170"/>
        <v>184.81415699999999</v>
      </c>
      <c r="AR1321" s="10">
        <f t="shared" si="171"/>
        <v>205.34700984269998</v>
      </c>
      <c r="AS1321" s="10">
        <f t="shared" si="172"/>
        <v>287.7186796176</v>
      </c>
    </row>
    <row r="1322" spans="1:45" x14ac:dyDescent="0.3">
      <c r="A1322">
        <v>2025</v>
      </c>
      <c r="B1322">
        <v>7</v>
      </c>
      <c r="C1322" t="s">
        <v>55</v>
      </c>
      <c r="D1322">
        <v>10</v>
      </c>
      <c r="E1322" t="s">
        <v>36</v>
      </c>
      <c r="F1322" t="s">
        <v>37</v>
      </c>
      <c r="G1322" t="s">
        <v>38</v>
      </c>
      <c r="H1322" t="s">
        <v>83</v>
      </c>
      <c r="I1322" t="s">
        <v>190</v>
      </c>
      <c r="J1322" t="s">
        <v>58</v>
      </c>
      <c r="K1322" t="s">
        <v>41</v>
      </c>
      <c r="L1322" t="s">
        <v>953</v>
      </c>
      <c r="M1322" t="s">
        <v>954</v>
      </c>
      <c r="N1322" t="s">
        <v>731</v>
      </c>
      <c r="O1322" t="s">
        <v>36</v>
      </c>
      <c r="Q1322" t="s">
        <v>62</v>
      </c>
      <c r="R1322" t="s">
        <v>955</v>
      </c>
      <c r="S1322" t="s">
        <v>956</v>
      </c>
      <c r="T1322" t="s">
        <v>47</v>
      </c>
      <c r="U1322" t="s">
        <v>363</v>
      </c>
      <c r="V1322" t="s">
        <v>49</v>
      </c>
      <c r="W1322" t="s">
        <v>911</v>
      </c>
      <c r="X1322" t="s">
        <v>51</v>
      </c>
      <c r="Y1322" t="s">
        <v>1431</v>
      </c>
      <c r="Z1322" t="s">
        <v>1431</v>
      </c>
      <c r="AA1322" t="s">
        <v>1432</v>
      </c>
      <c r="AB1322" s="3">
        <f t="shared" si="165"/>
        <v>1</v>
      </c>
      <c r="AC1322">
        <v>413.2</v>
      </c>
      <c r="AD1322" s="2">
        <v>413.2</v>
      </c>
      <c r="AE1322" s="2">
        <v>29.61</v>
      </c>
      <c r="AF1322" s="2">
        <v>2.67</v>
      </c>
      <c r="AG1322" s="2">
        <v>445.48</v>
      </c>
      <c r="AH1322">
        <v>0</v>
      </c>
      <c r="AI1322">
        <v>445.48</v>
      </c>
      <c r="AJ1322">
        <v>2.2273999999999998</v>
      </c>
      <c r="AK1322" t="s">
        <v>54</v>
      </c>
      <c r="AL1322">
        <v>3.48</v>
      </c>
      <c r="AM1322" s="4">
        <f t="shared" si="166"/>
        <v>445.48</v>
      </c>
      <c r="AN1322" s="4">
        <f t="shared" si="167"/>
        <v>774.75</v>
      </c>
      <c r="AO1322" s="4">
        <f t="shared" si="168"/>
        <v>860.74725000000001</v>
      </c>
      <c r="AP1322" s="4">
        <f t="shared" si="169"/>
        <v>1255.017525</v>
      </c>
      <c r="AQ1322" s="10">
        <f t="shared" si="170"/>
        <v>774.73426800000004</v>
      </c>
      <c r="AR1322" s="10">
        <f t="shared" si="171"/>
        <v>860.80724517480007</v>
      </c>
      <c r="AS1322" s="10">
        <f t="shared" si="172"/>
        <v>1206.1063084223999</v>
      </c>
    </row>
    <row r="1323" spans="1:45" x14ac:dyDescent="0.3">
      <c r="A1323">
        <v>2025</v>
      </c>
      <c r="B1323">
        <v>7</v>
      </c>
      <c r="C1323" t="s">
        <v>55</v>
      </c>
      <c r="D1323">
        <v>10</v>
      </c>
      <c r="E1323" t="s">
        <v>36</v>
      </c>
      <c r="F1323" t="s">
        <v>37</v>
      </c>
      <c r="G1323" t="s">
        <v>38</v>
      </c>
      <c r="H1323" t="s">
        <v>83</v>
      </c>
      <c r="I1323" t="s">
        <v>190</v>
      </c>
      <c r="J1323" t="s">
        <v>58</v>
      </c>
      <c r="K1323" t="s">
        <v>41</v>
      </c>
      <c r="L1323" t="s">
        <v>953</v>
      </c>
      <c r="M1323" t="s">
        <v>954</v>
      </c>
      <c r="N1323" t="s">
        <v>731</v>
      </c>
      <c r="O1323" t="s">
        <v>36</v>
      </c>
      <c r="Q1323" t="s">
        <v>62</v>
      </c>
      <c r="R1323" t="s">
        <v>955</v>
      </c>
      <c r="S1323" t="s">
        <v>956</v>
      </c>
      <c r="T1323" t="s">
        <v>47</v>
      </c>
      <c r="U1323" t="s">
        <v>363</v>
      </c>
      <c r="V1323" t="s">
        <v>49</v>
      </c>
      <c r="W1323" t="s">
        <v>911</v>
      </c>
      <c r="X1323" t="s">
        <v>51</v>
      </c>
      <c r="Y1323" t="s">
        <v>1170</v>
      </c>
      <c r="Z1323" t="s">
        <v>1170</v>
      </c>
      <c r="AA1323" t="s">
        <v>1171</v>
      </c>
      <c r="AB1323" s="3">
        <f t="shared" si="165"/>
        <v>1</v>
      </c>
      <c r="AC1323">
        <v>63.71</v>
      </c>
      <c r="AD1323" s="2">
        <v>63.71</v>
      </c>
      <c r="AE1323" s="2">
        <v>29.4</v>
      </c>
      <c r="AF1323" s="2">
        <v>0.42</v>
      </c>
      <c r="AG1323" s="2">
        <v>93.17</v>
      </c>
      <c r="AH1323">
        <v>0</v>
      </c>
      <c r="AI1323">
        <v>93.17</v>
      </c>
      <c r="AJ1323">
        <v>0.46584999999999999</v>
      </c>
      <c r="AK1323" t="s">
        <v>54</v>
      </c>
      <c r="AL1323">
        <v>2.17</v>
      </c>
      <c r="AM1323" s="4">
        <f t="shared" si="166"/>
        <v>93.17</v>
      </c>
      <c r="AN1323" s="4">
        <f t="shared" si="167"/>
        <v>119.45625</v>
      </c>
      <c r="AO1323" s="4">
        <f t="shared" si="168"/>
        <v>132.71589374999999</v>
      </c>
      <c r="AP1323" s="4">
        <f t="shared" si="169"/>
        <v>193.50717937499999</v>
      </c>
      <c r="AQ1323" s="10">
        <f t="shared" si="170"/>
        <v>162.031947</v>
      </c>
      <c r="AR1323" s="10">
        <f t="shared" si="171"/>
        <v>180.0336963117</v>
      </c>
      <c r="AS1323" s="10">
        <f t="shared" si="172"/>
        <v>252.25133508959999</v>
      </c>
    </row>
    <row r="1324" spans="1:45" x14ac:dyDescent="0.3">
      <c r="A1324">
        <v>2025</v>
      </c>
      <c r="B1324">
        <v>7</v>
      </c>
      <c r="C1324" t="s">
        <v>55</v>
      </c>
      <c r="D1324">
        <v>10</v>
      </c>
      <c r="E1324" t="s">
        <v>36</v>
      </c>
      <c r="F1324" t="s">
        <v>37</v>
      </c>
      <c r="G1324" t="s">
        <v>38</v>
      </c>
      <c r="H1324" t="s">
        <v>83</v>
      </c>
      <c r="I1324" t="s">
        <v>190</v>
      </c>
      <c r="J1324" t="s">
        <v>58</v>
      </c>
      <c r="K1324" t="s">
        <v>41</v>
      </c>
      <c r="L1324" t="s">
        <v>953</v>
      </c>
      <c r="M1324" t="s">
        <v>954</v>
      </c>
      <c r="N1324" t="s">
        <v>731</v>
      </c>
      <c r="O1324" t="s">
        <v>36</v>
      </c>
      <c r="Q1324" t="s">
        <v>62</v>
      </c>
      <c r="R1324" t="s">
        <v>955</v>
      </c>
      <c r="S1324" t="s">
        <v>956</v>
      </c>
      <c r="T1324" t="s">
        <v>47</v>
      </c>
      <c r="U1324" t="s">
        <v>359</v>
      </c>
      <c r="V1324" t="s">
        <v>49</v>
      </c>
      <c r="W1324" t="s">
        <v>896</v>
      </c>
      <c r="X1324" t="s">
        <v>51</v>
      </c>
      <c r="Y1324" t="s">
        <v>1172</v>
      </c>
      <c r="Z1324" t="s">
        <v>1172</v>
      </c>
      <c r="AA1324" t="s">
        <v>1173</v>
      </c>
      <c r="AB1324" s="3">
        <f t="shared" si="165"/>
        <v>1</v>
      </c>
      <c r="AC1324">
        <v>62.95</v>
      </c>
      <c r="AD1324" s="2">
        <v>62.95</v>
      </c>
      <c r="AE1324" s="2">
        <v>29.4</v>
      </c>
      <c r="AF1324" s="2">
        <v>0.42</v>
      </c>
      <c r="AG1324" s="2">
        <v>92.41</v>
      </c>
      <c r="AH1324">
        <v>0</v>
      </c>
      <c r="AI1324">
        <v>92.41</v>
      </c>
      <c r="AJ1324">
        <v>0.46205000000000002</v>
      </c>
      <c r="AK1324" t="s">
        <v>54</v>
      </c>
      <c r="AL1324">
        <v>2.17</v>
      </c>
      <c r="AM1324" s="4">
        <f t="shared" si="166"/>
        <v>92.41</v>
      </c>
      <c r="AN1324" s="4">
        <f t="shared" si="167"/>
        <v>118.03125</v>
      </c>
      <c r="AO1324" s="4">
        <f t="shared" si="168"/>
        <v>131.13271875000001</v>
      </c>
      <c r="AP1324" s="4">
        <f t="shared" si="169"/>
        <v>191.19882187499999</v>
      </c>
      <c r="AQ1324" s="10">
        <f t="shared" si="170"/>
        <v>160.71023099999999</v>
      </c>
      <c r="AR1324" s="10">
        <f t="shared" si="171"/>
        <v>178.56513766409998</v>
      </c>
      <c r="AS1324" s="10">
        <f t="shared" si="172"/>
        <v>250.19368762079998</v>
      </c>
    </row>
    <row r="1325" spans="1:45" x14ac:dyDescent="0.3">
      <c r="A1325">
        <v>2025</v>
      </c>
      <c r="B1325">
        <v>7</v>
      </c>
      <c r="C1325" t="s">
        <v>55</v>
      </c>
      <c r="D1325">
        <v>10</v>
      </c>
      <c r="E1325" t="s">
        <v>36</v>
      </c>
      <c r="F1325" t="s">
        <v>37</v>
      </c>
      <c r="G1325" t="s">
        <v>38</v>
      </c>
      <c r="H1325" t="s">
        <v>83</v>
      </c>
      <c r="I1325" t="s">
        <v>190</v>
      </c>
      <c r="J1325" t="s">
        <v>58</v>
      </c>
      <c r="K1325" t="s">
        <v>41</v>
      </c>
      <c r="L1325" t="s">
        <v>953</v>
      </c>
      <c r="M1325" t="s">
        <v>954</v>
      </c>
      <c r="N1325" t="s">
        <v>731</v>
      </c>
      <c r="O1325" t="s">
        <v>36</v>
      </c>
      <c r="Q1325" t="s">
        <v>62</v>
      </c>
      <c r="R1325" t="s">
        <v>955</v>
      </c>
      <c r="S1325" t="s">
        <v>956</v>
      </c>
      <c r="T1325" t="s">
        <v>47</v>
      </c>
      <c r="U1325" t="s">
        <v>173</v>
      </c>
      <c r="V1325" t="s">
        <v>49</v>
      </c>
      <c r="W1325" t="s">
        <v>174</v>
      </c>
      <c r="X1325" t="s">
        <v>51</v>
      </c>
      <c r="Y1325" t="s">
        <v>1153</v>
      </c>
      <c r="Z1325" t="s">
        <v>1153</v>
      </c>
      <c r="AA1325" t="s">
        <v>1154</v>
      </c>
      <c r="AB1325" s="3">
        <f t="shared" si="165"/>
        <v>1</v>
      </c>
      <c r="AC1325">
        <v>125.51</v>
      </c>
      <c r="AD1325" s="2">
        <v>125.51</v>
      </c>
      <c r="AE1325" s="2">
        <v>29.4</v>
      </c>
      <c r="AF1325" s="2">
        <v>0.85</v>
      </c>
      <c r="AG1325" s="2">
        <v>155.4</v>
      </c>
      <c r="AH1325">
        <v>0</v>
      </c>
      <c r="AI1325">
        <v>155.4</v>
      </c>
      <c r="AJ1325">
        <v>0.77700000000000002</v>
      </c>
      <c r="AK1325" t="s">
        <v>54</v>
      </c>
      <c r="AL1325">
        <v>2.17</v>
      </c>
      <c r="AM1325" s="4">
        <f t="shared" si="166"/>
        <v>155.4</v>
      </c>
      <c r="AN1325" s="4">
        <f t="shared" si="167"/>
        <v>235.33125000000001</v>
      </c>
      <c r="AO1325" s="4">
        <f t="shared" si="168"/>
        <v>261.45301875000001</v>
      </c>
      <c r="AP1325" s="4">
        <f t="shared" si="169"/>
        <v>381.21309187499998</v>
      </c>
      <c r="AQ1325" s="10">
        <f t="shared" si="170"/>
        <v>270.25614000000002</v>
      </c>
      <c r="AR1325" s="10">
        <f t="shared" si="171"/>
        <v>300.281597154</v>
      </c>
      <c r="AS1325" s="10">
        <f t="shared" si="172"/>
        <v>420.734758752</v>
      </c>
    </row>
    <row r="1326" spans="1:45" x14ac:dyDescent="0.3">
      <c r="A1326">
        <v>2025</v>
      </c>
      <c r="B1326">
        <v>7</v>
      </c>
      <c r="C1326" t="s">
        <v>55</v>
      </c>
      <c r="D1326">
        <v>10</v>
      </c>
      <c r="E1326" t="s">
        <v>36</v>
      </c>
      <c r="F1326" t="s">
        <v>37</v>
      </c>
      <c r="G1326" t="s">
        <v>38</v>
      </c>
      <c r="H1326" t="s">
        <v>83</v>
      </c>
      <c r="I1326" t="s">
        <v>190</v>
      </c>
      <c r="J1326" t="s">
        <v>58</v>
      </c>
      <c r="K1326" t="s">
        <v>41</v>
      </c>
      <c r="L1326" t="s">
        <v>953</v>
      </c>
      <c r="M1326" t="s">
        <v>954</v>
      </c>
      <c r="N1326" t="s">
        <v>731</v>
      </c>
      <c r="O1326" t="s">
        <v>36</v>
      </c>
      <c r="Q1326" t="s">
        <v>62</v>
      </c>
      <c r="R1326" t="s">
        <v>955</v>
      </c>
      <c r="S1326" t="s">
        <v>956</v>
      </c>
      <c r="T1326" t="s">
        <v>47</v>
      </c>
      <c r="U1326" t="s">
        <v>363</v>
      </c>
      <c r="V1326" t="s">
        <v>49</v>
      </c>
      <c r="W1326" t="s">
        <v>911</v>
      </c>
      <c r="X1326" t="s">
        <v>51</v>
      </c>
      <c r="Y1326" t="s">
        <v>1145</v>
      </c>
      <c r="Z1326" t="s">
        <v>1145</v>
      </c>
      <c r="AA1326" t="s">
        <v>1146</v>
      </c>
      <c r="AB1326" s="3">
        <f t="shared" si="165"/>
        <v>1</v>
      </c>
      <c r="AC1326">
        <v>120.2</v>
      </c>
      <c r="AD1326" s="2">
        <v>120.2</v>
      </c>
      <c r="AE1326" s="2">
        <v>29.4</v>
      </c>
      <c r="AF1326" s="2">
        <v>0.82</v>
      </c>
      <c r="AG1326" s="2">
        <v>149.87</v>
      </c>
      <c r="AH1326">
        <v>0</v>
      </c>
      <c r="AI1326">
        <v>149.87</v>
      </c>
      <c r="AJ1326">
        <v>0.74934999999999996</v>
      </c>
      <c r="AK1326" t="s">
        <v>54</v>
      </c>
      <c r="AL1326">
        <v>2.17</v>
      </c>
      <c r="AM1326" s="4">
        <f t="shared" si="166"/>
        <v>149.87</v>
      </c>
      <c r="AN1326" s="4">
        <f t="shared" si="167"/>
        <v>225.375</v>
      </c>
      <c r="AO1326" s="4">
        <f t="shared" si="168"/>
        <v>250.391625</v>
      </c>
      <c r="AP1326" s="4">
        <f t="shared" si="169"/>
        <v>365.08496249999996</v>
      </c>
      <c r="AQ1326" s="10">
        <f t="shared" si="170"/>
        <v>260.63891700000005</v>
      </c>
      <c r="AR1326" s="10">
        <f t="shared" si="171"/>
        <v>289.59590067870005</v>
      </c>
      <c r="AS1326" s="10">
        <f t="shared" si="172"/>
        <v>405.76266598560005</v>
      </c>
    </row>
    <row r="1327" spans="1:45" x14ac:dyDescent="0.3">
      <c r="A1327">
        <v>2025</v>
      </c>
      <c r="B1327">
        <v>4</v>
      </c>
      <c r="C1327" t="s">
        <v>55</v>
      </c>
      <c r="D1327">
        <v>10</v>
      </c>
      <c r="E1327" t="s">
        <v>36</v>
      </c>
      <c r="F1327" t="s">
        <v>37</v>
      </c>
      <c r="G1327" t="s">
        <v>38</v>
      </c>
      <c r="H1327" t="s">
        <v>83</v>
      </c>
      <c r="I1327" t="s">
        <v>375</v>
      </c>
      <c r="J1327" t="s">
        <v>376</v>
      </c>
      <c r="K1327" t="s">
        <v>59</v>
      </c>
      <c r="M1327">
        <v>2503061</v>
      </c>
      <c r="N1327" t="s">
        <v>377</v>
      </c>
      <c r="O1327" t="s">
        <v>36</v>
      </c>
      <c r="Q1327" t="s">
        <v>62</v>
      </c>
      <c r="R1327" t="s">
        <v>378</v>
      </c>
      <c r="S1327" t="s">
        <v>378</v>
      </c>
      <c r="T1327" t="s">
        <v>47</v>
      </c>
      <c r="U1327" t="s">
        <v>118</v>
      </c>
      <c r="V1327" t="s">
        <v>49</v>
      </c>
      <c r="W1327" t="s">
        <v>119</v>
      </c>
      <c r="X1327" t="s">
        <v>51</v>
      </c>
      <c r="Y1327" t="s">
        <v>1174</v>
      </c>
      <c r="Z1327" t="s">
        <v>1174</v>
      </c>
      <c r="AA1327" t="s">
        <v>1175</v>
      </c>
      <c r="AB1327" s="3">
        <f t="shared" si="165"/>
        <v>1</v>
      </c>
      <c r="AC1327">
        <v>32.409999999999997</v>
      </c>
      <c r="AD1327" s="2">
        <v>32.409999999999997</v>
      </c>
      <c r="AE1327" s="2">
        <v>29.4</v>
      </c>
      <c r="AF1327" s="2">
        <v>0.2</v>
      </c>
      <c r="AG1327" s="2">
        <v>61.65</v>
      </c>
      <c r="AH1327">
        <v>0</v>
      </c>
      <c r="AI1327">
        <v>61.65</v>
      </c>
      <c r="AJ1327">
        <v>0.30825000000000002</v>
      </c>
      <c r="AK1327" t="s">
        <v>54</v>
      </c>
      <c r="AL1327">
        <v>2.17</v>
      </c>
      <c r="AM1327" s="4">
        <f t="shared" si="166"/>
        <v>61.65</v>
      </c>
      <c r="AN1327" s="4">
        <f t="shared" si="167"/>
        <v>60.768749999999997</v>
      </c>
      <c r="AO1327" s="4">
        <f t="shared" si="168"/>
        <v>67.51408124999999</v>
      </c>
      <c r="AP1327" s="4">
        <f t="shared" si="169"/>
        <v>98.439298124999993</v>
      </c>
      <c r="AQ1327" s="10">
        <f t="shared" si="170"/>
        <v>107.215515</v>
      </c>
      <c r="AR1327" s="10">
        <f t="shared" si="171"/>
        <v>119.12715871649999</v>
      </c>
      <c r="AS1327" s="10">
        <f t="shared" si="172"/>
        <v>166.91311375199999</v>
      </c>
    </row>
    <row r="1328" spans="1:45" x14ac:dyDescent="0.3">
      <c r="A1328">
        <v>2025</v>
      </c>
      <c r="B1328">
        <v>8</v>
      </c>
      <c r="C1328" t="s">
        <v>55</v>
      </c>
      <c r="D1328">
        <v>10</v>
      </c>
      <c r="E1328" t="s">
        <v>36</v>
      </c>
      <c r="F1328" t="s">
        <v>37</v>
      </c>
      <c r="G1328" t="s">
        <v>38</v>
      </c>
      <c r="H1328" t="s">
        <v>83</v>
      </c>
      <c r="I1328" t="s">
        <v>190</v>
      </c>
      <c r="J1328" t="s">
        <v>58</v>
      </c>
      <c r="K1328" t="s">
        <v>59</v>
      </c>
      <c r="L1328" t="s">
        <v>1194</v>
      </c>
      <c r="M1328" t="s">
        <v>1195</v>
      </c>
      <c r="N1328" t="s">
        <v>1196</v>
      </c>
      <c r="O1328" t="s">
        <v>1197</v>
      </c>
      <c r="Q1328" t="s">
        <v>62</v>
      </c>
      <c r="R1328" t="s">
        <v>1198</v>
      </c>
      <c r="S1328" t="s">
        <v>1198</v>
      </c>
      <c r="T1328" t="s">
        <v>47</v>
      </c>
      <c r="U1328" t="s">
        <v>167</v>
      </c>
      <c r="V1328" t="s">
        <v>49</v>
      </c>
      <c r="W1328" t="s">
        <v>168</v>
      </c>
      <c r="X1328" t="s">
        <v>388</v>
      </c>
      <c r="Y1328" t="s">
        <v>500</v>
      </c>
      <c r="Z1328" t="s">
        <v>500</v>
      </c>
      <c r="AA1328" t="s">
        <v>501</v>
      </c>
      <c r="AB1328" s="3">
        <f t="shared" si="165"/>
        <v>3</v>
      </c>
      <c r="AC1328">
        <v>1144.32</v>
      </c>
      <c r="AD1328" s="2">
        <v>381.44</v>
      </c>
      <c r="AE1328" s="2">
        <v>70.83</v>
      </c>
      <c r="AF1328" s="2">
        <v>8.16</v>
      </c>
      <c r="AG1328" s="2">
        <v>1223.3</v>
      </c>
      <c r="AH1328">
        <v>0</v>
      </c>
      <c r="AI1328">
        <v>407.76666666667001</v>
      </c>
      <c r="AJ1328">
        <v>6.1165000000000003</v>
      </c>
      <c r="AK1328" t="s">
        <v>54</v>
      </c>
      <c r="AL1328">
        <v>3.38</v>
      </c>
      <c r="AM1328" s="4">
        <f t="shared" si="166"/>
        <v>407.76666666666665</v>
      </c>
      <c r="AN1328" s="4">
        <f t="shared" si="167"/>
        <v>715.2</v>
      </c>
      <c r="AO1328" s="4">
        <f t="shared" si="168"/>
        <v>794.58720000000005</v>
      </c>
      <c r="AP1328" s="4">
        <f t="shared" si="169"/>
        <v>1158.5524800000001</v>
      </c>
      <c r="AQ1328" s="10">
        <f t="shared" si="170"/>
        <v>709.14701000000002</v>
      </c>
      <c r="AR1328" s="10">
        <f t="shared" si="171"/>
        <v>787.93324281100001</v>
      </c>
      <c r="AS1328" s="10">
        <f t="shared" si="172"/>
        <v>1104.000065168</v>
      </c>
    </row>
    <row r="1329" spans="1:45" x14ac:dyDescent="0.3">
      <c r="A1329">
        <v>2025</v>
      </c>
      <c r="B1329">
        <v>8</v>
      </c>
      <c r="C1329" t="s">
        <v>55</v>
      </c>
      <c r="D1329">
        <v>10</v>
      </c>
      <c r="E1329" t="s">
        <v>36</v>
      </c>
      <c r="F1329" t="s">
        <v>37</v>
      </c>
      <c r="G1329" t="s">
        <v>38</v>
      </c>
      <c r="H1329" t="s">
        <v>83</v>
      </c>
      <c r="I1329" t="s">
        <v>190</v>
      </c>
      <c r="J1329" t="s">
        <v>58</v>
      </c>
      <c r="K1329" t="s">
        <v>59</v>
      </c>
      <c r="L1329" t="s">
        <v>1194</v>
      </c>
      <c r="M1329" t="s">
        <v>1195</v>
      </c>
      <c r="N1329" t="s">
        <v>1196</v>
      </c>
      <c r="O1329" t="s">
        <v>1197</v>
      </c>
      <c r="Q1329" t="s">
        <v>62</v>
      </c>
      <c r="R1329" t="s">
        <v>1198</v>
      </c>
      <c r="S1329" t="s">
        <v>1198</v>
      </c>
      <c r="T1329" t="s">
        <v>47</v>
      </c>
      <c r="U1329" t="s">
        <v>167</v>
      </c>
      <c r="V1329" t="s">
        <v>49</v>
      </c>
      <c r="W1329" t="s">
        <v>168</v>
      </c>
      <c r="X1329" t="s">
        <v>388</v>
      </c>
      <c r="Y1329" t="s">
        <v>1405</v>
      </c>
      <c r="Z1329" t="s">
        <v>1405</v>
      </c>
      <c r="AA1329" t="s">
        <v>1406</v>
      </c>
      <c r="AB1329" s="3">
        <f t="shared" si="165"/>
        <v>3</v>
      </c>
      <c r="AC1329">
        <v>1520.97</v>
      </c>
      <c r="AD1329" s="2">
        <v>506.99</v>
      </c>
      <c r="AE1329" s="2">
        <v>109</v>
      </c>
      <c r="AF1329" s="2">
        <v>9.84</v>
      </c>
      <c r="AG1329" s="2">
        <v>1639.81</v>
      </c>
      <c r="AH1329">
        <v>0</v>
      </c>
      <c r="AI1329">
        <v>546.60333333333006</v>
      </c>
      <c r="AJ1329">
        <v>8.1990499999999997</v>
      </c>
      <c r="AK1329" t="s">
        <v>54</v>
      </c>
      <c r="AL1329">
        <v>12.81</v>
      </c>
      <c r="AM1329" s="4">
        <f t="shared" si="166"/>
        <v>546.60333333333335</v>
      </c>
      <c r="AN1329" s="4">
        <f t="shared" si="167"/>
        <v>950.60625000000005</v>
      </c>
      <c r="AO1329" s="4">
        <f t="shared" si="168"/>
        <v>1056.12354375</v>
      </c>
      <c r="AP1329" s="4">
        <f t="shared" si="169"/>
        <v>1539.8870643749999</v>
      </c>
      <c r="AQ1329" s="10">
        <f t="shared" si="170"/>
        <v>950.59785700000009</v>
      </c>
      <c r="AR1329" s="10">
        <f t="shared" si="171"/>
        <v>1056.2092789127</v>
      </c>
      <c r="AS1329" s="10">
        <f t="shared" si="172"/>
        <v>1479.8907437776002</v>
      </c>
    </row>
    <row r="1330" spans="1:45" x14ac:dyDescent="0.3">
      <c r="A1330">
        <v>2025</v>
      </c>
      <c r="B1330">
        <v>10</v>
      </c>
      <c r="C1330" t="s">
        <v>55</v>
      </c>
      <c r="D1330">
        <v>10</v>
      </c>
      <c r="E1330" t="s">
        <v>36</v>
      </c>
      <c r="F1330" t="s">
        <v>37</v>
      </c>
      <c r="G1330" t="s">
        <v>38</v>
      </c>
      <c r="H1330" t="s">
        <v>83</v>
      </c>
      <c r="I1330" t="s">
        <v>375</v>
      </c>
      <c r="J1330" t="s">
        <v>376</v>
      </c>
      <c r="K1330" t="s">
        <v>59</v>
      </c>
      <c r="L1330" t="s">
        <v>1549</v>
      </c>
      <c r="M1330" t="s">
        <v>1550</v>
      </c>
      <c r="N1330" t="s">
        <v>1551</v>
      </c>
      <c r="O1330" t="s">
        <v>1197</v>
      </c>
      <c r="Q1330" t="s">
        <v>62</v>
      </c>
      <c r="R1330" t="s">
        <v>1552</v>
      </c>
      <c r="S1330" t="s">
        <v>1552</v>
      </c>
      <c r="T1330" t="s">
        <v>47</v>
      </c>
      <c r="U1330" t="s">
        <v>178</v>
      </c>
      <c r="V1330" t="s">
        <v>49</v>
      </c>
      <c r="W1330" t="s">
        <v>179</v>
      </c>
      <c r="X1330" t="s">
        <v>51</v>
      </c>
      <c r="Y1330" t="s">
        <v>1405</v>
      </c>
      <c r="Z1330" t="s">
        <v>1405</v>
      </c>
      <c r="AA1330" t="s">
        <v>1406</v>
      </c>
      <c r="AB1330" s="3">
        <f t="shared" si="165"/>
        <v>1</v>
      </c>
      <c r="AC1330">
        <v>506.99</v>
      </c>
      <c r="AD1330" s="2">
        <v>506.99</v>
      </c>
      <c r="AE1330" s="2">
        <v>36.33</v>
      </c>
      <c r="AF1330" s="2">
        <v>3.28</v>
      </c>
      <c r="AG1330" s="2">
        <v>546.6</v>
      </c>
      <c r="AH1330">
        <v>0</v>
      </c>
      <c r="AI1330">
        <v>546.6</v>
      </c>
      <c r="AJ1330">
        <v>2.7330000000000001</v>
      </c>
      <c r="AK1330" t="s">
        <v>54</v>
      </c>
      <c r="AL1330">
        <v>4.2699999999999996</v>
      </c>
      <c r="AM1330" s="4">
        <f t="shared" si="166"/>
        <v>546.6</v>
      </c>
      <c r="AN1330" s="4">
        <f t="shared" si="167"/>
        <v>950.60625000000005</v>
      </c>
      <c r="AO1330" s="4">
        <f t="shared" si="168"/>
        <v>1056.12354375</v>
      </c>
      <c r="AP1330" s="4">
        <f t="shared" si="169"/>
        <v>1539.8870643749999</v>
      </c>
      <c r="AQ1330" s="10">
        <f t="shared" si="170"/>
        <v>950.59206000000006</v>
      </c>
      <c r="AR1330" s="10">
        <f t="shared" si="171"/>
        <v>1056.202837866</v>
      </c>
      <c r="AS1330" s="10">
        <f t="shared" si="172"/>
        <v>1479.8817190080001</v>
      </c>
    </row>
    <row r="1331" spans="1:45" x14ac:dyDescent="0.3">
      <c r="A1331">
        <v>2025</v>
      </c>
      <c r="B1331">
        <v>7</v>
      </c>
      <c r="C1331" t="s">
        <v>55</v>
      </c>
      <c r="D1331">
        <v>10</v>
      </c>
      <c r="E1331" t="s">
        <v>36</v>
      </c>
      <c r="F1331" t="s">
        <v>37</v>
      </c>
      <c r="G1331" t="s">
        <v>38</v>
      </c>
      <c r="H1331" t="s">
        <v>83</v>
      </c>
      <c r="I1331" t="s">
        <v>190</v>
      </c>
      <c r="J1331" t="s">
        <v>58</v>
      </c>
      <c r="K1331" t="s">
        <v>41</v>
      </c>
      <c r="L1331" t="s">
        <v>953</v>
      </c>
      <c r="M1331" t="s">
        <v>954</v>
      </c>
      <c r="N1331" t="s">
        <v>731</v>
      </c>
      <c r="O1331" t="s">
        <v>36</v>
      </c>
      <c r="Q1331" t="s">
        <v>62</v>
      </c>
      <c r="R1331" t="s">
        <v>955</v>
      </c>
      <c r="S1331" t="s">
        <v>956</v>
      </c>
      <c r="T1331" t="s">
        <v>47</v>
      </c>
      <c r="U1331" t="s">
        <v>1038</v>
      </c>
      <c r="V1331" t="s">
        <v>49</v>
      </c>
      <c r="W1331" t="s">
        <v>1039</v>
      </c>
      <c r="X1331" t="s">
        <v>51</v>
      </c>
      <c r="Y1331" t="s">
        <v>1405</v>
      </c>
      <c r="Z1331" t="s">
        <v>1405</v>
      </c>
      <c r="AA1331" t="s">
        <v>1607</v>
      </c>
      <c r="AB1331" s="3">
        <f t="shared" si="165"/>
        <v>1</v>
      </c>
      <c r="AC1331">
        <v>900.22</v>
      </c>
      <c r="AD1331" s="2">
        <v>900.22</v>
      </c>
      <c r="AE1331" s="2">
        <v>411.48</v>
      </c>
      <c r="AF1331" s="2">
        <v>8.3000000000000007</v>
      </c>
      <c r="AG1331" s="2">
        <v>1319.73</v>
      </c>
      <c r="AH1331">
        <v>0</v>
      </c>
      <c r="AI1331">
        <v>1319.73</v>
      </c>
      <c r="AJ1331">
        <v>6.5986500000000001</v>
      </c>
      <c r="AK1331" t="s">
        <v>54</v>
      </c>
      <c r="AL1331">
        <v>18.63</v>
      </c>
      <c r="AM1331" s="4">
        <f t="shared" si="166"/>
        <v>1319.73</v>
      </c>
      <c r="AN1331" s="4">
        <f t="shared" si="167"/>
        <v>1687.9125000000001</v>
      </c>
      <c r="AO1331" s="4">
        <f t="shared" si="168"/>
        <v>1875.2707875000001</v>
      </c>
      <c r="AP1331" s="4">
        <f t="shared" si="169"/>
        <v>2734.24945875</v>
      </c>
      <c r="AQ1331" s="10">
        <f t="shared" si="170"/>
        <v>2295.1424430000002</v>
      </c>
      <c r="AR1331" s="10">
        <f t="shared" si="171"/>
        <v>2550.1327684173002</v>
      </c>
      <c r="AS1331" s="10">
        <f t="shared" si="172"/>
        <v>3573.0777552624004</v>
      </c>
    </row>
    <row r="1332" spans="1:45" x14ac:dyDescent="0.3">
      <c r="A1332">
        <v>2025</v>
      </c>
      <c r="B1332">
        <v>11</v>
      </c>
      <c r="C1332" t="s">
        <v>55</v>
      </c>
      <c r="D1332">
        <v>10</v>
      </c>
      <c r="E1332" t="s">
        <v>36</v>
      </c>
      <c r="F1332" t="s">
        <v>37</v>
      </c>
      <c r="G1332" t="s">
        <v>38</v>
      </c>
      <c r="H1332" t="s">
        <v>83</v>
      </c>
      <c r="I1332" t="s">
        <v>375</v>
      </c>
      <c r="J1332" t="s">
        <v>376</v>
      </c>
      <c r="K1332" t="s">
        <v>51</v>
      </c>
      <c r="L1332" t="s">
        <v>1622</v>
      </c>
      <c r="M1332" t="s">
        <v>1623</v>
      </c>
      <c r="N1332" t="s">
        <v>1485</v>
      </c>
      <c r="O1332" t="s">
        <v>1197</v>
      </c>
      <c r="Q1332" t="s">
        <v>62</v>
      </c>
      <c r="R1332" t="s">
        <v>1624</v>
      </c>
      <c r="S1332" t="s">
        <v>1624</v>
      </c>
      <c r="T1332" t="s">
        <v>47</v>
      </c>
      <c r="U1332" t="s">
        <v>118</v>
      </c>
      <c r="V1332" t="s">
        <v>49</v>
      </c>
      <c r="W1332" t="s">
        <v>714</v>
      </c>
      <c r="X1332" t="s">
        <v>51</v>
      </c>
      <c r="Y1332" t="s">
        <v>1040</v>
      </c>
      <c r="Z1332" t="s">
        <v>1040</v>
      </c>
      <c r="AA1332" t="s">
        <v>1041</v>
      </c>
      <c r="AB1332" s="3">
        <f t="shared" si="165"/>
        <v>1</v>
      </c>
      <c r="AC1332">
        <v>445.12</v>
      </c>
      <c r="AD1332" s="2">
        <v>445.12</v>
      </c>
      <c r="AE1332" s="2">
        <v>29.4</v>
      </c>
      <c r="AF1332" s="2">
        <v>3.9</v>
      </c>
      <c r="AG1332" s="2">
        <v>477.25</v>
      </c>
      <c r="AH1332">
        <v>0</v>
      </c>
      <c r="AI1332">
        <v>477.25</v>
      </c>
      <c r="AJ1332">
        <v>2.38625</v>
      </c>
      <c r="AK1332" t="s">
        <v>54</v>
      </c>
      <c r="AL1332">
        <v>2.17</v>
      </c>
      <c r="AM1332" s="4">
        <f t="shared" si="166"/>
        <v>477.25</v>
      </c>
      <c r="AN1332" s="4">
        <f t="shared" si="167"/>
        <v>834.6</v>
      </c>
      <c r="AO1332" s="4">
        <f t="shared" si="168"/>
        <v>927.24059999999997</v>
      </c>
      <c r="AP1332" s="4">
        <f t="shared" si="169"/>
        <v>1351.9685399999998</v>
      </c>
      <c r="AQ1332" s="10">
        <f t="shared" si="170"/>
        <v>829.98547500000006</v>
      </c>
      <c r="AR1332" s="10">
        <f t="shared" si="171"/>
        <v>922.19686127250009</v>
      </c>
      <c r="AS1332" s="10">
        <f t="shared" si="172"/>
        <v>1292.1213874800001</v>
      </c>
    </row>
    <row r="1333" spans="1:45" x14ac:dyDescent="0.3">
      <c r="A1333">
        <v>2025</v>
      </c>
      <c r="B1333">
        <v>3</v>
      </c>
      <c r="C1333" t="s">
        <v>55</v>
      </c>
      <c r="D1333">
        <v>10</v>
      </c>
      <c r="E1333" t="s">
        <v>36</v>
      </c>
      <c r="F1333" t="s">
        <v>37</v>
      </c>
      <c r="G1333" t="s">
        <v>38</v>
      </c>
      <c r="H1333" t="s">
        <v>83</v>
      </c>
      <c r="I1333" t="s">
        <v>190</v>
      </c>
      <c r="J1333" t="s">
        <v>58</v>
      </c>
      <c r="K1333" t="s">
        <v>59</v>
      </c>
      <c r="M1333" t="s">
        <v>209</v>
      </c>
      <c r="N1333" t="s">
        <v>61</v>
      </c>
      <c r="O1333" t="s">
        <v>43</v>
      </c>
      <c r="Q1333" t="s">
        <v>62</v>
      </c>
      <c r="R1333" t="s">
        <v>210</v>
      </c>
      <c r="S1333" t="s">
        <v>211</v>
      </c>
      <c r="T1333" t="s">
        <v>47</v>
      </c>
      <c r="U1333" t="s">
        <v>118</v>
      </c>
      <c r="V1333" t="s">
        <v>49</v>
      </c>
      <c r="W1333" t="s">
        <v>119</v>
      </c>
      <c r="X1333" t="s">
        <v>51</v>
      </c>
      <c r="Y1333" t="s">
        <v>1349</v>
      </c>
      <c r="Z1333" t="s">
        <v>1349</v>
      </c>
      <c r="AA1333" t="s">
        <v>1701</v>
      </c>
      <c r="AB1333" s="3">
        <f t="shared" si="165"/>
        <v>1</v>
      </c>
      <c r="AC1333">
        <v>247.58</v>
      </c>
      <c r="AD1333" s="2">
        <v>247.58</v>
      </c>
      <c r="AE1333" s="2">
        <v>34.67</v>
      </c>
      <c r="AF1333" s="2">
        <v>1.71</v>
      </c>
      <c r="AG1333" s="2">
        <v>283.95999999999998</v>
      </c>
      <c r="AH1333">
        <v>0</v>
      </c>
      <c r="AI1333">
        <v>283.95999999999998</v>
      </c>
      <c r="AJ1333">
        <v>1.4198</v>
      </c>
      <c r="AK1333" t="s">
        <v>54</v>
      </c>
      <c r="AL1333">
        <v>1.89</v>
      </c>
      <c r="AM1333" s="4">
        <f t="shared" si="166"/>
        <v>283.95999999999998</v>
      </c>
      <c r="AN1333" s="4">
        <f t="shared" si="167"/>
        <v>464.21250000000003</v>
      </c>
      <c r="AO1333" s="4">
        <f t="shared" si="168"/>
        <v>515.74008750000007</v>
      </c>
      <c r="AP1333" s="4">
        <f t="shared" si="169"/>
        <v>751.97782874999996</v>
      </c>
      <c r="AQ1333" s="10">
        <f t="shared" si="170"/>
        <v>493.834836</v>
      </c>
      <c r="AR1333" s="10">
        <f t="shared" si="171"/>
        <v>548.69988627960004</v>
      </c>
      <c r="AS1333" s="10">
        <f t="shared" si="172"/>
        <v>768.80207268480001</v>
      </c>
    </row>
    <row r="1334" spans="1:45" x14ac:dyDescent="0.3">
      <c r="A1334">
        <v>2025</v>
      </c>
      <c r="B1334">
        <v>8</v>
      </c>
      <c r="C1334" t="s">
        <v>55</v>
      </c>
      <c r="D1334">
        <v>10</v>
      </c>
      <c r="E1334" t="s">
        <v>36</v>
      </c>
      <c r="F1334" t="s">
        <v>37</v>
      </c>
      <c r="G1334" t="s">
        <v>38</v>
      </c>
      <c r="H1334" t="s">
        <v>83</v>
      </c>
      <c r="I1334" t="s">
        <v>190</v>
      </c>
      <c r="J1334" t="s">
        <v>58</v>
      </c>
      <c r="K1334" t="s">
        <v>59</v>
      </c>
      <c r="L1334" t="s">
        <v>1194</v>
      </c>
      <c r="M1334" t="s">
        <v>1195</v>
      </c>
      <c r="N1334" t="s">
        <v>1196</v>
      </c>
      <c r="O1334" t="s">
        <v>1197</v>
      </c>
      <c r="Q1334" t="s">
        <v>62</v>
      </c>
      <c r="R1334" t="s">
        <v>1198</v>
      </c>
      <c r="S1334" t="s">
        <v>1198</v>
      </c>
      <c r="T1334" t="s">
        <v>47</v>
      </c>
      <c r="U1334" t="s">
        <v>363</v>
      </c>
      <c r="V1334" t="s">
        <v>49</v>
      </c>
      <c r="W1334" t="s">
        <v>911</v>
      </c>
      <c r="X1334" t="s">
        <v>388</v>
      </c>
      <c r="Y1334" t="s">
        <v>155</v>
      </c>
      <c r="Z1334" t="s">
        <v>64</v>
      </c>
      <c r="AA1334" t="s">
        <v>286</v>
      </c>
      <c r="AB1334" s="3">
        <f t="shared" si="165"/>
        <v>1</v>
      </c>
      <c r="AC1334">
        <v>682.66</v>
      </c>
      <c r="AD1334" s="2">
        <v>682.66</v>
      </c>
      <c r="AE1334" s="2">
        <v>152.47999999999999</v>
      </c>
      <c r="AF1334" s="2">
        <v>5</v>
      </c>
      <c r="AG1334" s="2">
        <v>840.15</v>
      </c>
      <c r="AH1334">
        <v>0</v>
      </c>
      <c r="AI1334">
        <v>840.15</v>
      </c>
      <c r="AJ1334">
        <v>4.2007500000000002</v>
      </c>
      <c r="AK1334" t="s">
        <v>54</v>
      </c>
      <c r="AL1334">
        <v>2.2000000000000002</v>
      </c>
      <c r="AM1334" s="4">
        <f t="shared" si="166"/>
        <v>840.15</v>
      </c>
      <c r="AN1334" s="4">
        <f t="shared" si="167"/>
        <v>1279.9875</v>
      </c>
      <c r="AO1334" s="4">
        <f t="shared" si="168"/>
        <v>1422.0661124999999</v>
      </c>
      <c r="AP1334" s="4">
        <f t="shared" si="169"/>
        <v>2073.4517512499997</v>
      </c>
      <c r="AQ1334" s="10">
        <f t="shared" si="170"/>
        <v>1461.104865</v>
      </c>
      <c r="AR1334" s="10">
        <f t="shared" si="171"/>
        <v>1623.4336155015001</v>
      </c>
      <c r="AS1334" s="10">
        <f t="shared" si="172"/>
        <v>2274.6480538320002</v>
      </c>
    </row>
    <row r="1335" spans="1:45" x14ac:dyDescent="0.3">
      <c r="A1335">
        <v>2025</v>
      </c>
      <c r="B1335">
        <v>9</v>
      </c>
      <c r="C1335" t="s">
        <v>55</v>
      </c>
      <c r="D1335">
        <v>10</v>
      </c>
      <c r="E1335" t="s">
        <v>36</v>
      </c>
      <c r="F1335" t="s">
        <v>37</v>
      </c>
      <c r="G1335" t="s">
        <v>38</v>
      </c>
      <c r="H1335" t="s">
        <v>83</v>
      </c>
      <c r="I1335" t="s">
        <v>375</v>
      </c>
      <c r="J1335" t="s">
        <v>376</v>
      </c>
      <c r="K1335" t="s">
        <v>41</v>
      </c>
      <c r="L1335" t="s">
        <v>1503</v>
      </c>
      <c r="M1335" t="s">
        <v>1504</v>
      </c>
      <c r="N1335" t="s">
        <v>377</v>
      </c>
      <c r="O1335" t="s">
        <v>1197</v>
      </c>
      <c r="Q1335" t="s">
        <v>62</v>
      </c>
      <c r="R1335" t="s">
        <v>1505</v>
      </c>
      <c r="S1335" t="s">
        <v>1505</v>
      </c>
      <c r="T1335" t="s">
        <v>47</v>
      </c>
      <c r="U1335" t="s">
        <v>163</v>
      </c>
      <c r="V1335" t="s">
        <v>49</v>
      </c>
      <c r="W1335" t="s">
        <v>164</v>
      </c>
      <c r="X1335" t="s">
        <v>388</v>
      </c>
      <c r="Y1335" t="s">
        <v>1445</v>
      </c>
      <c r="Z1335" t="s">
        <v>1445</v>
      </c>
      <c r="AA1335" t="s">
        <v>1446</v>
      </c>
      <c r="AB1335" s="3">
        <f t="shared" si="165"/>
        <v>1</v>
      </c>
      <c r="AC1335">
        <v>138.86000000000001</v>
      </c>
      <c r="AD1335" s="2">
        <v>138.86000000000001</v>
      </c>
      <c r="AE1335" s="2">
        <v>9.9499999999999993</v>
      </c>
      <c r="AF1335" s="2">
        <v>0.9</v>
      </c>
      <c r="AG1335" s="2">
        <v>149.71</v>
      </c>
      <c r="AH1335">
        <v>0</v>
      </c>
      <c r="AI1335">
        <v>149.71</v>
      </c>
      <c r="AJ1335">
        <v>0.74855000000000005</v>
      </c>
      <c r="AK1335" t="s">
        <v>54</v>
      </c>
      <c r="AL1335">
        <v>1.17</v>
      </c>
      <c r="AM1335" s="4">
        <f t="shared" si="166"/>
        <v>149.71</v>
      </c>
      <c r="AN1335" s="4">
        <f t="shared" si="167"/>
        <v>260.36250000000001</v>
      </c>
      <c r="AO1335" s="4">
        <f t="shared" si="168"/>
        <v>289.26273750000001</v>
      </c>
      <c r="AP1335" s="4">
        <f t="shared" si="169"/>
        <v>421.76121374999997</v>
      </c>
      <c r="AQ1335" s="10">
        <f t="shared" si="170"/>
        <v>260.36066100000005</v>
      </c>
      <c r="AR1335" s="10">
        <f t="shared" si="171"/>
        <v>289.28673043710006</v>
      </c>
      <c r="AS1335" s="10">
        <f t="shared" si="172"/>
        <v>405.32947704480006</v>
      </c>
    </row>
    <row r="1336" spans="1:45" x14ac:dyDescent="0.3">
      <c r="A1336">
        <v>2025</v>
      </c>
      <c r="B1336">
        <v>10</v>
      </c>
      <c r="C1336" t="s">
        <v>55</v>
      </c>
      <c r="D1336">
        <v>10</v>
      </c>
      <c r="E1336" t="s">
        <v>36</v>
      </c>
      <c r="F1336" t="s">
        <v>37</v>
      </c>
      <c r="G1336" t="s">
        <v>38</v>
      </c>
      <c r="H1336" t="s">
        <v>83</v>
      </c>
      <c r="I1336" t="s">
        <v>375</v>
      </c>
      <c r="J1336" t="s">
        <v>376</v>
      </c>
      <c r="K1336" t="s">
        <v>59</v>
      </c>
      <c r="L1336" t="s">
        <v>1549</v>
      </c>
      <c r="M1336" t="s">
        <v>1550</v>
      </c>
      <c r="N1336" t="s">
        <v>1551</v>
      </c>
      <c r="O1336" t="s">
        <v>1197</v>
      </c>
      <c r="Q1336" t="s">
        <v>62</v>
      </c>
      <c r="R1336" t="s">
        <v>1552</v>
      </c>
      <c r="S1336" t="s">
        <v>1552</v>
      </c>
      <c r="T1336" t="s">
        <v>47</v>
      </c>
      <c r="U1336" t="s">
        <v>163</v>
      </c>
      <c r="V1336" t="s">
        <v>49</v>
      </c>
      <c r="W1336" t="s">
        <v>164</v>
      </c>
      <c r="X1336" t="s">
        <v>51</v>
      </c>
      <c r="Y1336" t="s">
        <v>1532</v>
      </c>
      <c r="Z1336" t="s">
        <v>1532</v>
      </c>
      <c r="AA1336" t="s">
        <v>1533</v>
      </c>
      <c r="AB1336" s="3">
        <f t="shared" si="165"/>
        <v>1</v>
      </c>
      <c r="AC1336">
        <v>2005.81</v>
      </c>
      <c r="AD1336" s="2">
        <v>2005.81</v>
      </c>
      <c r="AE1336" s="2">
        <v>729.32</v>
      </c>
      <c r="AF1336" s="2">
        <v>16.79</v>
      </c>
      <c r="AG1336" s="2">
        <v>2751.92</v>
      </c>
      <c r="AH1336">
        <v>0</v>
      </c>
      <c r="AI1336">
        <v>2751.92</v>
      </c>
      <c r="AJ1336">
        <v>13.759600000000001</v>
      </c>
      <c r="AK1336" t="s">
        <v>54</v>
      </c>
      <c r="AL1336">
        <v>2.23</v>
      </c>
      <c r="AM1336" s="4">
        <f t="shared" si="166"/>
        <v>2751.92</v>
      </c>
      <c r="AN1336" s="4">
        <f t="shared" si="167"/>
        <v>3760.8937499999997</v>
      </c>
      <c r="AO1336" s="4">
        <f t="shared" si="168"/>
        <v>4178.3529562499998</v>
      </c>
      <c r="AP1336" s="4">
        <f t="shared" si="169"/>
        <v>6092.2717856249992</v>
      </c>
      <c r="AQ1336" s="10">
        <f t="shared" si="170"/>
        <v>4785.8640720000003</v>
      </c>
      <c r="AR1336" s="10">
        <f t="shared" si="171"/>
        <v>5317.5735703992004</v>
      </c>
      <c r="AS1336" s="10">
        <f t="shared" si="172"/>
        <v>7450.6331872895998</v>
      </c>
    </row>
    <row r="1337" spans="1:45" x14ac:dyDescent="0.3">
      <c r="A1337">
        <v>2025</v>
      </c>
      <c r="B1337">
        <v>10</v>
      </c>
      <c r="C1337" t="s">
        <v>55</v>
      </c>
      <c r="D1337">
        <v>10</v>
      </c>
      <c r="E1337" t="s">
        <v>36</v>
      </c>
      <c r="F1337" t="s">
        <v>37</v>
      </c>
      <c r="G1337" t="s">
        <v>38</v>
      </c>
      <c r="H1337" t="s">
        <v>83</v>
      </c>
      <c r="I1337" t="s">
        <v>375</v>
      </c>
      <c r="J1337" t="s">
        <v>376</v>
      </c>
      <c r="K1337" t="s">
        <v>59</v>
      </c>
      <c r="L1337" t="s">
        <v>1549</v>
      </c>
      <c r="M1337" t="s">
        <v>1550</v>
      </c>
      <c r="N1337" t="s">
        <v>1551</v>
      </c>
      <c r="O1337" t="s">
        <v>1197</v>
      </c>
      <c r="Q1337" t="s">
        <v>62</v>
      </c>
      <c r="R1337" t="s">
        <v>1552</v>
      </c>
      <c r="S1337" t="s">
        <v>1552</v>
      </c>
      <c r="T1337" t="s">
        <v>47</v>
      </c>
      <c r="U1337" t="s">
        <v>163</v>
      </c>
      <c r="V1337" t="s">
        <v>49</v>
      </c>
      <c r="W1337" t="s">
        <v>164</v>
      </c>
      <c r="X1337" t="s">
        <v>51</v>
      </c>
      <c r="Y1337" t="s">
        <v>1595</v>
      </c>
      <c r="Z1337" t="s">
        <v>1595</v>
      </c>
      <c r="AA1337" t="s">
        <v>1533</v>
      </c>
      <c r="AB1337" s="3">
        <f t="shared" si="165"/>
        <v>1</v>
      </c>
      <c r="AC1337">
        <v>2027.87</v>
      </c>
      <c r="AD1337" s="2">
        <v>2027.87</v>
      </c>
      <c r="AE1337" s="2">
        <v>926.91</v>
      </c>
      <c r="AF1337" s="2">
        <v>18.899999999999999</v>
      </c>
      <c r="AG1337" s="2">
        <v>2972.87</v>
      </c>
      <c r="AH1337">
        <v>0</v>
      </c>
      <c r="AI1337">
        <v>2972.87</v>
      </c>
      <c r="AJ1337">
        <v>14.86435</v>
      </c>
      <c r="AK1337" t="s">
        <v>54</v>
      </c>
      <c r="AL1337">
        <v>41.98</v>
      </c>
      <c r="AM1337" s="4">
        <f t="shared" si="166"/>
        <v>2972.87</v>
      </c>
      <c r="AN1337" s="4">
        <f t="shared" si="167"/>
        <v>3802.2562499999999</v>
      </c>
      <c r="AO1337" s="4">
        <f t="shared" si="168"/>
        <v>4224.3066937499998</v>
      </c>
      <c r="AP1337" s="4">
        <f t="shared" si="169"/>
        <v>6159.2748993749992</v>
      </c>
      <c r="AQ1337" s="10">
        <f t="shared" si="170"/>
        <v>5170.1182170000002</v>
      </c>
      <c r="AR1337" s="10">
        <f t="shared" si="171"/>
        <v>5744.5183509087001</v>
      </c>
      <c r="AS1337" s="10">
        <f t="shared" si="172"/>
        <v>8048.8400402256002</v>
      </c>
    </row>
    <row r="1338" spans="1:45" x14ac:dyDescent="0.3">
      <c r="A1338">
        <v>2025</v>
      </c>
      <c r="B1338">
        <v>3</v>
      </c>
      <c r="C1338" t="s">
        <v>55</v>
      </c>
      <c r="D1338">
        <v>10</v>
      </c>
      <c r="E1338" t="s">
        <v>36</v>
      </c>
      <c r="F1338" t="s">
        <v>37</v>
      </c>
      <c r="G1338" t="s">
        <v>38</v>
      </c>
      <c r="H1338" t="s">
        <v>83</v>
      </c>
      <c r="I1338" t="s">
        <v>190</v>
      </c>
      <c r="J1338" t="s">
        <v>58</v>
      </c>
      <c r="K1338" t="s">
        <v>59</v>
      </c>
      <c r="M1338" t="s">
        <v>209</v>
      </c>
      <c r="N1338" t="s">
        <v>61</v>
      </c>
      <c r="O1338" t="s">
        <v>43</v>
      </c>
      <c r="Q1338" t="s">
        <v>62</v>
      </c>
      <c r="R1338" t="s">
        <v>210</v>
      </c>
      <c r="S1338" t="s">
        <v>211</v>
      </c>
      <c r="T1338" t="s">
        <v>47</v>
      </c>
      <c r="U1338" t="s">
        <v>167</v>
      </c>
      <c r="V1338" t="s">
        <v>49</v>
      </c>
      <c r="W1338" t="s">
        <v>168</v>
      </c>
      <c r="X1338" t="s">
        <v>51</v>
      </c>
      <c r="Y1338" t="s">
        <v>1596</v>
      </c>
      <c r="Z1338" t="s">
        <v>1596</v>
      </c>
      <c r="AA1338" t="s">
        <v>1597</v>
      </c>
      <c r="AB1338" s="3">
        <f t="shared" si="165"/>
        <v>1</v>
      </c>
      <c r="AC1338">
        <v>2697.62</v>
      </c>
      <c r="AD1338" s="2">
        <v>2697.62</v>
      </c>
      <c r="AE1338" s="2">
        <v>1233.24</v>
      </c>
      <c r="AF1338" s="2">
        <v>24.6</v>
      </c>
      <c r="AG1338" s="2">
        <v>3954.91</v>
      </c>
      <c r="AH1338">
        <v>0</v>
      </c>
      <c r="AI1338">
        <v>3954.91</v>
      </c>
      <c r="AJ1338">
        <v>19.774550000000001</v>
      </c>
      <c r="AK1338" t="s">
        <v>54</v>
      </c>
      <c r="AL1338">
        <v>55.85</v>
      </c>
      <c r="AM1338" s="4">
        <f t="shared" si="166"/>
        <v>3954.91</v>
      </c>
      <c r="AN1338" s="4">
        <f t="shared" si="167"/>
        <v>5058.0374999999995</v>
      </c>
      <c r="AO1338" s="4">
        <f t="shared" si="168"/>
        <v>5619.479662499999</v>
      </c>
      <c r="AP1338" s="4">
        <f t="shared" si="169"/>
        <v>8193.5149462499994</v>
      </c>
      <c r="AQ1338" s="10">
        <f t="shared" si="170"/>
        <v>6877.9839810000003</v>
      </c>
      <c r="AR1338" s="10">
        <f t="shared" si="171"/>
        <v>7642.1280012891002</v>
      </c>
      <c r="AS1338" s="10">
        <f t="shared" si="172"/>
        <v>10707.645461620799</v>
      </c>
    </row>
    <row r="1339" spans="1:45" x14ac:dyDescent="0.3">
      <c r="A1339">
        <v>2025</v>
      </c>
      <c r="B1339">
        <v>7</v>
      </c>
      <c r="C1339" t="s">
        <v>55</v>
      </c>
      <c r="D1339">
        <v>10</v>
      </c>
      <c r="E1339" t="s">
        <v>36</v>
      </c>
      <c r="F1339" t="s">
        <v>37</v>
      </c>
      <c r="G1339" t="s">
        <v>38</v>
      </c>
      <c r="H1339" t="s">
        <v>83</v>
      </c>
      <c r="I1339" t="s">
        <v>190</v>
      </c>
      <c r="J1339" t="s">
        <v>58</v>
      </c>
      <c r="K1339" t="s">
        <v>41</v>
      </c>
      <c r="L1339" t="s">
        <v>953</v>
      </c>
      <c r="M1339" t="s">
        <v>954</v>
      </c>
      <c r="N1339" t="s">
        <v>731</v>
      </c>
      <c r="O1339" t="s">
        <v>36</v>
      </c>
      <c r="Q1339" t="s">
        <v>62</v>
      </c>
      <c r="R1339" t="s">
        <v>955</v>
      </c>
      <c r="S1339" t="s">
        <v>956</v>
      </c>
      <c r="T1339" t="s">
        <v>47</v>
      </c>
      <c r="U1339" t="s">
        <v>393</v>
      </c>
      <c r="V1339" t="s">
        <v>49</v>
      </c>
      <c r="W1339" t="s">
        <v>394</v>
      </c>
      <c r="X1339" t="s">
        <v>51</v>
      </c>
      <c r="Y1339" t="s">
        <v>155</v>
      </c>
      <c r="Z1339" t="s">
        <v>64</v>
      </c>
      <c r="AA1339" t="s">
        <v>350</v>
      </c>
      <c r="AB1339" s="3">
        <f t="shared" si="165"/>
        <v>1</v>
      </c>
      <c r="AC1339">
        <v>698.35</v>
      </c>
      <c r="AD1339" s="2">
        <v>698.35</v>
      </c>
      <c r="AE1339" s="2">
        <v>155.99</v>
      </c>
      <c r="AF1339" s="2">
        <v>5.12</v>
      </c>
      <c r="AG1339" s="2">
        <v>859.45</v>
      </c>
      <c r="AH1339">
        <v>0</v>
      </c>
      <c r="AI1339">
        <v>859.45</v>
      </c>
      <c r="AJ1339">
        <v>4.29725</v>
      </c>
      <c r="AK1339" t="s">
        <v>54</v>
      </c>
      <c r="AL1339">
        <v>2.2000000000000002</v>
      </c>
      <c r="AM1339" s="4">
        <f t="shared" si="166"/>
        <v>859.45</v>
      </c>
      <c r="AN1339" s="4">
        <f t="shared" si="167"/>
        <v>1309.40625</v>
      </c>
      <c r="AO1339" s="4">
        <f t="shared" si="168"/>
        <v>1454.75034375</v>
      </c>
      <c r="AP1339" s="4">
        <f t="shared" si="169"/>
        <v>2121.1071843750001</v>
      </c>
      <c r="AQ1339" s="10">
        <f t="shared" si="170"/>
        <v>1494.6694950000001</v>
      </c>
      <c r="AR1339" s="10">
        <f t="shared" si="171"/>
        <v>1660.7272758945001</v>
      </c>
      <c r="AS1339" s="10">
        <f t="shared" si="172"/>
        <v>2326.9014698159999</v>
      </c>
    </row>
    <row r="1340" spans="1:45" x14ac:dyDescent="0.3">
      <c r="A1340">
        <v>2025</v>
      </c>
      <c r="B1340">
        <v>7</v>
      </c>
      <c r="C1340" t="s">
        <v>55</v>
      </c>
      <c r="D1340">
        <v>10</v>
      </c>
      <c r="E1340" t="s">
        <v>36</v>
      </c>
      <c r="F1340" t="s">
        <v>37</v>
      </c>
      <c r="G1340" t="s">
        <v>38</v>
      </c>
      <c r="H1340" t="s">
        <v>83</v>
      </c>
      <c r="I1340" t="s">
        <v>190</v>
      </c>
      <c r="J1340" t="s">
        <v>58</v>
      </c>
      <c r="K1340" t="s">
        <v>41</v>
      </c>
      <c r="L1340" t="s">
        <v>953</v>
      </c>
      <c r="M1340" t="s">
        <v>954</v>
      </c>
      <c r="N1340" t="s">
        <v>731</v>
      </c>
      <c r="O1340" t="s">
        <v>36</v>
      </c>
      <c r="Q1340" t="s">
        <v>62</v>
      </c>
      <c r="R1340" t="s">
        <v>955</v>
      </c>
      <c r="S1340" t="s">
        <v>956</v>
      </c>
      <c r="T1340" t="s">
        <v>47</v>
      </c>
      <c r="U1340" t="s">
        <v>393</v>
      </c>
      <c r="V1340" t="s">
        <v>49</v>
      </c>
      <c r="W1340" t="s">
        <v>394</v>
      </c>
      <c r="X1340" t="s">
        <v>51</v>
      </c>
      <c r="Y1340" t="s">
        <v>980</v>
      </c>
      <c r="Z1340" t="s">
        <v>980</v>
      </c>
      <c r="AA1340" t="s">
        <v>981</v>
      </c>
      <c r="AB1340" s="3">
        <f t="shared" si="165"/>
        <v>1</v>
      </c>
      <c r="AC1340">
        <v>41.23</v>
      </c>
      <c r="AD1340" s="2">
        <v>41.23</v>
      </c>
      <c r="AE1340" s="2">
        <v>29.4</v>
      </c>
      <c r="AF1340" s="2">
        <v>0.26</v>
      </c>
      <c r="AG1340" s="2">
        <v>70.53</v>
      </c>
      <c r="AH1340">
        <v>0</v>
      </c>
      <c r="AI1340">
        <v>70.53</v>
      </c>
      <c r="AJ1340">
        <v>0.35265000000000002</v>
      </c>
      <c r="AK1340" t="s">
        <v>54</v>
      </c>
      <c r="AL1340">
        <v>2.17</v>
      </c>
      <c r="AM1340" s="4">
        <f t="shared" si="166"/>
        <v>70.53</v>
      </c>
      <c r="AN1340" s="4">
        <f t="shared" si="167"/>
        <v>77.306249999999991</v>
      </c>
      <c r="AO1340" s="4">
        <f t="shared" si="168"/>
        <v>85.887243749999996</v>
      </c>
      <c r="AP1340" s="4">
        <f t="shared" si="169"/>
        <v>125.22839437499998</v>
      </c>
      <c r="AQ1340" s="10">
        <f t="shared" si="170"/>
        <v>122.65872300000001</v>
      </c>
      <c r="AR1340" s="10">
        <f t="shared" si="171"/>
        <v>136.28610712530002</v>
      </c>
      <c r="AS1340" s="10">
        <f t="shared" si="172"/>
        <v>190.95509996640001</v>
      </c>
    </row>
    <row r="1341" spans="1:45" x14ac:dyDescent="0.3">
      <c r="A1341">
        <v>2025</v>
      </c>
      <c r="B1341">
        <v>8</v>
      </c>
      <c r="C1341" t="s">
        <v>55</v>
      </c>
      <c r="D1341">
        <v>10</v>
      </c>
      <c r="E1341" t="s">
        <v>36</v>
      </c>
      <c r="F1341" t="s">
        <v>37</v>
      </c>
      <c r="G1341" t="s">
        <v>38</v>
      </c>
      <c r="H1341" t="s">
        <v>83</v>
      </c>
      <c r="I1341" t="s">
        <v>190</v>
      </c>
      <c r="J1341" t="s">
        <v>58</v>
      </c>
      <c r="K1341" t="s">
        <v>59</v>
      </c>
      <c r="L1341" t="s">
        <v>1194</v>
      </c>
      <c r="M1341" t="s">
        <v>1195</v>
      </c>
      <c r="N1341" t="s">
        <v>1196</v>
      </c>
      <c r="O1341" t="s">
        <v>1197</v>
      </c>
      <c r="Q1341" t="s">
        <v>62</v>
      </c>
      <c r="R1341" t="s">
        <v>1198</v>
      </c>
      <c r="S1341" t="s">
        <v>1198</v>
      </c>
      <c r="T1341" t="s">
        <v>47</v>
      </c>
      <c r="U1341" t="s">
        <v>178</v>
      </c>
      <c r="V1341" t="s">
        <v>49</v>
      </c>
      <c r="W1341" t="s">
        <v>179</v>
      </c>
      <c r="X1341" t="s">
        <v>388</v>
      </c>
      <c r="Y1341" t="s">
        <v>976</v>
      </c>
      <c r="Z1341" t="s">
        <v>976</v>
      </c>
      <c r="AA1341" t="s">
        <v>977</v>
      </c>
      <c r="AB1341" s="3">
        <f t="shared" si="165"/>
        <v>1</v>
      </c>
      <c r="AC1341">
        <v>104.14</v>
      </c>
      <c r="AD1341" s="2">
        <v>104.14</v>
      </c>
      <c r="AE1341" s="2">
        <v>29.4</v>
      </c>
      <c r="AF1341" s="2">
        <v>0.7</v>
      </c>
      <c r="AG1341" s="2">
        <v>133.88</v>
      </c>
      <c r="AH1341">
        <v>0</v>
      </c>
      <c r="AI1341">
        <v>133.88</v>
      </c>
      <c r="AJ1341">
        <v>0.6694</v>
      </c>
      <c r="AK1341" t="s">
        <v>54</v>
      </c>
      <c r="AL1341">
        <v>2.17</v>
      </c>
      <c r="AM1341" s="4">
        <f t="shared" si="166"/>
        <v>133.88</v>
      </c>
      <c r="AN1341" s="4">
        <f t="shared" si="167"/>
        <v>195.26249999999999</v>
      </c>
      <c r="AO1341" s="4">
        <f t="shared" si="168"/>
        <v>216.93663749999999</v>
      </c>
      <c r="AP1341" s="4">
        <f t="shared" si="169"/>
        <v>316.30572374999997</v>
      </c>
      <c r="AQ1341" s="10">
        <f t="shared" si="170"/>
        <v>232.83070800000002</v>
      </c>
      <c r="AR1341" s="10">
        <f t="shared" si="171"/>
        <v>258.69819965880004</v>
      </c>
      <c r="AS1341" s="10">
        <f t="shared" si="172"/>
        <v>362.47084621440001</v>
      </c>
    </row>
    <row r="1342" spans="1:45" x14ac:dyDescent="0.3">
      <c r="A1342">
        <v>2025</v>
      </c>
      <c r="B1342">
        <v>1</v>
      </c>
      <c r="C1342" t="s">
        <v>55</v>
      </c>
      <c r="D1342">
        <v>10</v>
      </c>
      <c r="E1342" t="s">
        <v>36</v>
      </c>
      <c r="F1342" t="s">
        <v>37</v>
      </c>
      <c r="G1342" t="s">
        <v>38</v>
      </c>
      <c r="H1342" t="s">
        <v>83</v>
      </c>
      <c r="I1342" t="s">
        <v>57</v>
      </c>
      <c r="J1342" t="s">
        <v>58</v>
      </c>
      <c r="K1342" t="s">
        <v>59</v>
      </c>
      <c r="M1342" t="s">
        <v>60</v>
      </c>
      <c r="N1342" t="s">
        <v>61</v>
      </c>
      <c r="O1342" t="s">
        <v>43</v>
      </c>
      <c r="Q1342" t="s">
        <v>62</v>
      </c>
      <c r="R1342" t="s">
        <v>63</v>
      </c>
      <c r="S1342" t="s">
        <v>63</v>
      </c>
      <c r="T1342" t="s">
        <v>47</v>
      </c>
      <c r="U1342" t="s">
        <v>105</v>
      </c>
      <c r="V1342" t="s">
        <v>49</v>
      </c>
      <c r="W1342" t="s">
        <v>106</v>
      </c>
      <c r="X1342" t="s">
        <v>51</v>
      </c>
      <c r="Y1342" t="s">
        <v>1459</v>
      </c>
      <c r="Z1342" t="s">
        <v>1459</v>
      </c>
      <c r="AA1342" t="s">
        <v>1460</v>
      </c>
      <c r="AB1342" s="3">
        <f t="shared" si="165"/>
        <v>1</v>
      </c>
      <c r="AC1342">
        <v>1519.24</v>
      </c>
      <c r="AD1342" s="2">
        <v>1519.24</v>
      </c>
      <c r="AE1342" s="2">
        <v>108.87</v>
      </c>
      <c r="AF1342" s="2">
        <v>9.83</v>
      </c>
      <c r="AG1342" s="2">
        <v>1637.94</v>
      </c>
      <c r="AH1342">
        <v>0</v>
      </c>
      <c r="AI1342">
        <v>1637.94</v>
      </c>
      <c r="AJ1342">
        <v>8.1897000000000002</v>
      </c>
      <c r="AK1342" t="s">
        <v>54</v>
      </c>
      <c r="AL1342">
        <v>12.79</v>
      </c>
      <c r="AM1342" s="4">
        <f t="shared" si="166"/>
        <v>1637.94</v>
      </c>
      <c r="AN1342" s="4">
        <f t="shared" si="167"/>
        <v>2848.5749999999998</v>
      </c>
      <c r="AO1342" s="4">
        <f t="shared" si="168"/>
        <v>3164.7668249999997</v>
      </c>
      <c r="AP1342" s="4">
        <f t="shared" si="169"/>
        <v>4614.4066424999992</v>
      </c>
      <c r="AQ1342" s="10">
        <f t="shared" si="170"/>
        <v>2848.5414540000002</v>
      </c>
      <c r="AR1342" s="10">
        <f t="shared" si="171"/>
        <v>3165.0144095394003</v>
      </c>
      <c r="AS1342" s="10">
        <f t="shared" si="172"/>
        <v>4434.6093355871999</v>
      </c>
    </row>
    <row r="1343" spans="1:45" x14ac:dyDescent="0.3">
      <c r="A1343">
        <v>2025</v>
      </c>
      <c r="B1343">
        <v>3</v>
      </c>
      <c r="C1343" t="s">
        <v>55</v>
      </c>
      <c r="D1343">
        <v>10</v>
      </c>
      <c r="E1343" t="s">
        <v>36</v>
      </c>
      <c r="F1343" t="s">
        <v>37</v>
      </c>
      <c r="G1343" t="s">
        <v>38</v>
      </c>
      <c r="H1343" t="s">
        <v>83</v>
      </c>
      <c r="I1343" t="s">
        <v>190</v>
      </c>
      <c r="J1343" t="s">
        <v>58</v>
      </c>
      <c r="K1343" t="s">
        <v>59</v>
      </c>
      <c r="M1343" t="s">
        <v>209</v>
      </c>
      <c r="N1343" t="s">
        <v>61</v>
      </c>
      <c r="O1343" t="s">
        <v>43</v>
      </c>
      <c r="Q1343" t="s">
        <v>62</v>
      </c>
      <c r="R1343" t="s">
        <v>210</v>
      </c>
      <c r="S1343" t="s">
        <v>211</v>
      </c>
      <c r="T1343" t="s">
        <v>47</v>
      </c>
      <c r="U1343" t="s">
        <v>105</v>
      </c>
      <c r="V1343" t="s">
        <v>49</v>
      </c>
      <c r="W1343" t="s">
        <v>106</v>
      </c>
      <c r="X1343" t="s">
        <v>51</v>
      </c>
      <c r="Y1343" t="s">
        <v>107</v>
      </c>
      <c r="Z1343" t="s">
        <v>64</v>
      </c>
      <c r="AA1343" t="s">
        <v>112</v>
      </c>
      <c r="AB1343" s="3">
        <f t="shared" si="165"/>
        <v>4</v>
      </c>
      <c r="AC1343">
        <v>1315.78</v>
      </c>
      <c r="AD1343" s="2">
        <v>328.94499999999999</v>
      </c>
      <c r="AE1343" s="2">
        <v>316.13</v>
      </c>
      <c r="AF1343" s="2">
        <v>9.09</v>
      </c>
      <c r="AG1343" s="2">
        <v>1640.99</v>
      </c>
      <c r="AH1343">
        <v>0</v>
      </c>
      <c r="AI1343">
        <v>410.2475</v>
      </c>
      <c r="AJ1343">
        <v>8.2049500000000002</v>
      </c>
      <c r="AK1343" t="s">
        <v>54</v>
      </c>
      <c r="AL1343">
        <v>12.02</v>
      </c>
      <c r="AM1343" s="4">
        <f t="shared" si="166"/>
        <v>410.2475</v>
      </c>
      <c r="AN1343" s="4">
        <f t="shared" si="167"/>
        <v>616.77187500000002</v>
      </c>
      <c r="AO1343" s="4">
        <f t="shared" si="168"/>
        <v>685.23355312500007</v>
      </c>
      <c r="AP1343" s="4">
        <f t="shared" si="169"/>
        <v>999.10876031249995</v>
      </c>
      <c r="AQ1343" s="10">
        <f t="shared" si="170"/>
        <v>713.46142725000004</v>
      </c>
      <c r="AR1343" s="10">
        <f t="shared" si="171"/>
        <v>792.72699181747498</v>
      </c>
      <c r="AS1343" s="10">
        <f t="shared" si="172"/>
        <v>1110.7167499428001</v>
      </c>
    </row>
    <row r="1344" spans="1:45" x14ac:dyDescent="0.3">
      <c r="A1344">
        <v>2025</v>
      </c>
      <c r="B1344">
        <v>7</v>
      </c>
      <c r="C1344" t="s">
        <v>55</v>
      </c>
      <c r="D1344">
        <v>10</v>
      </c>
      <c r="E1344" t="s">
        <v>36</v>
      </c>
      <c r="F1344" t="s">
        <v>37</v>
      </c>
      <c r="G1344" t="s">
        <v>38</v>
      </c>
      <c r="H1344" t="s">
        <v>83</v>
      </c>
      <c r="I1344" t="s">
        <v>190</v>
      </c>
      <c r="J1344" t="s">
        <v>58</v>
      </c>
      <c r="K1344" t="s">
        <v>41</v>
      </c>
      <c r="L1344" t="s">
        <v>953</v>
      </c>
      <c r="M1344" t="s">
        <v>954</v>
      </c>
      <c r="N1344" t="s">
        <v>731</v>
      </c>
      <c r="O1344" t="s">
        <v>36</v>
      </c>
      <c r="Q1344" t="s">
        <v>62</v>
      </c>
      <c r="R1344" t="s">
        <v>955</v>
      </c>
      <c r="S1344" t="s">
        <v>956</v>
      </c>
      <c r="T1344" t="s">
        <v>47</v>
      </c>
      <c r="U1344" t="s">
        <v>105</v>
      </c>
      <c r="V1344" t="s">
        <v>49</v>
      </c>
      <c r="W1344" t="s">
        <v>708</v>
      </c>
      <c r="X1344" t="s">
        <v>51</v>
      </c>
      <c r="Y1344" t="s">
        <v>107</v>
      </c>
      <c r="Z1344" t="s">
        <v>64</v>
      </c>
      <c r="AA1344" t="s">
        <v>112</v>
      </c>
      <c r="AB1344" s="3">
        <f t="shared" si="165"/>
        <v>4</v>
      </c>
      <c r="AC1344">
        <v>1297.42</v>
      </c>
      <c r="AD1344" s="2">
        <v>324.35500000000002</v>
      </c>
      <c r="AE1344" s="2">
        <v>289.8</v>
      </c>
      <c r="AF1344" s="2">
        <v>9.51</v>
      </c>
      <c r="AG1344" s="2">
        <v>1596.72</v>
      </c>
      <c r="AH1344">
        <v>0</v>
      </c>
      <c r="AI1344">
        <v>399.18</v>
      </c>
      <c r="AJ1344">
        <v>7.9836</v>
      </c>
      <c r="AK1344" t="s">
        <v>54</v>
      </c>
      <c r="AL1344">
        <v>8.81</v>
      </c>
      <c r="AM1344" s="4">
        <f t="shared" si="166"/>
        <v>399.18</v>
      </c>
      <c r="AN1344" s="4">
        <f t="shared" si="167"/>
        <v>608.16562500000009</v>
      </c>
      <c r="AO1344" s="4">
        <f t="shared" si="168"/>
        <v>675.67200937500013</v>
      </c>
      <c r="AP1344" s="4">
        <f t="shared" si="169"/>
        <v>985.16749593750012</v>
      </c>
      <c r="AQ1344" s="10">
        <f t="shared" si="170"/>
        <v>694.2139380000001</v>
      </c>
      <c r="AR1344" s="10">
        <f t="shared" si="171"/>
        <v>771.34110651180015</v>
      </c>
      <c r="AS1344" s="10">
        <f t="shared" si="172"/>
        <v>1080.7522586784</v>
      </c>
    </row>
    <row r="1345" spans="1:45" x14ac:dyDescent="0.3">
      <c r="A1345">
        <v>2025</v>
      </c>
      <c r="B1345">
        <v>1</v>
      </c>
      <c r="C1345" t="s">
        <v>55</v>
      </c>
      <c r="D1345">
        <v>10</v>
      </c>
      <c r="E1345" t="s">
        <v>36</v>
      </c>
      <c r="F1345" t="s">
        <v>37</v>
      </c>
      <c r="G1345" t="s">
        <v>38</v>
      </c>
      <c r="H1345" t="s">
        <v>83</v>
      </c>
      <c r="I1345" t="s">
        <v>57</v>
      </c>
      <c r="J1345" t="s">
        <v>58</v>
      </c>
      <c r="K1345" t="s">
        <v>59</v>
      </c>
      <c r="M1345" t="s">
        <v>60</v>
      </c>
      <c r="N1345" t="s">
        <v>61</v>
      </c>
      <c r="O1345" t="s">
        <v>43</v>
      </c>
      <c r="Q1345" t="s">
        <v>62</v>
      </c>
      <c r="R1345" t="s">
        <v>63</v>
      </c>
      <c r="S1345" t="s">
        <v>63</v>
      </c>
      <c r="T1345" t="s">
        <v>47</v>
      </c>
      <c r="U1345" t="s">
        <v>118</v>
      </c>
      <c r="V1345" t="s">
        <v>49</v>
      </c>
      <c r="W1345" t="s">
        <v>119</v>
      </c>
      <c r="X1345" t="s">
        <v>51</v>
      </c>
      <c r="Y1345" t="s">
        <v>1065</v>
      </c>
      <c r="Z1345" t="s">
        <v>1065</v>
      </c>
      <c r="AA1345" t="s">
        <v>112</v>
      </c>
      <c r="AB1345" s="3">
        <f t="shared" si="165"/>
        <v>2</v>
      </c>
      <c r="AC1345">
        <v>507.95</v>
      </c>
      <c r="AD1345" s="2">
        <v>253.97499999999999</v>
      </c>
      <c r="AE1345" s="2">
        <v>58.8</v>
      </c>
      <c r="AF1345" s="2">
        <v>3.55</v>
      </c>
      <c r="AG1345" s="2">
        <v>569.58000000000004</v>
      </c>
      <c r="AH1345">
        <v>0</v>
      </c>
      <c r="AI1345">
        <v>284.79000000000002</v>
      </c>
      <c r="AJ1345">
        <v>2.8479000000000001</v>
      </c>
      <c r="AK1345" t="s">
        <v>54</v>
      </c>
      <c r="AL1345">
        <v>4.3499999999999996</v>
      </c>
      <c r="AM1345" s="4">
        <f t="shared" si="166"/>
        <v>284.79000000000002</v>
      </c>
      <c r="AN1345" s="4">
        <f t="shared" si="167"/>
        <v>476.203125</v>
      </c>
      <c r="AO1345" s="4">
        <f t="shared" si="168"/>
        <v>529.061671875</v>
      </c>
      <c r="AP1345" s="4">
        <f t="shared" si="169"/>
        <v>771.40144218749992</v>
      </c>
      <c r="AQ1345" s="10">
        <f t="shared" si="170"/>
        <v>495.27828900000009</v>
      </c>
      <c r="AR1345" s="10">
        <f t="shared" si="171"/>
        <v>550.30370690790005</v>
      </c>
      <c r="AS1345" s="10">
        <f t="shared" si="172"/>
        <v>771.04924031520011</v>
      </c>
    </row>
    <row r="1346" spans="1:45" x14ac:dyDescent="0.3">
      <c r="A1346">
        <v>2025</v>
      </c>
      <c r="B1346">
        <v>7</v>
      </c>
      <c r="C1346" t="s">
        <v>55</v>
      </c>
      <c r="D1346">
        <v>10</v>
      </c>
      <c r="E1346" t="s">
        <v>36</v>
      </c>
      <c r="F1346" t="s">
        <v>37</v>
      </c>
      <c r="G1346" t="s">
        <v>38</v>
      </c>
      <c r="H1346" t="s">
        <v>83</v>
      </c>
      <c r="I1346" t="s">
        <v>190</v>
      </c>
      <c r="J1346" t="s">
        <v>58</v>
      </c>
      <c r="K1346" t="s">
        <v>41</v>
      </c>
      <c r="L1346" t="s">
        <v>953</v>
      </c>
      <c r="M1346" t="s">
        <v>954</v>
      </c>
      <c r="N1346" t="s">
        <v>731</v>
      </c>
      <c r="O1346" t="s">
        <v>36</v>
      </c>
      <c r="Q1346" t="s">
        <v>62</v>
      </c>
      <c r="R1346" t="s">
        <v>955</v>
      </c>
      <c r="S1346" t="s">
        <v>956</v>
      </c>
      <c r="T1346" t="s">
        <v>47</v>
      </c>
      <c r="U1346" t="s">
        <v>118</v>
      </c>
      <c r="V1346" t="s">
        <v>49</v>
      </c>
      <c r="W1346" t="s">
        <v>714</v>
      </c>
      <c r="X1346" t="s">
        <v>51</v>
      </c>
      <c r="Y1346" t="s">
        <v>127</v>
      </c>
      <c r="Z1346" t="s">
        <v>64</v>
      </c>
      <c r="AA1346" t="s">
        <v>128</v>
      </c>
      <c r="AB1346" s="3">
        <f t="shared" si="165"/>
        <v>2</v>
      </c>
      <c r="AC1346">
        <v>2009.14</v>
      </c>
      <c r="AD1346" s="2">
        <v>1004.57</v>
      </c>
      <c r="AE1346" s="2">
        <v>482.71</v>
      </c>
      <c r="AF1346" s="2">
        <v>13.87</v>
      </c>
      <c r="AG1346" s="2">
        <v>2505.7199999999998</v>
      </c>
      <c r="AH1346">
        <v>0</v>
      </c>
      <c r="AI1346">
        <v>1252.8599999999999</v>
      </c>
      <c r="AJ1346">
        <v>12.528600000000001</v>
      </c>
      <c r="AK1346" t="s">
        <v>54</v>
      </c>
      <c r="AL1346">
        <v>6.01</v>
      </c>
      <c r="AM1346" s="4">
        <f t="shared" si="166"/>
        <v>1252.8599999999999</v>
      </c>
      <c r="AN1346" s="4">
        <f t="shared" si="167"/>
        <v>1883.5687500000001</v>
      </c>
      <c r="AO1346" s="4">
        <f t="shared" si="168"/>
        <v>2092.6448812500003</v>
      </c>
      <c r="AP1346" s="4">
        <f t="shared" si="169"/>
        <v>3051.193018125</v>
      </c>
      <c r="AQ1346" s="10">
        <f t="shared" si="170"/>
        <v>2178.8488259999999</v>
      </c>
      <c r="AR1346" s="10">
        <f t="shared" si="171"/>
        <v>2420.9189305686</v>
      </c>
      <c r="AS1346" s="10">
        <f t="shared" si="172"/>
        <v>3392.0318523167998</v>
      </c>
    </row>
    <row r="1347" spans="1:45" x14ac:dyDescent="0.3">
      <c r="A1347">
        <v>2025</v>
      </c>
      <c r="B1347">
        <v>7</v>
      </c>
      <c r="C1347" t="s">
        <v>55</v>
      </c>
      <c r="D1347">
        <v>10</v>
      </c>
      <c r="E1347" t="s">
        <v>36</v>
      </c>
      <c r="F1347" t="s">
        <v>37</v>
      </c>
      <c r="G1347" t="s">
        <v>38</v>
      </c>
      <c r="H1347" t="s">
        <v>83</v>
      </c>
      <c r="I1347" t="s">
        <v>190</v>
      </c>
      <c r="J1347" t="s">
        <v>58</v>
      </c>
      <c r="K1347" t="s">
        <v>41</v>
      </c>
      <c r="L1347" t="s">
        <v>953</v>
      </c>
      <c r="M1347" t="s">
        <v>954</v>
      </c>
      <c r="N1347" t="s">
        <v>731</v>
      </c>
      <c r="O1347" t="s">
        <v>36</v>
      </c>
      <c r="Q1347" t="s">
        <v>62</v>
      </c>
      <c r="R1347" t="s">
        <v>955</v>
      </c>
      <c r="S1347" t="s">
        <v>956</v>
      </c>
      <c r="T1347" t="s">
        <v>47</v>
      </c>
      <c r="U1347" t="s">
        <v>118</v>
      </c>
      <c r="V1347" t="s">
        <v>49</v>
      </c>
      <c r="W1347" t="s">
        <v>714</v>
      </c>
      <c r="X1347" t="s">
        <v>51</v>
      </c>
      <c r="Y1347" t="s">
        <v>1085</v>
      </c>
      <c r="Z1347" t="s">
        <v>1085</v>
      </c>
      <c r="AA1347" t="s">
        <v>128</v>
      </c>
      <c r="AB1347" s="3">
        <f t="shared" ref="AB1347:AB1410" si="173">SUM(AC1347/AD1347)</f>
        <v>1</v>
      </c>
      <c r="AC1347">
        <v>731.46</v>
      </c>
      <c r="AD1347" s="2">
        <v>731.46</v>
      </c>
      <c r="AE1347" s="2">
        <v>29.4</v>
      </c>
      <c r="AF1347" s="2">
        <v>5.16</v>
      </c>
      <c r="AG1347" s="2">
        <v>765.66</v>
      </c>
      <c r="AH1347">
        <v>0</v>
      </c>
      <c r="AI1347">
        <v>765.66</v>
      </c>
      <c r="AJ1347">
        <v>3.8283</v>
      </c>
      <c r="AK1347" t="s">
        <v>54</v>
      </c>
      <c r="AL1347">
        <v>2.17</v>
      </c>
      <c r="AM1347" s="4">
        <f t="shared" ref="AM1347:AM1410" si="174">SUM(AG1347/AB1347)</f>
        <v>765.66</v>
      </c>
      <c r="AN1347" s="4">
        <f t="shared" ref="AN1347:AN1410" si="175">SUM(AD1347*1.875)</f>
        <v>1371.4875000000002</v>
      </c>
      <c r="AO1347" s="4">
        <f t="shared" si="168"/>
        <v>1523.7226125000002</v>
      </c>
      <c r="AP1347" s="4">
        <f t="shared" si="169"/>
        <v>2221.6726012500003</v>
      </c>
      <c r="AQ1347" s="10">
        <f t="shared" si="170"/>
        <v>1331.5593060000001</v>
      </c>
      <c r="AR1347" s="10">
        <f t="shared" si="171"/>
        <v>1479.4955448966</v>
      </c>
      <c r="AS1347" s="10">
        <f t="shared" si="172"/>
        <v>2072.9715275808003</v>
      </c>
    </row>
    <row r="1348" spans="1:45" x14ac:dyDescent="0.3">
      <c r="A1348">
        <v>2025</v>
      </c>
      <c r="B1348">
        <v>8</v>
      </c>
      <c r="C1348" t="s">
        <v>55</v>
      </c>
      <c r="D1348">
        <v>10</v>
      </c>
      <c r="E1348" t="s">
        <v>36</v>
      </c>
      <c r="F1348" t="s">
        <v>37</v>
      </c>
      <c r="G1348" t="s">
        <v>38</v>
      </c>
      <c r="H1348" t="s">
        <v>78</v>
      </c>
      <c r="I1348" t="s">
        <v>190</v>
      </c>
      <c r="J1348" t="s">
        <v>58</v>
      </c>
      <c r="K1348" t="s">
        <v>59</v>
      </c>
      <c r="L1348" t="s">
        <v>1194</v>
      </c>
      <c r="M1348" t="s">
        <v>1195</v>
      </c>
      <c r="N1348" t="s">
        <v>1196</v>
      </c>
      <c r="O1348" t="s">
        <v>1197</v>
      </c>
      <c r="Q1348" t="s">
        <v>62</v>
      </c>
      <c r="R1348" t="s">
        <v>1198</v>
      </c>
      <c r="S1348" t="s">
        <v>1198</v>
      </c>
      <c r="T1348" t="s">
        <v>47</v>
      </c>
      <c r="U1348" t="s">
        <v>118</v>
      </c>
      <c r="V1348" t="s">
        <v>49</v>
      </c>
      <c r="W1348" t="s">
        <v>714</v>
      </c>
      <c r="X1348" t="s">
        <v>388</v>
      </c>
      <c r="Y1348" t="s">
        <v>1085</v>
      </c>
      <c r="Z1348" t="s">
        <v>1085</v>
      </c>
      <c r="AA1348" t="s">
        <v>128</v>
      </c>
      <c r="AB1348" s="3">
        <f t="shared" si="173"/>
        <v>1</v>
      </c>
      <c r="AC1348">
        <v>731.46</v>
      </c>
      <c r="AD1348" s="2">
        <v>731.46</v>
      </c>
      <c r="AE1348" s="2">
        <v>29.4</v>
      </c>
      <c r="AF1348" s="2">
        <v>5.16</v>
      </c>
      <c r="AG1348" s="2">
        <v>765.66</v>
      </c>
      <c r="AH1348">
        <v>0</v>
      </c>
      <c r="AI1348">
        <v>765.66</v>
      </c>
      <c r="AJ1348">
        <v>3.8283</v>
      </c>
      <c r="AK1348" t="s">
        <v>54</v>
      </c>
      <c r="AL1348">
        <v>2.17</v>
      </c>
      <c r="AM1348" s="4">
        <f t="shared" si="174"/>
        <v>765.66</v>
      </c>
      <c r="AN1348" s="4">
        <f t="shared" si="175"/>
        <v>1371.4875000000002</v>
      </c>
      <c r="AO1348" s="4">
        <f t="shared" ref="AO1348:AO1411" si="176">SUM(AN1348)*1.111</f>
        <v>1523.7226125000002</v>
      </c>
      <c r="AP1348" s="4">
        <f t="shared" ref="AP1348:AP1411" si="177">SUM(AN1348)*1.6199</f>
        <v>2221.6726012500003</v>
      </c>
      <c r="AQ1348" s="10">
        <f t="shared" si="170"/>
        <v>1331.5593060000001</v>
      </c>
      <c r="AR1348" s="10">
        <f t="shared" si="171"/>
        <v>1479.4955448966</v>
      </c>
      <c r="AS1348" s="10">
        <f t="shared" si="172"/>
        <v>2072.9715275808003</v>
      </c>
    </row>
    <row r="1349" spans="1:45" x14ac:dyDescent="0.3">
      <c r="A1349">
        <v>2025</v>
      </c>
      <c r="B1349">
        <v>8</v>
      </c>
      <c r="C1349" t="s">
        <v>55</v>
      </c>
      <c r="D1349">
        <v>10</v>
      </c>
      <c r="E1349" t="s">
        <v>36</v>
      </c>
      <c r="F1349" t="s">
        <v>37</v>
      </c>
      <c r="G1349" t="s">
        <v>38</v>
      </c>
      <c r="H1349" t="s">
        <v>83</v>
      </c>
      <c r="I1349" t="s">
        <v>190</v>
      </c>
      <c r="J1349" t="s">
        <v>58</v>
      </c>
      <c r="K1349" t="s">
        <v>59</v>
      </c>
      <c r="L1349" t="s">
        <v>1194</v>
      </c>
      <c r="M1349" t="s">
        <v>1195</v>
      </c>
      <c r="N1349" t="s">
        <v>1196</v>
      </c>
      <c r="O1349" t="s">
        <v>1197</v>
      </c>
      <c r="Q1349" t="s">
        <v>62</v>
      </c>
      <c r="R1349" t="s">
        <v>1198</v>
      </c>
      <c r="S1349" t="s">
        <v>1198</v>
      </c>
      <c r="T1349" t="s">
        <v>47</v>
      </c>
      <c r="U1349" t="s">
        <v>118</v>
      </c>
      <c r="V1349" t="s">
        <v>49</v>
      </c>
      <c r="W1349" t="s">
        <v>714</v>
      </c>
      <c r="X1349" t="s">
        <v>388</v>
      </c>
      <c r="Y1349" t="s">
        <v>1085</v>
      </c>
      <c r="Z1349" t="s">
        <v>1085</v>
      </c>
      <c r="AA1349" t="s">
        <v>128</v>
      </c>
      <c r="AB1349" s="3">
        <f t="shared" si="173"/>
        <v>2</v>
      </c>
      <c r="AC1349">
        <v>1584.85</v>
      </c>
      <c r="AD1349" s="2">
        <v>792.42499999999995</v>
      </c>
      <c r="AE1349" s="2">
        <v>113.58</v>
      </c>
      <c r="AF1349" s="2">
        <v>10.25</v>
      </c>
      <c r="AG1349" s="2">
        <v>1708.68</v>
      </c>
      <c r="AH1349">
        <v>0</v>
      </c>
      <c r="AI1349">
        <v>854.34</v>
      </c>
      <c r="AJ1349">
        <v>8.5434000000000001</v>
      </c>
      <c r="AK1349" t="s">
        <v>54</v>
      </c>
      <c r="AL1349">
        <v>13.34</v>
      </c>
      <c r="AM1349" s="4">
        <f t="shared" si="174"/>
        <v>854.34</v>
      </c>
      <c r="AN1349" s="4">
        <f t="shared" si="175"/>
        <v>1485.796875</v>
      </c>
      <c r="AO1349" s="4">
        <f t="shared" si="176"/>
        <v>1650.7203281249999</v>
      </c>
      <c r="AP1349" s="4">
        <f t="shared" si="177"/>
        <v>2406.8423578124998</v>
      </c>
      <c r="AQ1349" s="10">
        <f t="shared" si="170"/>
        <v>1485.7826940000002</v>
      </c>
      <c r="AR1349" s="10">
        <f t="shared" si="171"/>
        <v>1650.8531513034002</v>
      </c>
      <c r="AS1349" s="10">
        <f t="shared" si="172"/>
        <v>2313.0664980192005</v>
      </c>
    </row>
    <row r="1350" spans="1:45" x14ac:dyDescent="0.3">
      <c r="A1350">
        <v>2025</v>
      </c>
      <c r="B1350">
        <v>7</v>
      </c>
      <c r="C1350" t="s">
        <v>55</v>
      </c>
      <c r="D1350">
        <v>10</v>
      </c>
      <c r="E1350" t="s">
        <v>36</v>
      </c>
      <c r="F1350" t="s">
        <v>37</v>
      </c>
      <c r="G1350" t="s">
        <v>38</v>
      </c>
      <c r="H1350" t="s">
        <v>83</v>
      </c>
      <c r="I1350" t="s">
        <v>190</v>
      </c>
      <c r="J1350" t="s">
        <v>58</v>
      </c>
      <c r="K1350" t="s">
        <v>41</v>
      </c>
      <c r="L1350" t="s">
        <v>953</v>
      </c>
      <c r="M1350" t="s">
        <v>954</v>
      </c>
      <c r="N1350" t="s">
        <v>731</v>
      </c>
      <c r="O1350" t="s">
        <v>36</v>
      </c>
      <c r="Q1350" t="s">
        <v>62</v>
      </c>
      <c r="R1350" t="s">
        <v>955</v>
      </c>
      <c r="S1350" t="s">
        <v>956</v>
      </c>
      <c r="T1350" t="s">
        <v>47</v>
      </c>
      <c r="U1350" t="s">
        <v>163</v>
      </c>
      <c r="V1350" t="s">
        <v>49</v>
      </c>
      <c r="W1350" t="s">
        <v>164</v>
      </c>
      <c r="X1350" t="s">
        <v>51</v>
      </c>
      <c r="Y1350" t="s">
        <v>1085</v>
      </c>
      <c r="Z1350" t="s">
        <v>1085</v>
      </c>
      <c r="AA1350" t="s">
        <v>128</v>
      </c>
      <c r="AB1350" s="3">
        <f t="shared" si="173"/>
        <v>2</v>
      </c>
      <c r="AC1350">
        <v>1584.85</v>
      </c>
      <c r="AD1350" s="2">
        <v>792.42499999999995</v>
      </c>
      <c r="AE1350" s="2">
        <v>113.58</v>
      </c>
      <c r="AF1350" s="2">
        <v>10.25</v>
      </c>
      <c r="AG1350" s="2">
        <v>1708.68</v>
      </c>
      <c r="AH1350">
        <v>0</v>
      </c>
      <c r="AI1350">
        <v>854.34</v>
      </c>
      <c r="AJ1350">
        <v>8.5434000000000001</v>
      </c>
      <c r="AK1350" t="s">
        <v>54</v>
      </c>
      <c r="AL1350">
        <v>13.34</v>
      </c>
      <c r="AM1350" s="4">
        <f t="shared" si="174"/>
        <v>854.34</v>
      </c>
      <c r="AN1350" s="4">
        <f t="shared" si="175"/>
        <v>1485.796875</v>
      </c>
      <c r="AO1350" s="4">
        <f t="shared" si="176"/>
        <v>1650.7203281249999</v>
      </c>
      <c r="AP1350" s="4">
        <f t="shared" si="177"/>
        <v>2406.8423578124998</v>
      </c>
      <c r="AQ1350" s="10">
        <f t="shared" si="170"/>
        <v>1485.7826940000002</v>
      </c>
      <c r="AR1350" s="10">
        <f t="shared" si="171"/>
        <v>1650.8531513034002</v>
      </c>
      <c r="AS1350" s="10">
        <f t="shared" si="172"/>
        <v>2313.0664980192005</v>
      </c>
    </row>
    <row r="1351" spans="1:45" x14ac:dyDescent="0.3">
      <c r="A1351">
        <v>2025</v>
      </c>
      <c r="B1351">
        <v>8</v>
      </c>
      <c r="C1351" t="s">
        <v>55</v>
      </c>
      <c r="D1351">
        <v>10</v>
      </c>
      <c r="E1351" t="s">
        <v>36</v>
      </c>
      <c r="F1351" t="s">
        <v>37</v>
      </c>
      <c r="G1351" t="s">
        <v>38</v>
      </c>
      <c r="H1351" t="s">
        <v>83</v>
      </c>
      <c r="I1351" t="s">
        <v>190</v>
      </c>
      <c r="J1351" t="s">
        <v>58</v>
      </c>
      <c r="K1351" t="s">
        <v>59</v>
      </c>
      <c r="L1351" t="s">
        <v>1194</v>
      </c>
      <c r="M1351" t="s">
        <v>1195</v>
      </c>
      <c r="N1351" t="s">
        <v>1196</v>
      </c>
      <c r="O1351" t="s">
        <v>1197</v>
      </c>
      <c r="Q1351" t="s">
        <v>62</v>
      </c>
      <c r="R1351" t="s">
        <v>1198</v>
      </c>
      <c r="S1351" t="s">
        <v>1198</v>
      </c>
      <c r="T1351" t="s">
        <v>47</v>
      </c>
      <c r="U1351" t="s">
        <v>157</v>
      </c>
      <c r="V1351" t="s">
        <v>49</v>
      </c>
      <c r="W1351" t="s">
        <v>158</v>
      </c>
      <c r="X1351" t="s">
        <v>388</v>
      </c>
      <c r="Y1351" t="s">
        <v>1106</v>
      </c>
      <c r="Z1351" t="s">
        <v>1106</v>
      </c>
      <c r="AA1351" t="s">
        <v>1124</v>
      </c>
      <c r="AB1351" s="3">
        <f t="shared" si="173"/>
        <v>2</v>
      </c>
      <c r="AC1351">
        <v>823.83</v>
      </c>
      <c r="AD1351" s="2">
        <v>411.91500000000002</v>
      </c>
      <c r="AE1351" s="2">
        <v>58.8</v>
      </c>
      <c r="AF1351" s="2">
        <v>5.79</v>
      </c>
      <c r="AG1351" s="2">
        <v>887.7</v>
      </c>
      <c r="AH1351">
        <v>0</v>
      </c>
      <c r="AI1351">
        <v>443.85</v>
      </c>
      <c r="AJ1351">
        <v>4.4385000000000003</v>
      </c>
      <c r="AK1351" t="s">
        <v>54</v>
      </c>
      <c r="AL1351">
        <v>4.3499999999999996</v>
      </c>
      <c r="AM1351" s="4">
        <f t="shared" si="174"/>
        <v>443.85</v>
      </c>
      <c r="AN1351" s="4">
        <f t="shared" si="175"/>
        <v>772.34062500000005</v>
      </c>
      <c r="AO1351" s="4">
        <f t="shared" si="176"/>
        <v>858.07043437499999</v>
      </c>
      <c r="AP1351" s="4">
        <f t="shared" si="177"/>
        <v>1251.1145784375001</v>
      </c>
      <c r="AQ1351" s="10">
        <f t="shared" si="170"/>
        <v>771.89953500000013</v>
      </c>
      <c r="AR1351" s="10">
        <f t="shared" si="171"/>
        <v>857.65757333850013</v>
      </c>
      <c r="AS1351" s="10">
        <f t="shared" si="172"/>
        <v>1201.6931960880001</v>
      </c>
    </row>
    <row r="1352" spans="1:45" x14ac:dyDescent="0.3">
      <c r="A1352">
        <v>2025</v>
      </c>
      <c r="B1352">
        <v>8</v>
      </c>
      <c r="C1352" t="s">
        <v>55</v>
      </c>
      <c r="D1352">
        <v>10</v>
      </c>
      <c r="E1352" t="s">
        <v>36</v>
      </c>
      <c r="F1352" t="s">
        <v>37</v>
      </c>
      <c r="G1352" t="s">
        <v>38</v>
      </c>
      <c r="H1352" t="s">
        <v>83</v>
      </c>
      <c r="I1352" t="s">
        <v>190</v>
      </c>
      <c r="J1352" t="s">
        <v>58</v>
      </c>
      <c r="K1352" t="s">
        <v>59</v>
      </c>
      <c r="L1352" t="s">
        <v>1194</v>
      </c>
      <c r="M1352" t="s">
        <v>1195</v>
      </c>
      <c r="N1352" t="s">
        <v>1196</v>
      </c>
      <c r="O1352" t="s">
        <v>1197</v>
      </c>
      <c r="Q1352" t="s">
        <v>62</v>
      </c>
      <c r="R1352" t="s">
        <v>1198</v>
      </c>
      <c r="S1352" t="s">
        <v>1198</v>
      </c>
      <c r="T1352" t="s">
        <v>47</v>
      </c>
      <c r="U1352" t="s">
        <v>157</v>
      </c>
      <c r="V1352" t="s">
        <v>49</v>
      </c>
      <c r="W1352" t="s">
        <v>158</v>
      </c>
      <c r="X1352" t="s">
        <v>388</v>
      </c>
      <c r="Y1352" t="s">
        <v>1106</v>
      </c>
      <c r="Z1352" t="s">
        <v>1106</v>
      </c>
      <c r="AA1352" t="s">
        <v>1124</v>
      </c>
      <c r="AB1352" s="3">
        <f t="shared" si="173"/>
        <v>2</v>
      </c>
      <c r="AC1352">
        <v>888.46</v>
      </c>
      <c r="AD1352" s="2">
        <v>444.23</v>
      </c>
      <c r="AE1352" s="2">
        <v>63.67</v>
      </c>
      <c r="AF1352" s="2">
        <v>5.75</v>
      </c>
      <c r="AG1352" s="2">
        <v>957.88</v>
      </c>
      <c r="AH1352">
        <v>0</v>
      </c>
      <c r="AI1352">
        <v>478.94</v>
      </c>
      <c r="AJ1352">
        <v>4.7893999999999997</v>
      </c>
      <c r="AK1352" t="s">
        <v>54</v>
      </c>
      <c r="AL1352">
        <v>7.48</v>
      </c>
      <c r="AM1352" s="4">
        <f t="shared" si="174"/>
        <v>478.94</v>
      </c>
      <c r="AN1352" s="4">
        <f t="shared" si="175"/>
        <v>832.93125000000009</v>
      </c>
      <c r="AO1352" s="4">
        <f t="shared" si="176"/>
        <v>925.38661875000014</v>
      </c>
      <c r="AP1352" s="4">
        <f t="shared" si="177"/>
        <v>1349.2653318750001</v>
      </c>
      <c r="AQ1352" s="10">
        <f t="shared" si="170"/>
        <v>832.92455400000006</v>
      </c>
      <c r="AR1352" s="10">
        <f t="shared" si="171"/>
        <v>925.46247194940008</v>
      </c>
      <c r="AS1352" s="10">
        <f t="shared" si="172"/>
        <v>1296.6969456672</v>
      </c>
    </row>
    <row r="1353" spans="1:45" x14ac:dyDescent="0.3">
      <c r="A1353">
        <v>2025</v>
      </c>
      <c r="B1353">
        <v>7</v>
      </c>
      <c r="C1353" t="s">
        <v>55</v>
      </c>
      <c r="D1353">
        <v>10</v>
      </c>
      <c r="E1353" t="s">
        <v>36</v>
      </c>
      <c r="F1353" t="s">
        <v>37</v>
      </c>
      <c r="G1353" t="s">
        <v>38</v>
      </c>
      <c r="H1353" t="s">
        <v>83</v>
      </c>
      <c r="I1353" t="s">
        <v>190</v>
      </c>
      <c r="J1353" t="s">
        <v>58</v>
      </c>
      <c r="K1353" t="s">
        <v>41</v>
      </c>
      <c r="L1353" t="s">
        <v>953</v>
      </c>
      <c r="M1353" t="s">
        <v>954</v>
      </c>
      <c r="N1353" t="s">
        <v>731</v>
      </c>
      <c r="O1353" t="s">
        <v>36</v>
      </c>
      <c r="Q1353" t="s">
        <v>62</v>
      </c>
      <c r="R1353" t="s">
        <v>955</v>
      </c>
      <c r="S1353" t="s">
        <v>956</v>
      </c>
      <c r="T1353" t="s">
        <v>47</v>
      </c>
      <c r="U1353" t="s">
        <v>363</v>
      </c>
      <c r="V1353" t="s">
        <v>49</v>
      </c>
      <c r="W1353" t="s">
        <v>911</v>
      </c>
      <c r="X1353" t="s">
        <v>51</v>
      </c>
      <c r="Y1353" t="s">
        <v>1106</v>
      </c>
      <c r="Z1353" t="s">
        <v>1106</v>
      </c>
      <c r="AA1353" t="s">
        <v>1124</v>
      </c>
      <c r="AB1353" s="3">
        <f t="shared" si="173"/>
        <v>1</v>
      </c>
      <c r="AC1353">
        <v>444.23</v>
      </c>
      <c r="AD1353" s="2">
        <v>444.23</v>
      </c>
      <c r="AE1353" s="2">
        <v>31.84</v>
      </c>
      <c r="AF1353" s="2">
        <v>2.87</v>
      </c>
      <c r="AG1353" s="2">
        <v>478.94</v>
      </c>
      <c r="AH1353">
        <v>0</v>
      </c>
      <c r="AI1353">
        <v>478.94</v>
      </c>
      <c r="AJ1353">
        <v>2.3946999999999998</v>
      </c>
      <c r="AK1353" t="s">
        <v>54</v>
      </c>
      <c r="AL1353">
        <v>3.74</v>
      </c>
      <c r="AM1353" s="4">
        <f t="shared" si="174"/>
        <v>478.94</v>
      </c>
      <c r="AN1353" s="4">
        <f t="shared" si="175"/>
        <v>832.93125000000009</v>
      </c>
      <c r="AO1353" s="4">
        <f t="shared" si="176"/>
        <v>925.38661875000014</v>
      </c>
      <c r="AP1353" s="4">
        <f t="shared" si="177"/>
        <v>1349.2653318750001</v>
      </c>
      <c r="AQ1353" s="10">
        <f t="shared" si="170"/>
        <v>832.92455400000006</v>
      </c>
      <c r="AR1353" s="10">
        <f t="shared" si="171"/>
        <v>925.46247194940008</v>
      </c>
      <c r="AS1353" s="10">
        <f t="shared" si="172"/>
        <v>1296.6969456672</v>
      </c>
    </row>
    <row r="1354" spans="1:45" x14ac:dyDescent="0.3">
      <c r="A1354">
        <v>2025</v>
      </c>
      <c r="B1354">
        <v>8</v>
      </c>
      <c r="C1354" t="s">
        <v>55</v>
      </c>
      <c r="D1354">
        <v>10</v>
      </c>
      <c r="E1354" t="s">
        <v>36</v>
      </c>
      <c r="F1354" t="s">
        <v>37</v>
      </c>
      <c r="G1354" t="s">
        <v>38</v>
      </c>
      <c r="H1354" t="s">
        <v>83</v>
      </c>
      <c r="I1354" t="s">
        <v>190</v>
      </c>
      <c r="J1354" t="s">
        <v>58</v>
      </c>
      <c r="K1354" t="s">
        <v>59</v>
      </c>
      <c r="L1354" t="s">
        <v>1194</v>
      </c>
      <c r="M1354" t="s">
        <v>1195</v>
      </c>
      <c r="N1354" t="s">
        <v>1196</v>
      </c>
      <c r="O1354" t="s">
        <v>1197</v>
      </c>
      <c r="Q1354" t="s">
        <v>62</v>
      </c>
      <c r="R1354" t="s">
        <v>1198</v>
      </c>
      <c r="S1354" t="s">
        <v>1198</v>
      </c>
      <c r="T1354" t="s">
        <v>47</v>
      </c>
      <c r="U1354" t="s">
        <v>363</v>
      </c>
      <c r="V1354" t="s">
        <v>49</v>
      </c>
      <c r="W1354" t="s">
        <v>911</v>
      </c>
      <c r="X1354" t="s">
        <v>388</v>
      </c>
      <c r="Y1354" t="s">
        <v>1168</v>
      </c>
      <c r="Z1354" t="s">
        <v>1168</v>
      </c>
      <c r="AA1354" t="s">
        <v>1169</v>
      </c>
      <c r="AB1354" s="3">
        <f t="shared" si="173"/>
        <v>2</v>
      </c>
      <c r="AC1354">
        <v>660.6</v>
      </c>
      <c r="AD1354" s="2">
        <v>330.3</v>
      </c>
      <c r="AE1354" s="2">
        <v>58.8</v>
      </c>
      <c r="AF1354" s="2">
        <v>4.63</v>
      </c>
      <c r="AG1354" s="2">
        <v>723.31</v>
      </c>
      <c r="AH1354">
        <v>0</v>
      </c>
      <c r="AI1354">
        <v>361.65499999999997</v>
      </c>
      <c r="AJ1354">
        <v>3.6165500000000002</v>
      </c>
      <c r="AK1354" t="s">
        <v>54</v>
      </c>
      <c r="AL1354">
        <v>4.3499999999999996</v>
      </c>
      <c r="AM1354" s="4">
        <f t="shared" si="174"/>
        <v>361.65499999999997</v>
      </c>
      <c r="AN1354" s="4">
        <f t="shared" si="175"/>
        <v>619.3125</v>
      </c>
      <c r="AO1354" s="4">
        <f t="shared" si="176"/>
        <v>688.05618749999996</v>
      </c>
      <c r="AP1354" s="4">
        <f t="shared" si="177"/>
        <v>1003.22431875</v>
      </c>
      <c r="AQ1354" s="10">
        <f t="shared" si="170"/>
        <v>628.95421049999993</v>
      </c>
      <c r="AR1354" s="10">
        <f t="shared" si="171"/>
        <v>698.83102328654991</v>
      </c>
      <c r="AS1354" s="10">
        <f t="shared" si="172"/>
        <v>979.15591490639986</v>
      </c>
    </row>
    <row r="1355" spans="1:45" x14ac:dyDescent="0.3">
      <c r="A1355">
        <v>2025</v>
      </c>
      <c r="B1355">
        <v>7</v>
      </c>
      <c r="C1355" t="s">
        <v>55</v>
      </c>
      <c r="D1355">
        <v>10</v>
      </c>
      <c r="E1355" t="s">
        <v>36</v>
      </c>
      <c r="F1355" t="s">
        <v>37</v>
      </c>
      <c r="G1355" t="s">
        <v>38</v>
      </c>
      <c r="H1355" t="s">
        <v>83</v>
      </c>
      <c r="I1355" t="s">
        <v>190</v>
      </c>
      <c r="J1355" t="s">
        <v>58</v>
      </c>
      <c r="K1355" t="s">
        <v>41</v>
      </c>
      <c r="L1355" t="s">
        <v>953</v>
      </c>
      <c r="M1355" t="s">
        <v>954</v>
      </c>
      <c r="N1355" t="s">
        <v>731</v>
      </c>
      <c r="O1355" t="s">
        <v>36</v>
      </c>
      <c r="Q1355" t="s">
        <v>62</v>
      </c>
      <c r="R1355" t="s">
        <v>955</v>
      </c>
      <c r="S1355" t="s">
        <v>956</v>
      </c>
      <c r="T1355" t="s">
        <v>47</v>
      </c>
      <c r="U1355" t="s">
        <v>247</v>
      </c>
      <c r="V1355" t="s">
        <v>49</v>
      </c>
      <c r="W1355" t="s">
        <v>248</v>
      </c>
      <c r="X1355" t="s">
        <v>51</v>
      </c>
      <c r="Y1355" t="s">
        <v>1168</v>
      </c>
      <c r="Z1355" t="s">
        <v>1168</v>
      </c>
      <c r="AA1355" t="s">
        <v>1169</v>
      </c>
      <c r="AB1355" s="3">
        <f t="shared" si="173"/>
        <v>1</v>
      </c>
      <c r="AC1355">
        <v>355.46</v>
      </c>
      <c r="AD1355" s="2">
        <v>355.46</v>
      </c>
      <c r="AE1355" s="2">
        <v>25.47</v>
      </c>
      <c r="AF1355" s="2">
        <v>2.2999999999999998</v>
      </c>
      <c r="AG1355" s="2">
        <v>383.23</v>
      </c>
      <c r="AH1355">
        <v>0</v>
      </c>
      <c r="AI1355">
        <v>383.23</v>
      </c>
      <c r="AJ1355">
        <v>1.91615</v>
      </c>
      <c r="AK1355" t="s">
        <v>54</v>
      </c>
      <c r="AL1355">
        <v>2.99</v>
      </c>
      <c r="AM1355" s="4">
        <f t="shared" si="174"/>
        <v>383.23</v>
      </c>
      <c r="AN1355" s="4">
        <f t="shared" si="175"/>
        <v>666.48749999999995</v>
      </c>
      <c r="AO1355" s="4">
        <f t="shared" si="176"/>
        <v>740.46761249999997</v>
      </c>
      <c r="AP1355" s="4">
        <f t="shared" si="177"/>
        <v>1079.6431012499997</v>
      </c>
      <c r="AQ1355" s="10">
        <f t="shared" si="170"/>
        <v>666.47529300000008</v>
      </c>
      <c r="AR1355" s="10">
        <f t="shared" si="171"/>
        <v>740.52069805230008</v>
      </c>
      <c r="AS1355" s="10">
        <f t="shared" si="172"/>
        <v>1037.5687361424</v>
      </c>
    </row>
    <row r="1356" spans="1:45" x14ac:dyDescent="0.3">
      <c r="A1356">
        <v>2025</v>
      </c>
      <c r="B1356">
        <v>8</v>
      </c>
      <c r="C1356" t="s">
        <v>55</v>
      </c>
      <c r="D1356">
        <v>10</v>
      </c>
      <c r="E1356" t="s">
        <v>36</v>
      </c>
      <c r="F1356" t="s">
        <v>37</v>
      </c>
      <c r="G1356" t="s">
        <v>38</v>
      </c>
      <c r="H1356" t="s">
        <v>83</v>
      </c>
      <c r="I1356" t="s">
        <v>190</v>
      </c>
      <c r="J1356" t="s">
        <v>58</v>
      </c>
      <c r="K1356" t="s">
        <v>59</v>
      </c>
      <c r="L1356" t="s">
        <v>1194</v>
      </c>
      <c r="M1356" t="s">
        <v>1195</v>
      </c>
      <c r="N1356" t="s">
        <v>1196</v>
      </c>
      <c r="O1356" t="s">
        <v>1197</v>
      </c>
      <c r="Q1356" t="s">
        <v>62</v>
      </c>
      <c r="R1356" t="s">
        <v>1198</v>
      </c>
      <c r="S1356" t="s">
        <v>1198</v>
      </c>
      <c r="T1356" t="s">
        <v>47</v>
      </c>
      <c r="U1356" t="s">
        <v>105</v>
      </c>
      <c r="V1356" t="s">
        <v>49</v>
      </c>
      <c r="W1356" t="s">
        <v>708</v>
      </c>
      <c r="X1356" t="s">
        <v>388</v>
      </c>
      <c r="Y1356" t="s">
        <v>1026</v>
      </c>
      <c r="Z1356" t="s">
        <v>1026</v>
      </c>
      <c r="AA1356" t="s">
        <v>1027</v>
      </c>
      <c r="AB1356" s="3">
        <f t="shared" si="173"/>
        <v>4.3099999999999925</v>
      </c>
      <c r="AC1356">
        <v>89.12</v>
      </c>
      <c r="AD1356" s="2">
        <v>20.677494199536</v>
      </c>
      <c r="AE1356" s="2">
        <v>58.8</v>
      </c>
      <c r="AF1356" s="2">
        <v>0.57999999999999996</v>
      </c>
      <c r="AG1356" s="2">
        <v>147.78</v>
      </c>
      <c r="AH1356">
        <v>0</v>
      </c>
      <c r="AI1356">
        <v>34.287703016240997</v>
      </c>
      <c r="AJ1356">
        <v>0.7389</v>
      </c>
      <c r="AK1356" t="s">
        <v>54</v>
      </c>
      <c r="AL1356">
        <v>4.3499999999999996</v>
      </c>
      <c r="AM1356" s="4">
        <f t="shared" si="174"/>
        <v>34.287703016241359</v>
      </c>
      <c r="AN1356" s="4">
        <f t="shared" si="175"/>
        <v>38.770301624129999</v>
      </c>
      <c r="AO1356" s="4">
        <f t="shared" si="176"/>
        <v>43.073805104408429</v>
      </c>
      <c r="AP1356" s="4">
        <f t="shared" si="177"/>
        <v>62.804011600928185</v>
      </c>
      <c r="AQ1356" s="10">
        <f t="shared" si="170"/>
        <v>59.629744315545352</v>
      </c>
      <c r="AR1356" s="10">
        <f t="shared" si="171"/>
        <v>66.254608909002442</v>
      </c>
      <c r="AS1356" s="10">
        <f t="shared" si="172"/>
        <v>92.831585950440996</v>
      </c>
    </row>
    <row r="1357" spans="1:45" x14ac:dyDescent="0.3">
      <c r="A1357">
        <v>2025</v>
      </c>
      <c r="B1357">
        <v>8</v>
      </c>
      <c r="C1357" t="s">
        <v>55</v>
      </c>
      <c r="D1357">
        <v>10</v>
      </c>
      <c r="E1357" t="s">
        <v>36</v>
      </c>
      <c r="F1357" t="s">
        <v>37</v>
      </c>
      <c r="G1357" t="s">
        <v>38</v>
      </c>
      <c r="H1357" t="s">
        <v>83</v>
      </c>
      <c r="I1357" t="s">
        <v>190</v>
      </c>
      <c r="J1357" t="s">
        <v>58</v>
      </c>
      <c r="K1357" t="s">
        <v>59</v>
      </c>
      <c r="L1357" t="s">
        <v>1194</v>
      </c>
      <c r="M1357" t="s">
        <v>1195</v>
      </c>
      <c r="N1357" t="s">
        <v>1196</v>
      </c>
      <c r="O1357" t="s">
        <v>1197</v>
      </c>
      <c r="Q1357" t="s">
        <v>62</v>
      </c>
      <c r="R1357" t="s">
        <v>1198</v>
      </c>
      <c r="S1357" t="s">
        <v>1198</v>
      </c>
      <c r="T1357" t="s">
        <v>47</v>
      </c>
      <c r="U1357" t="s">
        <v>105</v>
      </c>
      <c r="V1357" t="s">
        <v>49</v>
      </c>
      <c r="W1357" t="s">
        <v>708</v>
      </c>
      <c r="X1357" t="s">
        <v>388</v>
      </c>
      <c r="Y1357" t="s">
        <v>1312</v>
      </c>
      <c r="Z1357" t="s">
        <v>1312</v>
      </c>
      <c r="AA1357" t="s">
        <v>1027</v>
      </c>
      <c r="AB1357" s="3">
        <f t="shared" si="173"/>
        <v>2</v>
      </c>
      <c r="AC1357">
        <v>89.3</v>
      </c>
      <c r="AD1357" s="2">
        <v>44.65</v>
      </c>
      <c r="AE1357" s="2">
        <v>6.4</v>
      </c>
      <c r="AF1357" s="2">
        <v>0.57999999999999996</v>
      </c>
      <c r="AG1357" s="2">
        <v>96.28</v>
      </c>
      <c r="AH1357">
        <v>0</v>
      </c>
      <c r="AI1357">
        <v>48.14</v>
      </c>
      <c r="AJ1357">
        <v>0.48139999999999999</v>
      </c>
      <c r="AK1357" t="s">
        <v>54</v>
      </c>
      <c r="AL1357">
        <v>0.75</v>
      </c>
      <c r="AM1357" s="4">
        <f t="shared" si="174"/>
        <v>48.14</v>
      </c>
      <c r="AN1357" s="4">
        <f t="shared" si="175"/>
        <v>83.71875</v>
      </c>
      <c r="AO1357" s="4">
        <f t="shared" si="176"/>
        <v>93.011531250000004</v>
      </c>
      <c r="AP1357" s="4">
        <f t="shared" si="177"/>
        <v>135.61600312499999</v>
      </c>
      <c r="AQ1357" s="10">
        <f t="shared" si="170"/>
        <v>83.720274000000003</v>
      </c>
      <c r="AR1357" s="10">
        <f t="shared" si="171"/>
        <v>93.021596441400007</v>
      </c>
      <c r="AS1357" s="10">
        <f t="shared" si="172"/>
        <v>130.33572256319999</v>
      </c>
    </row>
    <row r="1358" spans="1:45" x14ac:dyDescent="0.3">
      <c r="A1358">
        <v>2025</v>
      </c>
      <c r="B1358">
        <v>7</v>
      </c>
      <c r="C1358" t="s">
        <v>55</v>
      </c>
      <c r="D1358">
        <v>10</v>
      </c>
      <c r="E1358" t="s">
        <v>36</v>
      </c>
      <c r="F1358" t="s">
        <v>37</v>
      </c>
      <c r="G1358" t="s">
        <v>38</v>
      </c>
      <c r="H1358" t="s">
        <v>83</v>
      </c>
      <c r="I1358" t="s">
        <v>190</v>
      </c>
      <c r="J1358" t="s">
        <v>58</v>
      </c>
      <c r="K1358" t="s">
        <v>41</v>
      </c>
      <c r="L1358" t="s">
        <v>953</v>
      </c>
      <c r="M1358" t="s">
        <v>954</v>
      </c>
      <c r="N1358" t="s">
        <v>731</v>
      </c>
      <c r="O1358" t="s">
        <v>36</v>
      </c>
      <c r="Q1358" t="s">
        <v>62</v>
      </c>
      <c r="R1358" t="s">
        <v>955</v>
      </c>
      <c r="S1358" t="s">
        <v>956</v>
      </c>
      <c r="T1358" t="s">
        <v>47</v>
      </c>
      <c r="U1358" t="s">
        <v>157</v>
      </c>
      <c r="V1358" t="s">
        <v>49</v>
      </c>
      <c r="W1358" t="s">
        <v>158</v>
      </c>
      <c r="X1358" t="s">
        <v>51</v>
      </c>
      <c r="Y1358" t="s">
        <v>1312</v>
      </c>
      <c r="Z1358" t="s">
        <v>1312</v>
      </c>
      <c r="AA1358" t="s">
        <v>1027</v>
      </c>
      <c r="AB1358" s="3">
        <f t="shared" si="173"/>
        <v>1</v>
      </c>
      <c r="AC1358">
        <v>44.65</v>
      </c>
      <c r="AD1358" s="2">
        <v>44.65</v>
      </c>
      <c r="AE1358" s="2">
        <v>3.2</v>
      </c>
      <c r="AF1358" s="2">
        <v>0.28999999999999998</v>
      </c>
      <c r="AG1358" s="2">
        <v>48.14</v>
      </c>
      <c r="AH1358">
        <v>0</v>
      </c>
      <c r="AI1358">
        <v>48.14</v>
      </c>
      <c r="AJ1358">
        <v>0.2407</v>
      </c>
      <c r="AK1358" t="s">
        <v>54</v>
      </c>
      <c r="AL1358">
        <v>0.38</v>
      </c>
      <c r="AM1358" s="4">
        <f t="shared" si="174"/>
        <v>48.14</v>
      </c>
      <c r="AN1358" s="4">
        <f t="shared" si="175"/>
        <v>83.71875</v>
      </c>
      <c r="AO1358" s="4">
        <f t="shared" si="176"/>
        <v>93.011531250000004</v>
      </c>
      <c r="AP1358" s="4">
        <f t="shared" si="177"/>
        <v>135.61600312499999</v>
      </c>
      <c r="AQ1358" s="10">
        <f t="shared" si="170"/>
        <v>83.720274000000003</v>
      </c>
      <c r="AR1358" s="10">
        <f t="shared" si="171"/>
        <v>93.021596441400007</v>
      </c>
      <c r="AS1358" s="10">
        <f t="shared" si="172"/>
        <v>130.33572256319999</v>
      </c>
    </row>
    <row r="1359" spans="1:45" x14ac:dyDescent="0.3">
      <c r="A1359">
        <v>2025</v>
      </c>
      <c r="B1359">
        <v>8</v>
      </c>
      <c r="C1359" t="s">
        <v>55</v>
      </c>
      <c r="D1359">
        <v>10</v>
      </c>
      <c r="E1359" t="s">
        <v>36</v>
      </c>
      <c r="F1359" t="s">
        <v>37</v>
      </c>
      <c r="G1359" t="s">
        <v>38</v>
      </c>
      <c r="H1359" t="s">
        <v>83</v>
      </c>
      <c r="I1359" t="s">
        <v>190</v>
      </c>
      <c r="J1359" t="s">
        <v>58</v>
      </c>
      <c r="K1359" t="s">
        <v>59</v>
      </c>
      <c r="L1359" t="s">
        <v>1194</v>
      </c>
      <c r="M1359" t="s">
        <v>1195</v>
      </c>
      <c r="N1359" t="s">
        <v>1196</v>
      </c>
      <c r="O1359" t="s">
        <v>1197</v>
      </c>
      <c r="Q1359" t="s">
        <v>62</v>
      </c>
      <c r="R1359" t="s">
        <v>1198</v>
      </c>
      <c r="S1359" t="s">
        <v>1198</v>
      </c>
      <c r="T1359" t="s">
        <v>47</v>
      </c>
      <c r="U1359" t="s">
        <v>157</v>
      </c>
      <c r="V1359" t="s">
        <v>49</v>
      </c>
      <c r="W1359" t="s">
        <v>158</v>
      </c>
      <c r="X1359" t="s">
        <v>388</v>
      </c>
      <c r="Y1359" t="s">
        <v>1114</v>
      </c>
      <c r="Z1359" t="s">
        <v>1114</v>
      </c>
      <c r="AA1359" t="s">
        <v>1115</v>
      </c>
      <c r="AB1359" s="3">
        <f t="shared" si="173"/>
        <v>2</v>
      </c>
      <c r="AC1359">
        <v>291.48</v>
      </c>
      <c r="AD1359" s="2">
        <v>145.74</v>
      </c>
      <c r="AE1359" s="2">
        <v>58.8</v>
      </c>
      <c r="AF1359" s="2">
        <v>2.2000000000000002</v>
      </c>
      <c r="AG1359" s="2">
        <v>351.58</v>
      </c>
      <c r="AH1359">
        <v>0</v>
      </c>
      <c r="AI1359">
        <v>175.79</v>
      </c>
      <c r="AJ1359">
        <v>1.7579</v>
      </c>
      <c r="AK1359" t="s">
        <v>54</v>
      </c>
      <c r="AL1359">
        <v>4.3499999999999996</v>
      </c>
      <c r="AM1359" s="4">
        <f t="shared" si="174"/>
        <v>175.79</v>
      </c>
      <c r="AN1359" s="4">
        <f t="shared" si="175"/>
        <v>273.26250000000005</v>
      </c>
      <c r="AO1359" s="4">
        <f t="shared" si="176"/>
        <v>303.59463750000003</v>
      </c>
      <c r="AP1359" s="4">
        <f t="shared" si="177"/>
        <v>442.65792375000007</v>
      </c>
      <c r="AQ1359" s="10">
        <f t="shared" si="170"/>
        <v>305.71638899999999</v>
      </c>
      <c r="AR1359" s="10">
        <f t="shared" si="171"/>
        <v>339.68147981789997</v>
      </c>
      <c r="AS1359" s="10">
        <f t="shared" si="172"/>
        <v>475.93927439519996</v>
      </c>
    </row>
    <row r="1360" spans="1:45" x14ac:dyDescent="0.3">
      <c r="A1360">
        <v>2025</v>
      </c>
      <c r="B1360">
        <v>8</v>
      </c>
      <c r="C1360" t="s">
        <v>55</v>
      </c>
      <c r="D1360">
        <v>10</v>
      </c>
      <c r="E1360" t="s">
        <v>36</v>
      </c>
      <c r="F1360" t="s">
        <v>37</v>
      </c>
      <c r="G1360" t="s">
        <v>38</v>
      </c>
      <c r="H1360" t="s">
        <v>83</v>
      </c>
      <c r="I1360" t="s">
        <v>190</v>
      </c>
      <c r="J1360" t="s">
        <v>58</v>
      </c>
      <c r="K1360" t="s">
        <v>59</v>
      </c>
      <c r="L1360" t="s">
        <v>1194</v>
      </c>
      <c r="M1360" t="s">
        <v>1195</v>
      </c>
      <c r="N1360" t="s">
        <v>1196</v>
      </c>
      <c r="O1360" t="s">
        <v>1197</v>
      </c>
      <c r="Q1360" t="s">
        <v>62</v>
      </c>
      <c r="R1360" t="s">
        <v>1198</v>
      </c>
      <c r="S1360" t="s">
        <v>1198</v>
      </c>
      <c r="T1360" t="s">
        <v>47</v>
      </c>
      <c r="U1360" t="s">
        <v>356</v>
      </c>
      <c r="V1360" t="s">
        <v>49</v>
      </c>
      <c r="W1360" t="s">
        <v>357</v>
      </c>
      <c r="X1360" t="s">
        <v>388</v>
      </c>
      <c r="Y1360" t="s">
        <v>1114</v>
      </c>
      <c r="Z1360" t="s">
        <v>1114</v>
      </c>
      <c r="AA1360" t="s">
        <v>1115</v>
      </c>
      <c r="AB1360" s="3">
        <f t="shared" si="173"/>
        <v>1</v>
      </c>
      <c r="AC1360">
        <v>154.71</v>
      </c>
      <c r="AD1360" s="2">
        <v>154.71</v>
      </c>
      <c r="AE1360" s="2">
        <v>11.9</v>
      </c>
      <c r="AF1360" s="2">
        <v>1</v>
      </c>
      <c r="AG1360" s="2">
        <v>166.8</v>
      </c>
      <c r="AH1360">
        <v>0</v>
      </c>
      <c r="AI1360">
        <v>166.8</v>
      </c>
      <c r="AJ1360">
        <v>0.83399999999999996</v>
      </c>
      <c r="AK1360" t="s">
        <v>54</v>
      </c>
      <c r="AL1360">
        <v>1.3</v>
      </c>
      <c r="AM1360" s="4">
        <f t="shared" si="174"/>
        <v>166.8</v>
      </c>
      <c r="AN1360" s="4">
        <f t="shared" si="175"/>
        <v>290.08125000000001</v>
      </c>
      <c r="AO1360" s="4">
        <f t="shared" si="176"/>
        <v>322.28026875</v>
      </c>
      <c r="AP1360" s="4">
        <f t="shared" si="177"/>
        <v>469.90261687499998</v>
      </c>
      <c r="AQ1360" s="10">
        <f t="shared" si="170"/>
        <v>290.08188000000001</v>
      </c>
      <c r="AR1360" s="10">
        <f t="shared" si="171"/>
        <v>322.30997686800004</v>
      </c>
      <c r="AS1360" s="10">
        <f t="shared" si="172"/>
        <v>451.599470784</v>
      </c>
    </row>
    <row r="1361" spans="1:45" x14ac:dyDescent="0.3">
      <c r="A1361">
        <v>2025</v>
      </c>
      <c r="B1361">
        <v>6</v>
      </c>
      <c r="C1361" t="s">
        <v>55</v>
      </c>
      <c r="D1361">
        <v>10</v>
      </c>
      <c r="E1361" t="s">
        <v>36</v>
      </c>
      <c r="F1361" t="s">
        <v>37</v>
      </c>
      <c r="G1361" t="s">
        <v>38</v>
      </c>
      <c r="H1361" t="s">
        <v>56</v>
      </c>
      <c r="I1361" t="s">
        <v>190</v>
      </c>
      <c r="J1361" t="s">
        <v>58</v>
      </c>
      <c r="K1361" t="s">
        <v>59</v>
      </c>
      <c r="M1361" t="s">
        <v>730</v>
      </c>
      <c r="N1361" t="s">
        <v>731</v>
      </c>
      <c r="O1361" t="s">
        <v>36</v>
      </c>
      <c r="Q1361" t="s">
        <v>62</v>
      </c>
      <c r="R1361" t="s">
        <v>732</v>
      </c>
      <c r="S1361" t="s">
        <v>732</v>
      </c>
      <c r="T1361" t="s">
        <v>47</v>
      </c>
      <c r="U1361" t="s">
        <v>48</v>
      </c>
      <c r="V1361" t="s">
        <v>49</v>
      </c>
      <c r="W1361" t="s">
        <v>674</v>
      </c>
      <c r="X1361" t="s">
        <v>686</v>
      </c>
      <c r="Y1361" t="s">
        <v>1427</v>
      </c>
      <c r="Z1361" t="s">
        <v>1427</v>
      </c>
      <c r="AA1361" t="s">
        <v>1428</v>
      </c>
      <c r="AB1361" s="3">
        <f t="shared" si="173"/>
        <v>2</v>
      </c>
      <c r="AC1361">
        <v>1478.77</v>
      </c>
      <c r="AD1361" s="2">
        <v>739.38499999999999</v>
      </c>
      <c r="AE1361" s="2">
        <v>105.97</v>
      </c>
      <c r="AF1361" s="2">
        <v>9.57</v>
      </c>
      <c r="AG1361" s="2">
        <v>1594.31</v>
      </c>
      <c r="AH1361">
        <v>0</v>
      </c>
      <c r="AI1361">
        <v>797.15499999999997</v>
      </c>
      <c r="AJ1361">
        <v>7.9715499999999997</v>
      </c>
      <c r="AK1361" t="s">
        <v>54</v>
      </c>
      <c r="AL1361">
        <v>12.45</v>
      </c>
      <c r="AM1361" s="4">
        <f t="shared" si="174"/>
        <v>797.15499999999997</v>
      </c>
      <c r="AN1361" s="4">
        <f t="shared" si="175"/>
        <v>1386.346875</v>
      </c>
      <c r="AO1361" s="4">
        <f t="shared" si="176"/>
        <v>1540.231378125</v>
      </c>
      <c r="AP1361" s="4">
        <f t="shared" si="177"/>
        <v>2245.7433028124997</v>
      </c>
      <c r="AQ1361" s="10">
        <f t="shared" si="170"/>
        <v>1386.3322605000001</v>
      </c>
      <c r="AR1361" s="10">
        <f t="shared" si="171"/>
        <v>1540.35377464155</v>
      </c>
      <c r="AS1361" s="10">
        <f t="shared" si="172"/>
        <v>2158.2420631464001</v>
      </c>
    </row>
    <row r="1362" spans="1:45" x14ac:dyDescent="0.3">
      <c r="A1362">
        <v>2025</v>
      </c>
      <c r="B1362">
        <v>1</v>
      </c>
      <c r="C1362" t="s">
        <v>35</v>
      </c>
      <c r="D1362">
        <v>10</v>
      </c>
      <c r="E1362" t="s">
        <v>36</v>
      </c>
      <c r="F1362" t="s">
        <v>37</v>
      </c>
      <c r="G1362" t="s">
        <v>38</v>
      </c>
      <c r="H1362" t="s">
        <v>39</v>
      </c>
      <c r="J1362" t="s">
        <v>40</v>
      </c>
      <c r="K1362" t="s">
        <v>41</v>
      </c>
      <c r="M1362">
        <v>431845</v>
      </c>
      <c r="N1362" t="s">
        <v>42</v>
      </c>
      <c r="O1362" t="s">
        <v>43</v>
      </c>
      <c r="Q1362" t="s">
        <v>44</v>
      </c>
      <c r="R1362" t="s">
        <v>45</v>
      </c>
      <c r="S1362" t="s">
        <v>46</v>
      </c>
      <c r="T1362" t="s">
        <v>47</v>
      </c>
      <c r="U1362" t="s">
        <v>48</v>
      </c>
      <c r="V1362" t="s">
        <v>49</v>
      </c>
      <c r="W1362" t="s">
        <v>50</v>
      </c>
      <c r="X1362" t="s">
        <v>51</v>
      </c>
      <c r="Y1362" t="s">
        <v>733</v>
      </c>
      <c r="Z1362" t="s">
        <v>733</v>
      </c>
      <c r="AA1362" t="s">
        <v>734</v>
      </c>
      <c r="AB1362" s="3">
        <f t="shared" si="173"/>
        <v>3.0000000000000426</v>
      </c>
      <c r="AC1362">
        <v>69.849999999999994</v>
      </c>
      <c r="AD1362" s="2">
        <v>23.283333333333001</v>
      </c>
      <c r="AE1362" s="2">
        <v>14.77</v>
      </c>
      <c r="AF1362" s="2">
        <v>0.52</v>
      </c>
      <c r="AG1362" s="2">
        <v>85.13</v>
      </c>
      <c r="AH1362">
        <v>0</v>
      </c>
      <c r="AI1362">
        <v>28.376666666666999</v>
      </c>
      <c r="AJ1362">
        <v>0.42564999999999997</v>
      </c>
      <c r="AK1362" t="s">
        <v>54</v>
      </c>
      <c r="AL1362">
        <v>0.51</v>
      </c>
      <c r="AM1362" s="4">
        <f t="shared" si="174"/>
        <v>28.37666666666626</v>
      </c>
      <c r="AN1362" s="4">
        <f t="shared" si="175"/>
        <v>43.656249999999375</v>
      </c>
      <c r="AO1362" s="4">
        <f t="shared" si="176"/>
        <v>48.502093749999304</v>
      </c>
      <c r="AP1362" s="4">
        <f t="shared" si="177"/>
        <v>70.718759374998982</v>
      </c>
      <c r="AQ1362" s="10">
        <f t="shared" si="170"/>
        <v>49.349860999999294</v>
      </c>
      <c r="AR1362" s="10">
        <f t="shared" si="171"/>
        <v>54.832630557099215</v>
      </c>
      <c r="AS1362" s="10">
        <f t="shared" si="172"/>
        <v>76.827863604798893</v>
      </c>
    </row>
    <row r="1363" spans="1:45" x14ac:dyDescent="0.3">
      <c r="A1363">
        <v>2025</v>
      </c>
      <c r="B1363">
        <v>7</v>
      </c>
      <c r="C1363" t="s">
        <v>35</v>
      </c>
      <c r="D1363">
        <v>10</v>
      </c>
      <c r="E1363" t="s">
        <v>36</v>
      </c>
      <c r="F1363" t="s">
        <v>37</v>
      </c>
      <c r="G1363" t="s">
        <v>38</v>
      </c>
      <c r="H1363" t="s">
        <v>39</v>
      </c>
      <c r="I1363" t="s">
        <v>190</v>
      </c>
      <c r="J1363" t="s">
        <v>40</v>
      </c>
      <c r="K1363" t="s">
        <v>59</v>
      </c>
      <c r="L1363" t="s">
        <v>961</v>
      </c>
      <c r="M1363">
        <v>448168</v>
      </c>
      <c r="N1363" t="s">
        <v>42</v>
      </c>
      <c r="O1363" t="s">
        <v>36</v>
      </c>
      <c r="P1363" t="s">
        <v>191</v>
      </c>
      <c r="Q1363" t="s">
        <v>44</v>
      </c>
      <c r="R1363" t="s">
        <v>962</v>
      </c>
      <c r="S1363" t="s">
        <v>963</v>
      </c>
      <c r="T1363" t="s">
        <v>47</v>
      </c>
      <c r="U1363" t="s">
        <v>48</v>
      </c>
      <c r="V1363" t="s">
        <v>49</v>
      </c>
      <c r="W1363" t="s">
        <v>674</v>
      </c>
      <c r="X1363" t="s">
        <v>51</v>
      </c>
      <c r="Y1363" t="s">
        <v>52</v>
      </c>
      <c r="Z1363" t="s">
        <v>52</v>
      </c>
      <c r="AA1363" t="s">
        <v>53</v>
      </c>
      <c r="AB1363" s="3">
        <f t="shared" si="173"/>
        <v>1</v>
      </c>
      <c r="AC1363">
        <v>2421.39</v>
      </c>
      <c r="AD1363" s="2">
        <v>2421.39</v>
      </c>
      <c r="AE1363" s="2">
        <v>115.17</v>
      </c>
      <c r="AF1363" s="2">
        <v>15.84</v>
      </c>
      <c r="AG1363" s="2">
        <v>2552.4</v>
      </c>
      <c r="AH1363">
        <v>0</v>
      </c>
      <c r="AI1363">
        <v>2552.4</v>
      </c>
      <c r="AJ1363">
        <v>12.762</v>
      </c>
      <c r="AK1363" t="s">
        <v>54</v>
      </c>
      <c r="AL1363">
        <v>229.49</v>
      </c>
      <c r="AM1363" s="4">
        <f t="shared" si="174"/>
        <v>2552.4</v>
      </c>
      <c r="AN1363" s="4">
        <f t="shared" si="175"/>
        <v>4540.1062499999998</v>
      </c>
      <c r="AO1363" s="4">
        <f t="shared" si="176"/>
        <v>5044.0580437499993</v>
      </c>
      <c r="AP1363" s="4">
        <f t="shared" si="177"/>
        <v>7354.5181143749996</v>
      </c>
      <c r="AQ1363" s="10">
        <f t="shared" si="170"/>
        <v>4438.8788400000003</v>
      </c>
      <c r="AR1363" s="10">
        <f t="shared" si="171"/>
        <v>4932.0382791239999</v>
      </c>
      <c r="AS1363" s="10">
        <f t="shared" si="172"/>
        <v>6910.4465781120007</v>
      </c>
    </row>
    <row r="1364" spans="1:45" x14ac:dyDescent="0.3">
      <c r="A1364">
        <v>2025</v>
      </c>
      <c r="B1364">
        <v>7</v>
      </c>
      <c r="C1364" t="s">
        <v>35</v>
      </c>
      <c r="D1364">
        <v>10</v>
      </c>
      <c r="E1364" t="s">
        <v>36</v>
      </c>
      <c r="F1364" t="s">
        <v>37</v>
      </c>
      <c r="G1364" t="s">
        <v>38</v>
      </c>
      <c r="H1364" t="s">
        <v>39</v>
      </c>
      <c r="I1364" t="s">
        <v>190</v>
      </c>
      <c r="J1364" t="s">
        <v>40</v>
      </c>
      <c r="K1364" t="s">
        <v>59</v>
      </c>
      <c r="L1364" t="s">
        <v>961</v>
      </c>
      <c r="M1364">
        <v>448168</v>
      </c>
      <c r="N1364" t="s">
        <v>42</v>
      </c>
      <c r="O1364" t="s">
        <v>36</v>
      </c>
      <c r="P1364" t="s">
        <v>191</v>
      </c>
      <c r="Q1364" t="s">
        <v>44</v>
      </c>
      <c r="R1364" t="s">
        <v>962</v>
      </c>
      <c r="S1364" t="s">
        <v>963</v>
      </c>
      <c r="T1364" t="s">
        <v>47</v>
      </c>
      <c r="U1364" t="s">
        <v>48</v>
      </c>
      <c r="V1364" t="s">
        <v>49</v>
      </c>
      <c r="W1364" t="s">
        <v>674</v>
      </c>
      <c r="X1364" t="s">
        <v>51</v>
      </c>
      <c r="Y1364" t="s">
        <v>675</v>
      </c>
      <c r="Z1364" t="s">
        <v>675</v>
      </c>
      <c r="AA1364" t="s">
        <v>53</v>
      </c>
      <c r="AB1364" s="3">
        <f t="shared" si="173"/>
        <v>1</v>
      </c>
      <c r="AC1364">
        <v>2500.1</v>
      </c>
      <c r="AD1364" s="2">
        <v>2500.1</v>
      </c>
      <c r="AE1364" s="2">
        <v>140.63</v>
      </c>
      <c r="AF1364" s="2">
        <v>16.57</v>
      </c>
      <c r="AG1364" s="2">
        <v>2657.3</v>
      </c>
      <c r="AH1364">
        <v>0</v>
      </c>
      <c r="AI1364">
        <v>2657.3</v>
      </c>
      <c r="AJ1364">
        <v>13.2865</v>
      </c>
      <c r="AK1364" t="s">
        <v>54</v>
      </c>
      <c r="AL1364">
        <v>21.93</v>
      </c>
      <c r="AM1364" s="4">
        <f t="shared" si="174"/>
        <v>2657.3</v>
      </c>
      <c r="AN1364" s="4">
        <f t="shared" si="175"/>
        <v>4687.6875</v>
      </c>
      <c r="AO1364" s="4">
        <f t="shared" si="176"/>
        <v>5208.0208124999999</v>
      </c>
      <c r="AP1364" s="4">
        <f t="shared" si="177"/>
        <v>7593.5849812499991</v>
      </c>
      <c r="AQ1364" s="10">
        <f t="shared" si="170"/>
        <v>4621.3104300000005</v>
      </c>
      <c r="AR1364" s="10">
        <f t="shared" si="171"/>
        <v>5134.7380187730005</v>
      </c>
      <c r="AS1364" s="10">
        <f t="shared" si="172"/>
        <v>7194.4560774240008</v>
      </c>
    </row>
    <row r="1365" spans="1:45" x14ac:dyDescent="0.3">
      <c r="A1365">
        <v>2025</v>
      </c>
      <c r="B1365">
        <v>7</v>
      </c>
      <c r="C1365" t="s">
        <v>35</v>
      </c>
      <c r="D1365">
        <v>10</v>
      </c>
      <c r="E1365" t="s">
        <v>36</v>
      </c>
      <c r="F1365" t="s">
        <v>37</v>
      </c>
      <c r="G1365" t="s">
        <v>38</v>
      </c>
      <c r="H1365" t="s">
        <v>39</v>
      </c>
      <c r="I1365" t="s">
        <v>190</v>
      </c>
      <c r="J1365" t="s">
        <v>40</v>
      </c>
      <c r="K1365" t="s">
        <v>59</v>
      </c>
      <c r="L1365" t="s">
        <v>961</v>
      </c>
      <c r="M1365">
        <v>448168</v>
      </c>
      <c r="N1365" t="s">
        <v>42</v>
      </c>
      <c r="O1365" t="s">
        <v>36</v>
      </c>
      <c r="P1365" t="s">
        <v>191</v>
      </c>
      <c r="Q1365" t="s">
        <v>44</v>
      </c>
      <c r="R1365" t="s">
        <v>962</v>
      </c>
      <c r="S1365" t="s">
        <v>963</v>
      </c>
      <c r="T1365" t="s">
        <v>47</v>
      </c>
      <c r="U1365" t="s">
        <v>48</v>
      </c>
      <c r="V1365" t="s">
        <v>49</v>
      </c>
      <c r="W1365" t="s">
        <v>674</v>
      </c>
      <c r="X1365" t="s">
        <v>51</v>
      </c>
      <c r="Y1365" t="s">
        <v>675</v>
      </c>
      <c r="Z1365" t="s">
        <v>675</v>
      </c>
      <c r="AA1365" t="s">
        <v>53</v>
      </c>
      <c r="AB1365" s="3">
        <f t="shared" si="173"/>
        <v>1</v>
      </c>
      <c r="AC1365">
        <v>2500.1</v>
      </c>
      <c r="AD1365" s="2">
        <v>2500.1</v>
      </c>
      <c r="AE1365" s="2">
        <v>140.63</v>
      </c>
      <c r="AF1365" s="2">
        <v>16.57</v>
      </c>
      <c r="AG1365" s="2">
        <v>2657.3</v>
      </c>
      <c r="AH1365">
        <v>0</v>
      </c>
      <c r="AI1365">
        <v>2657.3</v>
      </c>
      <c r="AJ1365">
        <v>13.2865</v>
      </c>
      <c r="AK1365" t="s">
        <v>54</v>
      </c>
      <c r="AL1365">
        <v>21.93</v>
      </c>
      <c r="AM1365" s="4">
        <f t="shared" si="174"/>
        <v>2657.3</v>
      </c>
      <c r="AN1365" s="4">
        <f t="shared" si="175"/>
        <v>4687.6875</v>
      </c>
      <c r="AO1365" s="4">
        <f t="shared" si="176"/>
        <v>5208.0208124999999</v>
      </c>
      <c r="AP1365" s="4">
        <f t="shared" si="177"/>
        <v>7593.5849812499991</v>
      </c>
      <c r="AQ1365" s="10">
        <f t="shared" si="170"/>
        <v>4621.3104300000005</v>
      </c>
      <c r="AR1365" s="10">
        <f t="shared" si="171"/>
        <v>5134.7380187730005</v>
      </c>
      <c r="AS1365" s="10">
        <f t="shared" si="172"/>
        <v>7194.4560774240008</v>
      </c>
    </row>
    <row r="1366" spans="1:45" x14ac:dyDescent="0.3">
      <c r="A1366">
        <v>2025</v>
      </c>
      <c r="B1366">
        <v>5</v>
      </c>
      <c r="C1366" t="s">
        <v>35</v>
      </c>
      <c r="D1366">
        <v>10</v>
      </c>
      <c r="E1366" t="s">
        <v>36</v>
      </c>
      <c r="F1366" t="s">
        <v>37</v>
      </c>
      <c r="G1366" t="s">
        <v>38</v>
      </c>
      <c r="H1366" t="s">
        <v>39</v>
      </c>
      <c r="I1366" t="s">
        <v>190</v>
      </c>
      <c r="J1366" t="s">
        <v>40</v>
      </c>
      <c r="K1366" t="s">
        <v>59</v>
      </c>
      <c r="M1366">
        <v>442936</v>
      </c>
      <c r="N1366" t="s">
        <v>42</v>
      </c>
      <c r="O1366" t="s">
        <v>36</v>
      </c>
      <c r="P1366" t="s">
        <v>191</v>
      </c>
      <c r="Q1366" t="s">
        <v>44</v>
      </c>
      <c r="R1366" t="s">
        <v>672</v>
      </c>
      <c r="S1366" t="s">
        <v>673</v>
      </c>
      <c r="T1366" t="s">
        <v>47</v>
      </c>
      <c r="U1366" t="s">
        <v>48</v>
      </c>
      <c r="V1366" t="s">
        <v>49</v>
      </c>
      <c r="W1366" t="s">
        <v>674</v>
      </c>
      <c r="X1366" t="s">
        <v>51</v>
      </c>
      <c r="Y1366" t="s">
        <v>675</v>
      </c>
      <c r="Z1366" t="s">
        <v>675</v>
      </c>
      <c r="AA1366" t="s">
        <v>53</v>
      </c>
      <c r="AB1366" s="3">
        <f t="shared" si="173"/>
        <v>1</v>
      </c>
      <c r="AC1366">
        <v>2500.1</v>
      </c>
      <c r="AD1366" s="2">
        <v>2500.1</v>
      </c>
      <c r="AE1366" s="2">
        <v>140.63</v>
      </c>
      <c r="AF1366" s="2">
        <v>16.57</v>
      </c>
      <c r="AG1366" s="2">
        <v>2657.3</v>
      </c>
      <c r="AH1366">
        <v>0</v>
      </c>
      <c r="AI1366">
        <v>2657.3</v>
      </c>
      <c r="AJ1366">
        <v>13.2865</v>
      </c>
      <c r="AK1366" t="s">
        <v>54</v>
      </c>
      <c r="AL1366">
        <v>21.93</v>
      </c>
      <c r="AM1366" s="4">
        <f t="shared" si="174"/>
        <v>2657.3</v>
      </c>
      <c r="AN1366" s="4">
        <f t="shared" si="175"/>
        <v>4687.6875</v>
      </c>
      <c r="AO1366" s="4">
        <f t="shared" si="176"/>
        <v>5208.0208124999999</v>
      </c>
      <c r="AP1366" s="4">
        <f t="shared" si="177"/>
        <v>7593.5849812499991</v>
      </c>
      <c r="AQ1366" s="10">
        <f t="shared" si="170"/>
        <v>4621.3104300000005</v>
      </c>
      <c r="AR1366" s="10">
        <f t="shared" si="171"/>
        <v>5134.7380187730005</v>
      </c>
      <c r="AS1366" s="10">
        <f t="shared" si="172"/>
        <v>7194.4560774240008</v>
      </c>
    </row>
    <row r="1367" spans="1:45" x14ac:dyDescent="0.3">
      <c r="A1367">
        <v>2025</v>
      </c>
      <c r="B1367">
        <v>5</v>
      </c>
      <c r="C1367" t="s">
        <v>35</v>
      </c>
      <c r="D1367">
        <v>10</v>
      </c>
      <c r="E1367" t="s">
        <v>36</v>
      </c>
      <c r="F1367" t="s">
        <v>37</v>
      </c>
      <c r="G1367" t="s">
        <v>38</v>
      </c>
      <c r="H1367" t="s">
        <v>39</v>
      </c>
      <c r="I1367" t="s">
        <v>190</v>
      </c>
      <c r="J1367" t="s">
        <v>40</v>
      </c>
      <c r="K1367" t="s">
        <v>59</v>
      </c>
      <c r="M1367">
        <v>442936</v>
      </c>
      <c r="N1367" t="s">
        <v>42</v>
      </c>
      <c r="O1367" t="s">
        <v>36</v>
      </c>
      <c r="P1367" t="s">
        <v>191</v>
      </c>
      <c r="Q1367" t="s">
        <v>44</v>
      </c>
      <c r="R1367" t="s">
        <v>672</v>
      </c>
      <c r="S1367" t="s">
        <v>673</v>
      </c>
      <c r="T1367" t="s">
        <v>47</v>
      </c>
      <c r="U1367" t="s">
        <v>48</v>
      </c>
      <c r="V1367" t="s">
        <v>49</v>
      </c>
      <c r="W1367" t="s">
        <v>674</v>
      </c>
      <c r="X1367" t="s">
        <v>51</v>
      </c>
      <c r="Y1367" t="s">
        <v>675</v>
      </c>
      <c r="Z1367" t="s">
        <v>675</v>
      </c>
      <c r="AA1367" t="s">
        <v>678</v>
      </c>
      <c r="AB1367" s="3">
        <f t="shared" si="173"/>
        <v>16</v>
      </c>
      <c r="AC1367">
        <v>5062.1000000000004</v>
      </c>
      <c r="AD1367" s="2">
        <v>316.38125000000002</v>
      </c>
      <c r="AE1367" s="2">
        <v>276.42</v>
      </c>
      <c r="AF1367" s="2">
        <v>33.83</v>
      </c>
      <c r="AG1367" s="2">
        <v>5372.35</v>
      </c>
      <c r="AH1367">
        <v>0</v>
      </c>
      <c r="AI1367">
        <v>335.77187500000002</v>
      </c>
      <c r="AJ1367">
        <v>26.861750000000001</v>
      </c>
      <c r="AK1367" t="s">
        <v>54</v>
      </c>
      <c r="AL1367">
        <v>206.56</v>
      </c>
      <c r="AM1367" s="4">
        <f t="shared" si="174"/>
        <v>335.77187500000002</v>
      </c>
      <c r="AN1367" s="4">
        <f t="shared" si="175"/>
        <v>593.21484375</v>
      </c>
      <c r="AO1367" s="4">
        <f t="shared" si="176"/>
        <v>659.06169140625002</v>
      </c>
      <c r="AP1367" s="4">
        <f t="shared" si="177"/>
        <v>960.94872539062499</v>
      </c>
      <c r="AQ1367" s="10">
        <f t="shared" si="170"/>
        <v>583.94086781250007</v>
      </c>
      <c r="AR1367" s="10">
        <f t="shared" si="171"/>
        <v>648.81669822646882</v>
      </c>
      <c r="AS1367" s="10">
        <f t="shared" si="172"/>
        <v>909.07914301050005</v>
      </c>
    </row>
    <row r="1368" spans="1:45" x14ac:dyDescent="0.3">
      <c r="A1368">
        <v>2025</v>
      </c>
      <c r="B1368">
        <v>7</v>
      </c>
      <c r="C1368" t="s">
        <v>35</v>
      </c>
      <c r="D1368">
        <v>10</v>
      </c>
      <c r="E1368" t="s">
        <v>36</v>
      </c>
      <c r="F1368" t="s">
        <v>37</v>
      </c>
      <c r="G1368" t="s">
        <v>38</v>
      </c>
      <c r="H1368" t="s">
        <v>39</v>
      </c>
      <c r="I1368" t="s">
        <v>190</v>
      </c>
      <c r="J1368" t="s">
        <v>40</v>
      </c>
      <c r="K1368" t="s">
        <v>59</v>
      </c>
      <c r="L1368" t="s">
        <v>961</v>
      </c>
      <c r="M1368">
        <v>448168</v>
      </c>
      <c r="N1368" t="s">
        <v>42</v>
      </c>
      <c r="O1368" t="s">
        <v>36</v>
      </c>
      <c r="P1368" t="s">
        <v>191</v>
      </c>
      <c r="Q1368" t="s">
        <v>44</v>
      </c>
      <c r="R1368" t="s">
        <v>962</v>
      </c>
      <c r="S1368" t="s">
        <v>963</v>
      </c>
      <c r="T1368" t="s">
        <v>47</v>
      </c>
      <c r="U1368" t="s">
        <v>48</v>
      </c>
      <c r="V1368" t="s">
        <v>49</v>
      </c>
      <c r="W1368" t="s">
        <v>674</v>
      </c>
      <c r="X1368" t="s">
        <v>51</v>
      </c>
      <c r="Y1368" t="s">
        <v>675</v>
      </c>
      <c r="Z1368" t="s">
        <v>675</v>
      </c>
      <c r="AA1368" t="s">
        <v>678</v>
      </c>
      <c r="AB1368" s="3">
        <f t="shared" si="173"/>
        <v>23.999999999999744</v>
      </c>
      <c r="AC1368">
        <v>7593.16</v>
      </c>
      <c r="AD1368" s="2">
        <v>316.38166666667001</v>
      </c>
      <c r="AE1368" s="2">
        <v>414.63</v>
      </c>
      <c r="AF1368" s="2">
        <v>50.75</v>
      </c>
      <c r="AG1368" s="2">
        <v>8058.53</v>
      </c>
      <c r="AH1368">
        <v>0</v>
      </c>
      <c r="AI1368">
        <v>335.77208333332999</v>
      </c>
      <c r="AJ1368">
        <v>40.292650000000002</v>
      </c>
      <c r="AK1368" t="s">
        <v>54</v>
      </c>
      <c r="AL1368">
        <v>309.83999999999997</v>
      </c>
      <c r="AM1368" s="4">
        <f t="shared" si="174"/>
        <v>335.77208333333692</v>
      </c>
      <c r="AN1368" s="4">
        <f t="shared" si="175"/>
        <v>593.2156250000063</v>
      </c>
      <c r="AO1368" s="4">
        <f t="shared" si="176"/>
        <v>659.06255937500703</v>
      </c>
      <c r="AP1368" s="4">
        <f t="shared" si="177"/>
        <v>960.94999093751017</v>
      </c>
      <c r="AQ1368" s="10">
        <f t="shared" si="170"/>
        <v>583.94123012500631</v>
      </c>
      <c r="AR1368" s="10">
        <f t="shared" si="171"/>
        <v>648.81710079189452</v>
      </c>
      <c r="AS1368" s="10">
        <f t="shared" si="172"/>
        <v>909.07970705860976</v>
      </c>
    </row>
    <row r="1369" spans="1:45" x14ac:dyDescent="0.3">
      <c r="A1369">
        <v>2025</v>
      </c>
      <c r="B1369">
        <v>5</v>
      </c>
      <c r="C1369" t="s">
        <v>35</v>
      </c>
      <c r="D1369">
        <v>10</v>
      </c>
      <c r="E1369" t="s">
        <v>36</v>
      </c>
      <c r="F1369" t="s">
        <v>37</v>
      </c>
      <c r="G1369" t="s">
        <v>38</v>
      </c>
      <c r="H1369" t="s">
        <v>39</v>
      </c>
      <c r="I1369" t="s">
        <v>190</v>
      </c>
      <c r="J1369" t="s">
        <v>40</v>
      </c>
      <c r="K1369" t="s">
        <v>59</v>
      </c>
      <c r="M1369">
        <v>442936</v>
      </c>
      <c r="N1369" t="s">
        <v>42</v>
      </c>
      <c r="O1369" t="s">
        <v>36</v>
      </c>
      <c r="P1369" t="s">
        <v>191</v>
      </c>
      <c r="Q1369" t="s">
        <v>44</v>
      </c>
      <c r="R1369" t="s">
        <v>672</v>
      </c>
      <c r="S1369" t="s">
        <v>673</v>
      </c>
      <c r="T1369" t="s">
        <v>47</v>
      </c>
      <c r="U1369" t="s">
        <v>48</v>
      </c>
      <c r="V1369" t="s">
        <v>49</v>
      </c>
      <c r="W1369" t="s">
        <v>674</v>
      </c>
      <c r="X1369" t="s">
        <v>51</v>
      </c>
      <c r="Y1369" t="s">
        <v>675</v>
      </c>
      <c r="Z1369" t="s">
        <v>675</v>
      </c>
      <c r="AA1369" t="s">
        <v>678</v>
      </c>
      <c r="AB1369" s="3">
        <f t="shared" si="173"/>
        <v>5</v>
      </c>
      <c r="AC1369">
        <v>1317.77</v>
      </c>
      <c r="AD1369" s="2">
        <v>263.55399999999997</v>
      </c>
      <c r="AE1369" s="2">
        <v>74.13</v>
      </c>
      <c r="AF1369" s="2">
        <v>8.74</v>
      </c>
      <c r="AG1369" s="2">
        <v>1400.63</v>
      </c>
      <c r="AH1369">
        <v>0</v>
      </c>
      <c r="AI1369">
        <v>280.12599999999998</v>
      </c>
      <c r="AJ1369">
        <v>7.0031499999999998</v>
      </c>
      <c r="AK1369" t="s">
        <v>54</v>
      </c>
      <c r="AL1369">
        <v>109.63</v>
      </c>
      <c r="AM1369" s="4">
        <f t="shared" si="174"/>
        <v>280.12600000000003</v>
      </c>
      <c r="AN1369" s="4">
        <f t="shared" si="175"/>
        <v>494.16374999999994</v>
      </c>
      <c r="AO1369" s="4">
        <f t="shared" si="176"/>
        <v>549.01592624999989</v>
      </c>
      <c r="AP1369" s="4">
        <f t="shared" si="177"/>
        <v>800.49585862499987</v>
      </c>
      <c r="AQ1369" s="10">
        <f t="shared" si="170"/>
        <v>487.16712660000007</v>
      </c>
      <c r="AR1369" s="10">
        <f t="shared" si="171"/>
        <v>541.29139436526009</v>
      </c>
      <c r="AS1369" s="10">
        <f t="shared" si="172"/>
        <v>758.42178269088015</v>
      </c>
    </row>
    <row r="1370" spans="1:45" x14ac:dyDescent="0.3">
      <c r="A1370">
        <v>2025</v>
      </c>
      <c r="B1370">
        <v>5</v>
      </c>
      <c r="C1370" t="s">
        <v>35</v>
      </c>
      <c r="D1370">
        <v>10</v>
      </c>
      <c r="E1370" t="s">
        <v>36</v>
      </c>
      <c r="F1370" t="s">
        <v>37</v>
      </c>
      <c r="G1370" t="s">
        <v>38</v>
      </c>
      <c r="H1370" t="s">
        <v>39</v>
      </c>
      <c r="I1370" t="s">
        <v>190</v>
      </c>
      <c r="J1370" t="s">
        <v>40</v>
      </c>
      <c r="K1370" t="s">
        <v>59</v>
      </c>
      <c r="M1370">
        <v>442936</v>
      </c>
      <c r="N1370" t="s">
        <v>42</v>
      </c>
      <c r="O1370" t="s">
        <v>36</v>
      </c>
      <c r="P1370" t="s">
        <v>191</v>
      </c>
      <c r="Q1370" t="s">
        <v>44</v>
      </c>
      <c r="R1370" t="s">
        <v>672</v>
      </c>
      <c r="S1370" t="s">
        <v>673</v>
      </c>
      <c r="T1370" t="s">
        <v>47</v>
      </c>
      <c r="U1370" t="s">
        <v>48</v>
      </c>
      <c r="V1370" t="s">
        <v>49</v>
      </c>
      <c r="W1370" t="s">
        <v>674</v>
      </c>
      <c r="X1370" t="s">
        <v>51</v>
      </c>
      <c r="Y1370" t="s">
        <v>675</v>
      </c>
      <c r="Z1370" t="s">
        <v>675</v>
      </c>
      <c r="AA1370" t="s">
        <v>679</v>
      </c>
      <c r="AB1370" s="3">
        <f t="shared" si="173"/>
        <v>5</v>
      </c>
      <c r="AC1370">
        <v>474.91</v>
      </c>
      <c r="AD1370" s="2">
        <v>94.981999999999999</v>
      </c>
      <c r="AE1370" s="2">
        <v>86.38</v>
      </c>
      <c r="AF1370" s="2">
        <v>3.6</v>
      </c>
      <c r="AG1370" s="2">
        <v>564.35</v>
      </c>
      <c r="AH1370">
        <v>0</v>
      </c>
      <c r="AI1370">
        <v>112.87</v>
      </c>
      <c r="AJ1370">
        <v>2.8217500000000002</v>
      </c>
      <c r="AK1370" t="s">
        <v>54</v>
      </c>
      <c r="AL1370">
        <v>64.55</v>
      </c>
      <c r="AM1370" s="4">
        <f t="shared" si="174"/>
        <v>112.87</v>
      </c>
      <c r="AN1370" s="4">
        <f t="shared" si="175"/>
        <v>178.09125</v>
      </c>
      <c r="AO1370" s="4">
        <f t="shared" si="176"/>
        <v>197.85937874999999</v>
      </c>
      <c r="AP1370" s="4">
        <f t="shared" si="177"/>
        <v>288.49001587499998</v>
      </c>
      <c r="AQ1370" s="10">
        <f t="shared" si="170"/>
        <v>196.29221700000002</v>
      </c>
      <c r="AR1370" s="10">
        <f t="shared" si="171"/>
        <v>218.10028230870003</v>
      </c>
      <c r="AS1370" s="10">
        <f t="shared" si="172"/>
        <v>305.58772342560002</v>
      </c>
    </row>
    <row r="1371" spans="1:45" x14ac:dyDescent="0.3">
      <c r="A1371">
        <v>2025</v>
      </c>
      <c r="B1371">
        <v>8</v>
      </c>
      <c r="C1371" t="s">
        <v>55</v>
      </c>
      <c r="D1371">
        <v>10</v>
      </c>
      <c r="E1371" t="s">
        <v>36</v>
      </c>
      <c r="F1371" t="s">
        <v>37</v>
      </c>
      <c r="G1371" t="s">
        <v>38</v>
      </c>
      <c r="H1371" t="s">
        <v>78</v>
      </c>
      <c r="I1371" t="s">
        <v>190</v>
      </c>
      <c r="J1371" t="s">
        <v>58</v>
      </c>
      <c r="K1371" t="s">
        <v>59</v>
      </c>
      <c r="L1371" t="s">
        <v>1194</v>
      </c>
      <c r="M1371" t="s">
        <v>1195</v>
      </c>
      <c r="N1371" t="s">
        <v>1196</v>
      </c>
      <c r="O1371" t="s">
        <v>1197</v>
      </c>
      <c r="Q1371" t="s">
        <v>62</v>
      </c>
      <c r="R1371" t="s">
        <v>1198</v>
      </c>
      <c r="S1371" t="s">
        <v>1198</v>
      </c>
      <c r="T1371" t="s">
        <v>47</v>
      </c>
      <c r="U1371" t="s">
        <v>48</v>
      </c>
      <c r="V1371" t="s">
        <v>49</v>
      </c>
      <c r="W1371" t="s">
        <v>674</v>
      </c>
      <c r="X1371" t="s">
        <v>388</v>
      </c>
      <c r="Y1371" t="s">
        <v>675</v>
      </c>
      <c r="Z1371" t="s">
        <v>675</v>
      </c>
      <c r="AA1371" t="s">
        <v>679</v>
      </c>
      <c r="AB1371" s="3">
        <f t="shared" si="173"/>
        <v>15.000000000000053</v>
      </c>
      <c r="AC1371">
        <v>1424.72</v>
      </c>
      <c r="AD1371" s="2">
        <v>94.981333333332998</v>
      </c>
      <c r="AE1371" s="2">
        <v>259.14</v>
      </c>
      <c r="AF1371" s="2">
        <v>9.17</v>
      </c>
      <c r="AG1371" s="2">
        <v>1693.4</v>
      </c>
      <c r="AH1371">
        <v>0</v>
      </c>
      <c r="AI1371">
        <v>112.89333333333001</v>
      </c>
      <c r="AJ1371">
        <v>8.4670000000000005</v>
      </c>
      <c r="AK1371" t="s">
        <v>54</v>
      </c>
      <c r="AL1371">
        <v>193.65</v>
      </c>
      <c r="AM1371" s="4">
        <f t="shared" si="174"/>
        <v>112.89333333333293</v>
      </c>
      <c r="AN1371" s="4">
        <f t="shared" si="175"/>
        <v>178.08999999999938</v>
      </c>
      <c r="AO1371" s="4">
        <f t="shared" si="176"/>
        <v>197.85798999999932</v>
      </c>
      <c r="AP1371" s="4">
        <f t="shared" si="177"/>
        <v>288.487990999999</v>
      </c>
      <c r="AQ1371" s="10">
        <f t="shared" si="170"/>
        <v>196.33279599999932</v>
      </c>
      <c r="AR1371" s="10">
        <f t="shared" si="171"/>
        <v>218.14536963559925</v>
      </c>
      <c r="AS1371" s="10">
        <f t="shared" si="172"/>
        <v>305.65089681279892</v>
      </c>
    </row>
    <row r="1372" spans="1:45" x14ac:dyDescent="0.3">
      <c r="A1372">
        <v>2025</v>
      </c>
      <c r="B1372">
        <v>1</v>
      </c>
      <c r="C1372" t="s">
        <v>55</v>
      </c>
      <c r="D1372">
        <v>10</v>
      </c>
      <c r="E1372" t="s">
        <v>36</v>
      </c>
      <c r="F1372" t="s">
        <v>37</v>
      </c>
      <c r="G1372" t="s">
        <v>38</v>
      </c>
      <c r="H1372" t="s">
        <v>56</v>
      </c>
      <c r="I1372" t="s">
        <v>57</v>
      </c>
      <c r="J1372" t="s">
        <v>58</v>
      </c>
      <c r="K1372" t="s">
        <v>59</v>
      </c>
      <c r="M1372" t="s">
        <v>60</v>
      </c>
      <c r="N1372" t="s">
        <v>61</v>
      </c>
      <c r="O1372" t="s">
        <v>43</v>
      </c>
      <c r="Q1372" t="s">
        <v>62</v>
      </c>
      <c r="R1372" t="s">
        <v>63</v>
      </c>
      <c r="S1372" t="s">
        <v>63</v>
      </c>
      <c r="T1372" t="s">
        <v>47</v>
      </c>
      <c r="U1372" t="s">
        <v>48</v>
      </c>
      <c r="V1372" t="s">
        <v>49</v>
      </c>
      <c r="W1372" t="s">
        <v>50</v>
      </c>
      <c r="X1372" t="s">
        <v>51</v>
      </c>
      <c r="Y1372" t="s">
        <v>1199</v>
      </c>
      <c r="Z1372" t="s">
        <v>1199</v>
      </c>
      <c r="AA1372" t="s">
        <v>1200</v>
      </c>
      <c r="AB1372" s="3">
        <f t="shared" si="173"/>
        <v>4</v>
      </c>
      <c r="AC1372">
        <v>55.21</v>
      </c>
      <c r="AD1372" s="2">
        <v>13.8025</v>
      </c>
      <c r="AE1372" s="2">
        <v>3.96</v>
      </c>
      <c r="AF1372" s="2">
        <v>0.36</v>
      </c>
      <c r="AG1372" s="2">
        <v>59.53</v>
      </c>
      <c r="AH1372">
        <v>0</v>
      </c>
      <c r="AI1372">
        <v>14.8825</v>
      </c>
      <c r="AJ1372">
        <v>0.29765000000000003</v>
      </c>
      <c r="AK1372" t="s">
        <v>54</v>
      </c>
      <c r="AL1372">
        <v>0.47</v>
      </c>
      <c r="AM1372" s="4">
        <f t="shared" si="174"/>
        <v>14.8825</v>
      </c>
      <c r="AN1372" s="4">
        <f t="shared" si="175"/>
        <v>25.879687499999999</v>
      </c>
      <c r="AO1372" s="4">
        <f t="shared" si="176"/>
        <v>28.752332812500001</v>
      </c>
      <c r="AP1372" s="4">
        <f t="shared" si="177"/>
        <v>41.922505781249995</v>
      </c>
      <c r="AQ1372" s="10">
        <f t="shared" si="170"/>
        <v>25.882155750000003</v>
      </c>
      <c r="AR1372" s="10">
        <f t="shared" si="171"/>
        <v>28.757663253825001</v>
      </c>
      <c r="AS1372" s="10">
        <f t="shared" si="172"/>
        <v>40.293340071600007</v>
      </c>
    </row>
    <row r="1373" spans="1:45" x14ac:dyDescent="0.3">
      <c r="A1373">
        <v>2025</v>
      </c>
      <c r="B1373">
        <v>7</v>
      </c>
      <c r="C1373" t="s">
        <v>55</v>
      </c>
      <c r="D1373">
        <v>10</v>
      </c>
      <c r="E1373" t="s">
        <v>36</v>
      </c>
      <c r="F1373" t="s">
        <v>37</v>
      </c>
      <c r="G1373" t="s">
        <v>38</v>
      </c>
      <c r="H1373" t="s">
        <v>56</v>
      </c>
      <c r="I1373" t="s">
        <v>190</v>
      </c>
      <c r="J1373" t="s">
        <v>58</v>
      </c>
      <c r="K1373" t="s">
        <v>41</v>
      </c>
      <c r="L1373" t="s">
        <v>953</v>
      </c>
      <c r="M1373" t="s">
        <v>954</v>
      </c>
      <c r="N1373" t="s">
        <v>731</v>
      </c>
      <c r="O1373" t="s">
        <v>36</v>
      </c>
      <c r="Q1373" t="s">
        <v>62</v>
      </c>
      <c r="R1373" t="s">
        <v>955</v>
      </c>
      <c r="S1373" t="s">
        <v>956</v>
      </c>
      <c r="T1373" t="s">
        <v>47</v>
      </c>
      <c r="U1373" t="s">
        <v>48</v>
      </c>
      <c r="V1373" t="s">
        <v>49</v>
      </c>
      <c r="W1373" t="s">
        <v>674</v>
      </c>
      <c r="X1373" t="s">
        <v>51</v>
      </c>
      <c r="Y1373" t="s">
        <v>52</v>
      </c>
      <c r="Z1373" t="s">
        <v>64</v>
      </c>
      <c r="AA1373" t="s">
        <v>65</v>
      </c>
      <c r="AB1373" s="3">
        <f t="shared" si="173"/>
        <v>2.9999999999999676</v>
      </c>
      <c r="AC1373">
        <v>92.39</v>
      </c>
      <c r="AD1373" s="2">
        <v>30.796666666667001</v>
      </c>
      <c r="AE1373" s="2">
        <v>22.2</v>
      </c>
      <c r="AF1373" s="2">
        <v>0.64</v>
      </c>
      <c r="AG1373" s="2">
        <v>115.22</v>
      </c>
      <c r="AH1373">
        <v>0</v>
      </c>
      <c r="AI1373">
        <v>38.406666666667</v>
      </c>
      <c r="AJ1373">
        <v>0.57609999999999995</v>
      </c>
      <c r="AK1373" t="s">
        <v>54</v>
      </c>
      <c r="AL1373">
        <v>9.02</v>
      </c>
      <c r="AM1373" s="4">
        <f t="shared" si="174"/>
        <v>38.406666666667078</v>
      </c>
      <c r="AN1373" s="4">
        <f t="shared" si="175"/>
        <v>57.743750000000624</v>
      </c>
      <c r="AO1373" s="4">
        <f t="shared" si="176"/>
        <v>64.153306250000696</v>
      </c>
      <c r="AP1373" s="4">
        <f t="shared" si="177"/>
        <v>93.539100625000998</v>
      </c>
      <c r="AQ1373" s="10">
        <f t="shared" si="170"/>
        <v>66.793034000000716</v>
      </c>
      <c r="AR1373" s="10">
        <f t="shared" si="171"/>
        <v>74.2137400774008</v>
      </c>
      <c r="AS1373" s="10">
        <f t="shared" si="172"/>
        <v>103.98339533120111</v>
      </c>
    </row>
    <row r="1374" spans="1:45" x14ac:dyDescent="0.3">
      <c r="A1374">
        <v>2025</v>
      </c>
      <c r="B1374">
        <v>3</v>
      </c>
      <c r="C1374" t="s">
        <v>55</v>
      </c>
      <c r="D1374">
        <v>10</v>
      </c>
      <c r="E1374" t="s">
        <v>36</v>
      </c>
      <c r="F1374" t="s">
        <v>37</v>
      </c>
      <c r="G1374" t="s">
        <v>38</v>
      </c>
      <c r="H1374" t="s">
        <v>78</v>
      </c>
      <c r="I1374" t="s">
        <v>190</v>
      </c>
      <c r="J1374" t="s">
        <v>58</v>
      </c>
      <c r="K1374" t="s">
        <v>59</v>
      </c>
      <c r="M1374" t="s">
        <v>209</v>
      </c>
      <c r="N1374" t="s">
        <v>61</v>
      </c>
      <c r="O1374" t="s">
        <v>43</v>
      </c>
      <c r="Q1374" t="s">
        <v>62</v>
      </c>
      <c r="R1374" t="s">
        <v>210</v>
      </c>
      <c r="S1374" t="s">
        <v>211</v>
      </c>
      <c r="T1374" t="s">
        <v>47</v>
      </c>
      <c r="U1374" t="s">
        <v>118</v>
      </c>
      <c r="V1374" t="s">
        <v>49</v>
      </c>
      <c r="W1374" t="s">
        <v>119</v>
      </c>
      <c r="X1374" t="s">
        <v>51</v>
      </c>
      <c r="Y1374" t="s">
        <v>957</v>
      </c>
      <c r="Z1374" t="s">
        <v>957</v>
      </c>
      <c r="AA1374" t="s">
        <v>65</v>
      </c>
      <c r="AB1374" s="3">
        <f t="shared" si="173"/>
        <v>3</v>
      </c>
      <c r="AC1374">
        <v>78.33</v>
      </c>
      <c r="AD1374" s="2">
        <v>26.11</v>
      </c>
      <c r="AE1374" s="2">
        <v>87.12</v>
      </c>
      <c r="AF1374" s="2">
        <v>0.48</v>
      </c>
      <c r="AG1374" s="2">
        <v>165.94</v>
      </c>
      <c r="AH1374">
        <v>0</v>
      </c>
      <c r="AI1374">
        <v>55.313333333332999</v>
      </c>
      <c r="AJ1374">
        <v>0.82969999999999999</v>
      </c>
      <c r="AK1374" t="s">
        <v>54</v>
      </c>
      <c r="AL1374">
        <v>6.52</v>
      </c>
      <c r="AM1374" s="4">
        <f t="shared" si="174"/>
        <v>55.313333333333333</v>
      </c>
      <c r="AN1374" s="4">
        <f t="shared" si="175"/>
        <v>48.956249999999997</v>
      </c>
      <c r="AO1374" s="4">
        <f t="shared" si="176"/>
        <v>54.390393749999994</v>
      </c>
      <c r="AP1374" s="4">
        <f t="shared" si="177"/>
        <v>79.304229374999991</v>
      </c>
      <c r="AQ1374" s="10">
        <f t="shared" si="170"/>
        <v>96.195418000000004</v>
      </c>
      <c r="AR1374" s="10">
        <f t="shared" si="171"/>
        <v>106.8827289398</v>
      </c>
      <c r="AS1374" s="10">
        <f t="shared" si="172"/>
        <v>149.7570267424</v>
      </c>
    </row>
    <row r="1375" spans="1:45" x14ac:dyDescent="0.3">
      <c r="A1375">
        <v>2025</v>
      </c>
      <c r="B1375">
        <v>3</v>
      </c>
      <c r="C1375" t="s">
        <v>55</v>
      </c>
      <c r="D1375">
        <v>10</v>
      </c>
      <c r="E1375" t="s">
        <v>36</v>
      </c>
      <c r="F1375" t="s">
        <v>37</v>
      </c>
      <c r="G1375" t="s">
        <v>38</v>
      </c>
      <c r="H1375" t="s">
        <v>78</v>
      </c>
      <c r="I1375" t="s">
        <v>190</v>
      </c>
      <c r="J1375" t="s">
        <v>58</v>
      </c>
      <c r="K1375" t="s">
        <v>59</v>
      </c>
      <c r="M1375" t="s">
        <v>209</v>
      </c>
      <c r="N1375" t="s">
        <v>61</v>
      </c>
      <c r="O1375" t="s">
        <v>43</v>
      </c>
      <c r="Q1375" t="s">
        <v>62</v>
      </c>
      <c r="R1375" t="s">
        <v>210</v>
      </c>
      <c r="S1375" t="s">
        <v>211</v>
      </c>
      <c r="T1375" t="s">
        <v>47</v>
      </c>
      <c r="U1375" t="s">
        <v>118</v>
      </c>
      <c r="V1375" t="s">
        <v>49</v>
      </c>
      <c r="W1375" t="s">
        <v>119</v>
      </c>
      <c r="X1375" t="s">
        <v>51</v>
      </c>
      <c r="Y1375" t="s">
        <v>130</v>
      </c>
      <c r="Z1375" t="s">
        <v>64</v>
      </c>
      <c r="AA1375" t="s">
        <v>285</v>
      </c>
      <c r="AB1375" s="3">
        <f t="shared" si="173"/>
        <v>5</v>
      </c>
      <c r="AC1375">
        <v>111.16</v>
      </c>
      <c r="AD1375" s="2">
        <v>22.231999999999999</v>
      </c>
      <c r="AE1375" s="2">
        <v>24.83</v>
      </c>
      <c r="AF1375" s="2">
        <v>0.81</v>
      </c>
      <c r="AG1375" s="2">
        <v>136.81</v>
      </c>
      <c r="AH1375">
        <v>0</v>
      </c>
      <c r="AI1375">
        <v>27.361999999999998</v>
      </c>
      <c r="AJ1375">
        <v>0.68405000000000005</v>
      </c>
      <c r="AK1375" t="s">
        <v>54</v>
      </c>
      <c r="AL1375">
        <v>11.01</v>
      </c>
      <c r="AM1375" s="4">
        <f t="shared" si="174"/>
        <v>27.362000000000002</v>
      </c>
      <c r="AN1375" s="4">
        <f t="shared" si="175"/>
        <v>41.685000000000002</v>
      </c>
      <c r="AO1375" s="4">
        <f t="shared" si="176"/>
        <v>46.312035000000002</v>
      </c>
      <c r="AP1375" s="4">
        <f t="shared" si="177"/>
        <v>67.5255315</v>
      </c>
      <c r="AQ1375" s="10">
        <f t="shared" si="170"/>
        <v>47.585254200000008</v>
      </c>
      <c r="AR1375" s="10">
        <f t="shared" si="171"/>
        <v>52.871975941620008</v>
      </c>
      <c r="AS1375" s="10">
        <f t="shared" si="172"/>
        <v>74.08072373856001</v>
      </c>
    </row>
    <row r="1376" spans="1:45" x14ac:dyDescent="0.3">
      <c r="A1376">
        <v>2025</v>
      </c>
      <c r="B1376">
        <v>5</v>
      </c>
      <c r="C1376" t="s">
        <v>55</v>
      </c>
      <c r="D1376">
        <v>10</v>
      </c>
      <c r="E1376" t="s">
        <v>36</v>
      </c>
      <c r="F1376" t="s">
        <v>37</v>
      </c>
      <c r="G1376" t="s">
        <v>38</v>
      </c>
      <c r="H1376" t="s">
        <v>78</v>
      </c>
      <c r="I1376" t="s">
        <v>190</v>
      </c>
      <c r="J1376" t="s">
        <v>58</v>
      </c>
      <c r="K1376" t="s">
        <v>59</v>
      </c>
      <c r="M1376" t="s">
        <v>682</v>
      </c>
      <c r="N1376" t="s">
        <v>384</v>
      </c>
      <c r="O1376" t="s">
        <v>36</v>
      </c>
      <c r="Q1376" t="s">
        <v>62</v>
      </c>
      <c r="R1376" t="s">
        <v>683</v>
      </c>
      <c r="S1376" t="s">
        <v>683</v>
      </c>
      <c r="T1376" t="s">
        <v>47</v>
      </c>
      <c r="U1376" t="s">
        <v>118</v>
      </c>
      <c r="V1376" t="s">
        <v>49</v>
      </c>
      <c r="W1376" t="s">
        <v>714</v>
      </c>
      <c r="X1376" t="s">
        <v>686</v>
      </c>
      <c r="Y1376" t="s">
        <v>280</v>
      </c>
      <c r="Z1376" t="s">
        <v>64</v>
      </c>
      <c r="AA1376" t="s">
        <v>284</v>
      </c>
      <c r="AB1376" s="3">
        <f t="shared" si="173"/>
        <v>5</v>
      </c>
      <c r="AC1376">
        <v>241.16</v>
      </c>
      <c r="AD1376" s="2">
        <v>48.231999999999999</v>
      </c>
      <c r="AE1376" s="2">
        <v>53.87</v>
      </c>
      <c r="AF1376" s="2">
        <v>1.77</v>
      </c>
      <c r="AG1376" s="2">
        <v>296.8</v>
      </c>
      <c r="AH1376">
        <v>0</v>
      </c>
      <c r="AI1376">
        <v>59.36</v>
      </c>
      <c r="AJ1376">
        <v>1.484</v>
      </c>
      <c r="AK1376" t="s">
        <v>54</v>
      </c>
      <c r="AL1376">
        <v>11.01</v>
      </c>
      <c r="AM1376" s="4">
        <f t="shared" si="174"/>
        <v>59.36</v>
      </c>
      <c r="AN1376" s="4">
        <f t="shared" si="175"/>
        <v>90.435000000000002</v>
      </c>
      <c r="AO1376" s="4">
        <f t="shared" si="176"/>
        <v>100.473285</v>
      </c>
      <c r="AP1376" s="4">
        <f t="shared" si="177"/>
        <v>146.4956565</v>
      </c>
      <c r="AQ1376" s="10">
        <f t="shared" si="170"/>
        <v>103.23297600000001</v>
      </c>
      <c r="AR1376" s="10">
        <f t="shared" si="171"/>
        <v>114.7021596336</v>
      </c>
      <c r="AS1376" s="10">
        <f t="shared" si="172"/>
        <v>160.71309703680001</v>
      </c>
    </row>
    <row r="1377" spans="1:45" x14ac:dyDescent="0.3">
      <c r="A1377">
        <v>2025</v>
      </c>
      <c r="B1377">
        <v>3</v>
      </c>
      <c r="C1377" t="s">
        <v>55</v>
      </c>
      <c r="D1377">
        <v>10</v>
      </c>
      <c r="E1377" t="s">
        <v>36</v>
      </c>
      <c r="F1377" t="s">
        <v>37</v>
      </c>
      <c r="G1377" t="s">
        <v>38</v>
      </c>
      <c r="H1377" t="s">
        <v>78</v>
      </c>
      <c r="I1377" t="s">
        <v>190</v>
      </c>
      <c r="J1377" t="s">
        <v>58</v>
      </c>
      <c r="K1377" t="s">
        <v>59</v>
      </c>
      <c r="M1377" t="s">
        <v>209</v>
      </c>
      <c r="N1377" t="s">
        <v>61</v>
      </c>
      <c r="O1377" t="s">
        <v>43</v>
      </c>
      <c r="Q1377" t="s">
        <v>62</v>
      </c>
      <c r="R1377" t="s">
        <v>210</v>
      </c>
      <c r="S1377" t="s">
        <v>211</v>
      </c>
      <c r="T1377" t="s">
        <v>47</v>
      </c>
      <c r="U1377" t="s">
        <v>118</v>
      </c>
      <c r="V1377" t="s">
        <v>49</v>
      </c>
      <c r="W1377" t="s">
        <v>119</v>
      </c>
      <c r="X1377" t="s">
        <v>51</v>
      </c>
      <c r="Y1377" t="s">
        <v>280</v>
      </c>
      <c r="Z1377" t="s">
        <v>280</v>
      </c>
      <c r="AA1377" t="s">
        <v>284</v>
      </c>
      <c r="AB1377" s="3">
        <f t="shared" si="173"/>
        <v>6.0000000000000009</v>
      </c>
      <c r="AC1377">
        <v>323.55</v>
      </c>
      <c r="AD1377" s="2">
        <v>53.924999999999997</v>
      </c>
      <c r="AE1377" s="2">
        <v>568.92999999999995</v>
      </c>
      <c r="AF1377" s="2">
        <v>2.2999999999999998</v>
      </c>
      <c r="AG1377" s="2">
        <v>894.79</v>
      </c>
      <c r="AH1377">
        <v>0</v>
      </c>
      <c r="AI1377">
        <v>149.13166666666999</v>
      </c>
      <c r="AJ1377">
        <v>4.4739500000000003</v>
      </c>
      <c r="AK1377" t="s">
        <v>54</v>
      </c>
      <c r="AL1377">
        <v>18.670000000000002</v>
      </c>
      <c r="AM1377" s="4">
        <f t="shared" si="174"/>
        <v>149.13166666666663</v>
      </c>
      <c r="AN1377" s="4">
        <f t="shared" si="175"/>
        <v>101.109375</v>
      </c>
      <c r="AO1377" s="4">
        <f t="shared" si="176"/>
        <v>112.332515625</v>
      </c>
      <c r="AP1377" s="4">
        <f t="shared" si="177"/>
        <v>163.78707656249998</v>
      </c>
      <c r="AQ1377" s="10">
        <f t="shared" si="170"/>
        <v>259.35488149999998</v>
      </c>
      <c r="AR1377" s="10">
        <f t="shared" si="171"/>
        <v>288.16920883464996</v>
      </c>
      <c r="AS1377" s="10">
        <f t="shared" si="172"/>
        <v>403.76367951919997</v>
      </c>
    </row>
    <row r="1378" spans="1:45" x14ac:dyDescent="0.3">
      <c r="A1378">
        <v>2025</v>
      </c>
      <c r="B1378">
        <v>5</v>
      </c>
      <c r="C1378" t="s">
        <v>55</v>
      </c>
      <c r="D1378">
        <v>10</v>
      </c>
      <c r="E1378" t="s">
        <v>36</v>
      </c>
      <c r="F1378" t="s">
        <v>37</v>
      </c>
      <c r="G1378" t="s">
        <v>38</v>
      </c>
      <c r="H1378" t="s">
        <v>78</v>
      </c>
      <c r="I1378" t="s">
        <v>190</v>
      </c>
      <c r="J1378" t="s">
        <v>58</v>
      </c>
      <c r="K1378" t="s">
        <v>59</v>
      </c>
      <c r="M1378" t="s">
        <v>682</v>
      </c>
      <c r="N1378" t="s">
        <v>384</v>
      </c>
      <c r="O1378" t="s">
        <v>36</v>
      </c>
      <c r="Q1378" t="s">
        <v>62</v>
      </c>
      <c r="R1378" t="s">
        <v>683</v>
      </c>
      <c r="S1378" t="s">
        <v>683</v>
      </c>
      <c r="T1378" t="s">
        <v>47</v>
      </c>
      <c r="U1378" t="s">
        <v>118</v>
      </c>
      <c r="V1378" t="s">
        <v>49</v>
      </c>
      <c r="W1378" t="s">
        <v>714</v>
      </c>
      <c r="X1378" t="s">
        <v>686</v>
      </c>
      <c r="Y1378" t="s">
        <v>282</v>
      </c>
      <c r="Z1378" t="s">
        <v>64</v>
      </c>
      <c r="AA1378" t="s">
        <v>283</v>
      </c>
      <c r="AB1378" s="3">
        <f t="shared" si="173"/>
        <v>5</v>
      </c>
      <c r="AC1378">
        <v>115.47</v>
      </c>
      <c r="AD1378" s="2">
        <v>23.094000000000001</v>
      </c>
      <c r="AE1378" s="2">
        <v>25.79</v>
      </c>
      <c r="AF1378" s="2">
        <v>0.85</v>
      </c>
      <c r="AG1378" s="2">
        <v>142.11000000000001</v>
      </c>
      <c r="AH1378">
        <v>0</v>
      </c>
      <c r="AI1378">
        <v>28.422000000000001</v>
      </c>
      <c r="AJ1378">
        <v>0.71055000000000001</v>
      </c>
      <c r="AK1378" t="s">
        <v>54</v>
      </c>
      <c r="AL1378">
        <v>11.01</v>
      </c>
      <c r="AM1378" s="4">
        <f t="shared" si="174"/>
        <v>28.422000000000004</v>
      </c>
      <c r="AN1378" s="4">
        <f t="shared" si="175"/>
        <v>43.301250000000003</v>
      </c>
      <c r="AO1378" s="4">
        <f t="shared" si="176"/>
        <v>48.107688750000001</v>
      </c>
      <c r="AP1378" s="4">
        <f t="shared" si="177"/>
        <v>70.143694874999994</v>
      </c>
      <c r="AQ1378" s="10">
        <f t="shared" ref="AQ1378:AQ1441" si="178">SUM(AM1378)*1.7391</f>
        <v>49.428700200000009</v>
      </c>
      <c r="AR1378" s="10">
        <f t="shared" ref="AR1378:AR1441" si="179">SUM(AQ1378)*1.1111</f>
        <v>54.920228792220009</v>
      </c>
      <c r="AS1378" s="10">
        <f t="shared" ref="AS1378:AS1441" si="180">SUM(AQ1378)*1.5568</f>
        <v>76.950600471360005</v>
      </c>
    </row>
    <row r="1379" spans="1:45" x14ac:dyDescent="0.3">
      <c r="A1379">
        <v>2025</v>
      </c>
      <c r="B1379">
        <v>6</v>
      </c>
      <c r="C1379" t="s">
        <v>55</v>
      </c>
      <c r="D1379">
        <v>10</v>
      </c>
      <c r="E1379" t="s">
        <v>36</v>
      </c>
      <c r="F1379" t="s">
        <v>37</v>
      </c>
      <c r="G1379" t="s">
        <v>38</v>
      </c>
      <c r="H1379" t="s">
        <v>83</v>
      </c>
      <c r="I1379" t="s">
        <v>190</v>
      </c>
      <c r="J1379" t="s">
        <v>58</v>
      </c>
      <c r="K1379" t="s">
        <v>59</v>
      </c>
      <c r="M1379" t="s">
        <v>730</v>
      </c>
      <c r="N1379" t="s">
        <v>731</v>
      </c>
      <c r="O1379" t="s">
        <v>36</v>
      </c>
      <c r="Q1379" t="s">
        <v>62</v>
      </c>
      <c r="R1379" t="s">
        <v>732</v>
      </c>
      <c r="S1379" t="s">
        <v>732</v>
      </c>
      <c r="T1379" t="s">
        <v>47</v>
      </c>
      <c r="U1379" t="s">
        <v>356</v>
      </c>
      <c r="V1379" t="s">
        <v>49</v>
      </c>
      <c r="W1379" t="s">
        <v>357</v>
      </c>
      <c r="X1379" t="s">
        <v>686</v>
      </c>
      <c r="Y1379" t="s">
        <v>715</v>
      </c>
      <c r="Z1379" t="s">
        <v>715</v>
      </c>
      <c r="AA1379" t="s">
        <v>283</v>
      </c>
      <c r="AB1379" s="3">
        <f t="shared" si="173"/>
        <v>5.9999999999999396</v>
      </c>
      <c r="AC1379">
        <v>199.12</v>
      </c>
      <c r="AD1379" s="2">
        <v>33.186666666667001</v>
      </c>
      <c r="AE1379" s="2">
        <v>568.92999999999995</v>
      </c>
      <c r="AF1379" s="2">
        <v>1.1000000000000001</v>
      </c>
      <c r="AG1379" s="2">
        <v>769.16</v>
      </c>
      <c r="AH1379">
        <v>0</v>
      </c>
      <c r="AI1379">
        <v>128.19333333333</v>
      </c>
      <c r="AJ1379">
        <v>3.8458000000000001</v>
      </c>
      <c r="AK1379" t="s">
        <v>54</v>
      </c>
      <c r="AL1379">
        <v>18.670000000000002</v>
      </c>
      <c r="AM1379" s="4">
        <f t="shared" si="174"/>
        <v>128.19333333333461</v>
      </c>
      <c r="AN1379" s="4">
        <f t="shared" si="175"/>
        <v>62.225000000000627</v>
      </c>
      <c r="AO1379" s="4">
        <f t="shared" si="176"/>
        <v>69.131975000000693</v>
      </c>
      <c r="AP1379" s="4">
        <f t="shared" si="177"/>
        <v>100.79827750000101</v>
      </c>
      <c r="AQ1379" s="10">
        <f t="shared" si="178"/>
        <v>222.94102600000224</v>
      </c>
      <c r="AR1379" s="10">
        <f t="shared" si="179"/>
        <v>247.70977398860248</v>
      </c>
      <c r="AS1379" s="10">
        <f t="shared" si="180"/>
        <v>347.07458927680347</v>
      </c>
    </row>
    <row r="1380" spans="1:45" x14ac:dyDescent="0.3">
      <c r="A1380">
        <v>2025</v>
      </c>
      <c r="B1380">
        <v>6</v>
      </c>
      <c r="C1380" t="s">
        <v>55</v>
      </c>
      <c r="D1380">
        <v>10</v>
      </c>
      <c r="E1380" t="s">
        <v>36</v>
      </c>
      <c r="F1380" t="s">
        <v>37</v>
      </c>
      <c r="G1380" t="s">
        <v>38</v>
      </c>
      <c r="H1380" t="s">
        <v>83</v>
      </c>
      <c r="I1380" t="s">
        <v>190</v>
      </c>
      <c r="J1380" t="s">
        <v>58</v>
      </c>
      <c r="K1380" t="s">
        <v>59</v>
      </c>
      <c r="M1380" t="s">
        <v>730</v>
      </c>
      <c r="N1380" t="s">
        <v>731</v>
      </c>
      <c r="O1380" t="s">
        <v>36</v>
      </c>
      <c r="Q1380" t="s">
        <v>62</v>
      </c>
      <c r="R1380" t="s">
        <v>732</v>
      </c>
      <c r="S1380" t="s">
        <v>732</v>
      </c>
      <c r="T1380" t="s">
        <v>47</v>
      </c>
      <c r="U1380" t="s">
        <v>118</v>
      </c>
      <c r="V1380" t="s">
        <v>49</v>
      </c>
      <c r="W1380" t="s">
        <v>714</v>
      </c>
      <c r="X1380" t="s">
        <v>686</v>
      </c>
      <c r="Y1380" t="s">
        <v>890</v>
      </c>
      <c r="Z1380" t="s">
        <v>890</v>
      </c>
      <c r="AA1380" t="s">
        <v>891</v>
      </c>
      <c r="AB1380" s="3">
        <f t="shared" si="173"/>
        <v>2</v>
      </c>
      <c r="AC1380">
        <v>1103.47</v>
      </c>
      <c r="AD1380" s="2">
        <v>551.73500000000001</v>
      </c>
      <c r="AE1380" s="2">
        <v>233.31</v>
      </c>
      <c r="AF1380" s="2">
        <v>8.16</v>
      </c>
      <c r="AG1380" s="2">
        <v>1344.95</v>
      </c>
      <c r="AH1380">
        <v>0</v>
      </c>
      <c r="AI1380">
        <v>672.47500000000002</v>
      </c>
      <c r="AJ1380">
        <v>6.7247500000000002</v>
      </c>
      <c r="AK1380" t="s">
        <v>54</v>
      </c>
      <c r="AL1380">
        <v>7.98</v>
      </c>
      <c r="AM1380" s="4">
        <f t="shared" si="174"/>
        <v>672.47500000000002</v>
      </c>
      <c r="AN1380" s="4">
        <f t="shared" si="175"/>
        <v>1034.503125</v>
      </c>
      <c r="AO1380" s="4">
        <f t="shared" si="176"/>
        <v>1149.3329718749999</v>
      </c>
      <c r="AP1380" s="4">
        <f t="shared" si="177"/>
        <v>1675.7916121874998</v>
      </c>
      <c r="AQ1380" s="10">
        <f t="shared" si="178"/>
        <v>1169.5012725000001</v>
      </c>
      <c r="AR1380" s="10">
        <f t="shared" si="179"/>
        <v>1299.4328638747502</v>
      </c>
      <c r="AS1380" s="10">
        <f t="shared" si="180"/>
        <v>1820.6795810280003</v>
      </c>
    </row>
    <row r="1381" spans="1:45" x14ac:dyDescent="0.3">
      <c r="A1381">
        <v>2025</v>
      </c>
      <c r="B1381">
        <v>7</v>
      </c>
      <c r="C1381" t="s">
        <v>55</v>
      </c>
      <c r="D1381">
        <v>10</v>
      </c>
      <c r="E1381" t="s">
        <v>36</v>
      </c>
      <c r="F1381" t="s">
        <v>37</v>
      </c>
      <c r="G1381" t="s">
        <v>38</v>
      </c>
      <c r="H1381" t="s">
        <v>83</v>
      </c>
      <c r="I1381" t="s">
        <v>190</v>
      </c>
      <c r="J1381" t="s">
        <v>58</v>
      </c>
      <c r="K1381" t="s">
        <v>41</v>
      </c>
      <c r="L1381" t="s">
        <v>953</v>
      </c>
      <c r="M1381" t="s">
        <v>954</v>
      </c>
      <c r="N1381" t="s">
        <v>731</v>
      </c>
      <c r="O1381" t="s">
        <v>36</v>
      </c>
      <c r="Q1381" t="s">
        <v>62</v>
      </c>
      <c r="R1381" t="s">
        <v>955</v>
      </c>
      <c r="S1381" t="s">
        <v>956</v>
      </c>
      <c r="T1381" t="s">
        <v>47</v>
      </c>
      <c r="U1381" t="s">
        <v>356</v>
      </c>
      <c r="V1381" t="s">
        <v>49</v>
      </c>
      <c r="W1381" t="s">
        <v>357</v>
      </c>
      <c r="X1381" t="s">
        <v>51</v>
      </c>
      <c r="Y1381" t="s">
        <v>127</v>
      </c>
      <c r="Z1381" t="s">
        <v>127</v>
      </c>
      <c r="AA1381" t="s">
        <v>812</v>
      </c>
      <c r="AB1381" s="3">
        <f t="shared" si="173"/>
        <v>5</v>
      </c>
      <c r="AC1381">
        <v>1023.35</v>
      </c>
      <c r="AD1381" s="2">
        <v>204.67</v>
      </c>
      <c r="AE1381" s="2">
        <v>216.37</v>
      </c>
      <c r="AF1381" s="2">
        <v>7.57</v>
      </c>
      <c r="AG1381" s="2">
        <v>1247.29</v>
      </c>
      <c r="AH1381">
        <v>0</v>
      </c>
      <c r="AI1381">
        <v>249.458</v>
      </c>
      <c r="AJ1381">
        <v>6.2364499999999996</v>
      </c>
      <c r="AK1381" t="s">
        <v>54</v>
      </c>
      <c r="AL1381">
        <v>7.4</v>
      </c>
      <c r="AM1381" s="4">
        <f t="shared" si="174"/>
        <v>249.458</v>
      </c>
      <c r="AN1381" s="4">
        <f t="shared" si="175"/>
        <v>383.75624999999997</v>
      </c>
      <c r="AO1381" s="4">
        <f t="shared" si="176"/>
        <v>426.35319374999995</v>
      </c>
      <c r="AP1381" s="4">
        <f t="shared" si="177"/>
        <v>621.6467493749999</v>
      </c>
      <c r="AQ1381" s="10">
        <f t="shared" si="178"/>
        <v>433.8324078</v>
      </c>
      <c r="AR1381" s="10">
        <f t="shared" si="179"/>
        <v>482.03118830657996</v>
      </c>
      <c r="AS1381" s="10">
        <f t="shared" si="180"/>
        <v>675.39029246303994</v>
      </c>
    </row>
    <row r="1382" spans="1:45" x14ac:dyDescent="0.3">
      <c r="A1382">
        <v>2025</v>
      </c>
      <c r="B1382">
        <v>11</v>
      </c>
      <c r="C1382" t="s">
        <v>55</v>
      </c>
      <c r="D1382">
        <v>10</v>
      </c>
      <c r="E1382" t="s">
        <v>36</v>
      </c>
      <c r="F1382" t="s">
        <v>37</v>
      </c>
      <c r="G1382" t="s">
        <v>38</v>
      </c>
      <c r="H1382" t="s">
        <v>83</v>
      </c>
      <c r="I1382" t="s">
        <v>375</v>
      </c>
      <c r="J1382" t="s">
        <v>376</v>
      </c>
      <c r="K1382" t="s">
        <v>59</v>
      </c>
      <c r="L1382" t="s">
        <v>1647</v>
      </c>
      <c r="M1382" t="s">
        <v>1633</v>
      </c>
      <c r="N1382" t="s">
        <v>1485</v>
      </c>
      <c r="O1382" t="s">
        <v>1197</v>
      </c>
      <c r="Q1382" t="s">
        <v>62</v>
      </c>
      <c r="R1382" t="s">
        <v>1648</v>
      </c>
      <c r="S1382" t="s">
        <v>1648</v>
      </c>
      <c r="T1382" t="s">
        <v>47</v>
      </c>
      <c r="U1382" t="s">
        <v>356</v>
      </c>
      <c r="V1382" t="s">
        <v>49</v>
      </c>
      <c r="W1382" t="s">
        <v>357</v>
      </c>
      <c r="X1382" t="s">
        <v>51</v>
      </c>
      <c r="Y1382" t="s">
        <v>1147</v>
      </c>
      <c r="Z1382" t="s">
        <v>1147</v>
      </c>
      <c r="AA1382" t="s">
        <v>1148</v>
      </c>
      <c r="AB1382" s="3">
        <f t="shared" si="173"/>
        <v>2</v>
      </c>
      <c r="AC1382">
        <v>1077.44</v>
      </c>
      <c r="AD1382" s="2">
        <v>538.72</v>
      </c>
      <c r="AE1382" s="2">
        <v>58.8</v>
      </c>
      <c r="AF1382" s="2">
        <v>7.49</v>
      </c>
      <c r="AG1382" s="2">
        <v>1143.0999999999999</v>
      </c>
      <c r="AH1382">
        <v>0</v>
      </c>
      <c r="AI1382">
        <v>571.54999999999995</v>
      </c>
      <c r="AJ1382">
        <v>5.7154999999999996</v>
      </c>
      <c r="AK1382" t="s">
        <v>54</v>
      </c>
      <c r="AL1382">
        <v>4.3499999999999996</v>
      </c>
      <c r="AM1382" s="4">
        <f t="shared" si="174"/>
        <v>571.54999999999995</v>
      </c>
      <c r="AN1382" s="4">
        <f t="shared" si="175"/>
        <v>1010.1</v>
      </c>
      <c r="AO1382" s="4">
        <f t="shared" si="176"/>
        <v>1122.2211</v>
      </c>
      <c r="AP1382" s="4">
        <f t="shared" si="177"/>
        <v>1636.26099</v>
      </c>
      <c r="AQ1382" s="10">
        <f t="shared" si="178"/>
        <v>993.98260499999992</v>
      </c>
      <c r="AR1382" s="10">
        <f t="shared" si="179"/>
        <v>1104.4140724155</v>
      </c>
      <c r="AS1382" s="10">
        <f t="shared" si="180"/>
        <v>1547.4321194639999</v>
      </c>
    </row>
    <row r="1383" spans="1:45" x14ac:dyDescent="0.3">
      <c r="A1383">
        <v>2025</v>
      </c>
      <c r="B1383">
        <v>9</v>
      </c>
      <c r="C1383" t="s">
        <v>55</v>
      </c>
      <c r="D1383">
        <v>10</v>
      </c>
      <c r="E1383" t="s">
        <v>36</v>
      </c>
      <c r="F1383" t="s">
        <v>37</v>
      </c>
      <c r="G1383" t="s">
        <v>38</v>
      </c>
      <c r="H1383" t="s">
        <v>83</v>
      </c>
      <c r="I1383" t="s">
        <v>375</v>
      </c>
      <c r="J1383" t="s">
        <v>376</v>
      </c>
      <c r="K1383" t="s">
        <v>41</v>
      </c>
      <c r="L1383" t="s">
        <v>1503</v>
      </c>
      <c r="M1383" t="s">
        <v>1504</v>
      </c>
      <c r="N1383" t="s">
        <v>377</v>
      </c>
      <c r="O1383" t="s">
        <v>1197</v>
      </c>
      <c r="Q1383" t="s">
        <v>62</v>
      </c>
      <c r="R1383" t="s">
        <v>1505</v>
      </c>
      <c r="S1383" t="s">
        <v>1505</v>
      </c>
      <c r="T1383" t="s">
        <v>47</v>
      </c>
      <c r="U1383" t="s">
        <v>356</v>
      </c>
      <c r="V1383" t="s">
        <v>49</v>
      </c>
      <c r="W1383" t="s">
        <v>357</v>
      </c>
      <c r="X1383" t="s">
        <v>388</v>
      </c>
      <c r="Y1383" t="s">
        <v>1147</v>
      </c>
      <c r="Z1383" t="s">
        <v>1147</v>
      </c>
      <c r="AA1383" t="s">
        <v>1148</v>
      </c>
      <c r="AB1383" s="3">
        <f t="shared" si="173"/>
        <v>2</v>
      </c>
      <c r="AC1383">
        <v>1198.52</v>
      </c>
      <c r="AD1383" s="2">
        <v>599.26</v>
      </c>
      <c r="AE1383" s="2">
        <v>402.76</v>
      </c>
      <c r="AF1383" s="2">
        <v>9.49</v>
      </c>
      <c r="AG1383" s="2">
        <v>1610.77</v>
      </c>
      <c r="AH1383">
        <v>0</v>
      </c>
      <c r="AI1383">
        <v>805.38499999999999</v>
      </c>
      <c r="AJ1383">
        <v>8.0538500000000006</v>
      </c>
      <c r="AK1383" t="s">
        <v>54</v>
      </c>
      <c r="AL1383">
        <v>10.36</v>
      </c>
      <c r="AM1383" s="4">
        <f t="shared" si="174"/>
        <v>805.38499999999999</v>
      </c>
      <c r="AN1383" s="4">
        <f t="shared" si="175"/>
        <v>1123.6125</v>
      </c>
      <c r="AO1383" s="4">
        <f t="shared" si="176"/>
        <v>1248.3334875</v>
      </c>
      <c r="AP1383" s="4">
        <f t="shared" si="177"/>
        <v>1820.1398887499997</v>
      </c>
      <c r="AQ1383" s="10">
        <f t="shared" si="178"/>
        <v>1400.6450535000001</v>
      </c>
      <c r="AR1383" s="10">
        <f t="shared" si="179"/>
        <v>1556.25671894385</v>
      </c>
      <c r="AS1383" s="10">
        <f t="shared" si="180"/>
        <v>2180.5242192887999</v>
      </c>
    </row>
    <row r="1384" spans="1:45" x14ac:dyDescent="0.3">
      <c r="A1384">
        <v>2025</v>
      </c>
      <c r="B1384">
        <v>5</v>
      </c>
      <c r="C1384" t="s">
        <v>55</v>
      </c>
      <c r="D1384">
        <v>10</v>
      </c>
      <c r="E1384" t="s">
        <v>36</v>
      </c>
      <c r="F1384" t="s">
        <v>37</v>
      </c>
      <c r="G1384" t="s">
        <v>38</v>
      </c>
      <c r="H1384" t="s">
        <v>83</v>
      </c>
      <c r="I1384" t="s">
        <v>190</v>
      </c>
      <c r="J1384" t="s">
        <v>58</v>
      </c>
      <c r="K1384" t="s">
        <v>59</v>
      </c>
      <c r="M1384" t="s">
        <v>682</v>
      </c>
      <c r="N1384" t="s">
        <v>384</v>
      </c>
      <c r="O1384" t="s">
        <v>36</v>
      </c>
      <c r="Q1384" t="s">
        <v>62</v>
      </c>
      <c r="R1384" t="s">
        <v>683</v>
      </c>
      <c r="S1384" t="s">
        <v>683</v>
      </c>
      <c r="T1384" t="s">
        <v>47</v>
      </c>
      <c r="U1384" t="s">
        <v>178</v>
      </c>
      <c r="V1384" t="s">
        <v>49</v>
      </c>
      <c r="W1384" t="s">
        <v>179</v>
      </c>
      <c r="X1384" t="s">
        <v>686</v>
      </c>
      <c r="Y1384" t="s">
        <v>1151</v>
      </c>
      <c r="Z1384" t="s">
        <v>1151</v>
      </c>
      <c r="AA1384" t="s">
        <v>1538</v>
      </c>
      <c r="AB1384" s="3">
        <f t="shared" si="173"/>
        <v>2</v>
      </c>
      <c r="AC1384">
        <v>454.4</v>
      </c>
      <c r="AD1384" s="2">
        <v>227.2</v>
      </c>
      <c r="AE1384" s="2">
        <v>165.23</v>
      </c>
      <c r="AF1384" s="2">
        <v>3.8</v>
      </c>
      <c r="AG1384" s="2">
        <v>623.42999999999995</v>
      </c>
      <c r="AH1384">
        <v>0</v>
      </c>
      <c r="AI1384">
        <v>311.71499999999997</v>
      </c>
      <c r="AJ1384">
        <v>3.1171500000000001</v>
      </c>
      <c r="AK1384" t="s">
        <v>54</v>
      </c>
      <c r="AL1384">
        <v>4.45</v>
      </c>
      <c r="AM1384" s="4">
        <f t="shared" si="174"/>
        <v>311.71499999999997</v>
      </c>
      <c r="AN1384" s="4">
        <f t="shared" si="175"/>
        <v>426</v>
      </c>
      <c r="AO1384" s="4">
        <f t="shared" si="176"/>
        <v>473.286</v>
      </c>
      <c r="AP1384" s="4">
        <f t="shared" si="177"/>
        <v>690.07740000000001</v>
      </c>
      <c r="AQ1384" s="10">
        <f t="shared" si="178"/>
        <v>542.10355649999997</v>
      </c>
      <c r="AR1384" s="10">
        <f t="shared" si="179"/>
        <v>602.33126162714996</v>
      </c>
      <c r="AS1384" s="10">
        <f t="shared" si="180"/>
        <v>843.94681675919992</v>
      </c>
    </row>
    <row r="1385" spans="1:45" x14ac:dyDescent="0.3">
      <c r="A1385">
        <v>2025</v>
      </c>
      <c r="B1385">
        <v>11</v>
      </c>
      <c r="C1385" t="s">
        <v>55</v>
      </c>
      <c r="D1385">
        <v>10</v>
      </c>
      <c r="E1385" t="s">
        <v>36</v>
      </c>
      <c r="F1385" t="s">
        <v>37</v>
      </c>
      <c r="G1385" t="s">
        <v>38</v>
      </c>
      <c r="H1385" t="s">
        <v>83</v>
      </c>
      <c r="I1385" t="s">
        <v>190</v>
      </c>
      <c r="J1385" t="s">
        <v>58</v>
      </c>
      <c r="K1385" t="s">
        <v>59</v>
      </c>
      <c r="L1385" t="s">
        <v>1629</v>
      </c>
      <c r="M1385" t="s">
        <v>1630</v>
      </c>
      <c r="N1385" t="s">
        <v>1485</v>
      </c>
      <c r="O1385" t="s">
        <v>1197</v>
      </c>
      <c r="Q1385" t="s">
        <v>62</v>
      </c>
      <c r="R1385" t="s">
        <v>1631</v>
      </c>
      <c r="S1385" t="s">
        <v>1631</v>
      </c>
      <c r="T1385" t="s">
        <v>47</v>
      </c>
      <c r="U1385" t="s">
        <v>1036</v>
      </c>
      <c r="V1385" t="s">
        <v>49</v>
      </c>
      <c r="W1385" t="s">
        <v>1037</v>
      </c>
      <c r="X1385" t="s">
        <v>1578</v>
      </c>
      <c r="Y1385" t="s">
        <v>727</v>
      </c>
      <c r="Z1385" t="s">
        <v>727</v>
      </c>
      <c r="AA1385" t="s">
        <v>728</v>
      </c>
      <c r="AB1385" s="3">
        <f t="shared" si="173"/>
        <v>2</v>
      </c>
      <c r="AC1385">
        <v>2081.75</v>
      </c>
      <c r="AD1385" s="2">
        <v>1040.875</v>
      </c>
      <c r="AE1385" s="2">
        <v>189.35</v>
      </c>
      <c r="AF1385" s="2">
        <v>19.82</v>
      </c>
      <c r="AG1385" s="2">
        <v>2290.92</v>
      </c>
      <c r="AH1385">
        <v>0</v>
      </c>
      <c r="AI1385">
        <v>1145.46</v>
      </c>
      <c r="AJ1385">
        <v>11.454599999999999</v>
      </c>
      <c r="AK1385" t="s">
        <v>54</v>
      </c>
      <c r="AL1385">
        <v>6.21</v>
      </c>
      <c r="AM1385" s="4">
        <f t="shared" si="174"/>
        <v>1145.46</v>
      </c>
      <c r="AN1385" s="4">
        <f t="shared" si="175"/>
        <v>1951.640625</v>
      </c>
      <c r="AO1385" s="4">
        <f t="shared" si="176"/>
        <v>2168.2727343749998</v>
      </c>
      <c r="AP1385" s="4">
        <f t="shared" si="177"/>
        <v>3161.4626484374999</v>
      </c>
      <c r="AQ1385" s="10">
        <f t="shared" si="178"/>
        <v>1992.0694860000001</v>
      </c>
      <c r="AR1385" s="10">
        <f t="shared" si="179"/>
        <v>2213.3884058946001</v>
      </c>
      <c r="AS1385" s="10">
        <f t="shared" si="180"/>
        <v>3101.2537758048002</v>
      </c>
    </row>
    <row r="1386" spans="1:45" x14ac:dyDescent="0.3">
      <c r="A1386">
        <v>2025</v>
      </c>
      <c r="B1386">
        <v>11</v>
      </c>
      <c r="C1386" t="s">
        <v>55</v>
      </c>
      <c r="D1386">
        <v>10</v>
      </c>
      <c r="E1386" t="s">
        <v>36</v>
      </c>
      <c r="F1386" t="s">
        <v>37</v>
      </c>
      <c r="G1386" t="s">
        <v>38</v>
      </c>
      <c r="H1386" t="s">
        <v>83</v>
      </c>
      <c r="I1386" t="s">
        <v>190</v>
      </c>
      <c r="J1386" t="s">
        <v>58</v>
      </c>
      <c r="K1386" t="s">
        <v>59</v>
      </c>
      <c r="L1386" t="s">
        <v>1629</v>
      </c>
      <c r="M1386" t="s">
        <v>1630</v>
      </c>
      <c r="N1386" t="s">
        <v>1485</v>
      </c>
      <c r="O1386" t="s">
        <v>1197</v>
      </c>
      <c r="Q1386" t="s">
        <v>62</v>
      </c>
      <c r="R1386" t="s">
        <v>1631</v>
      </c>
      <c r="S1386" t="s">
        <v>1631</v>
      </c>
      <c r="T1386" t="s">
        <v>47</v>
      </c>
      <c r="U1386" t="s">
        <v>1036</v>
      </c>
      <c r="V1386" t="s">
        <v>49</v>
      </c>
      <c r="W1386" t="s">
        <v>1037</v>
      </c>
      <c r="X1386" t="s">
        <v>1578</v>
      </c>
      <c r="Y1386" t="s">
        <v>1663</v>
      </c>
      <c r="Z1386" t="s">
        <v>1663</v>
      </c>
      <c r="AA1386" t="s">
        <v>1664</v>
      </c>
      <c r="AB1386" s="3">
        <f t="shared" si="173"/>
        <v>1</v>
      </c>
      <c r="AC1386">
        <v>378.7</v>
      </c>
      <c r="AD1386" s="2">
        <v>378.7</v>
      </c>
      <c r="AE1386" s="2">
        <v>98.6</v>
      </c>
      <c r="AF1386" s="2">
        <v>2.92</v>
      </c>
      <c r="AG1386" s="2">
        <v>480.22</v>
      </c>
      <c r="AH1386">
        <v>0</v>
      </c>
      <c r="AI1386">
        <v>480.22</v>
      </c>
      <c r="AJ1386">
        <v>2.4011</v>
      </c>
      <c r="AK1386" t="s">
        <v>54</v>
      </c>
      <c r="AL1386">
        <v>4.7699999999999996</v>
      </c>
      <c r="AM1386" s="4">
        <f t="shared" si="174"/>
        <v>480.22</v>
      </c>
      <c r="AN1386" s="4">
        <f t="shared" si="175"/>
        <v>710.0625</v>
      </c>
      <c r="AO1386" s="4">
        <f t="shared" si="176"/>
        <v>788.87943749999999</v>
      </c>
      <c r="AP1386" s="4">
        <f t="shared" si="177"/>
        <v>1150.23024375</v>
      </c>
      <c r="AQ1386" s="10">
        <f t="shared" si="178"/>
        <v>835.15060200000005</v>
      </c>
      <c r="AR1386" s="10">
        <f t="shared" si="179"/>
        <v>927.93583388220009</v>
      </c>
      <c r="AS1386" s="10">
        <f t="shared" si="180"/>
        <v>1300.1624571935999</v>
      </c>
    </row>
    <row r="1387" spans="1:45" x14ac:dyDescent="0.3">
      <c r="A1387">
        <v>2025</v>
      </c>
      <c r="B1387">
        <v>12</v>
      </c>
      <c r="C1387" t="s">
        <v>55</v>
      </c>
      <c r="D1387">
        <v>10</v>
      </c>
      <c r="E1387" t="s">
        <v>36</v>
      </c>
      <c r="F1387" t="s">
        <v>37</v>
      </c>
      <c r="G1387" t="s">
        <v>38</v>
      </c>
      <c r="H1387" t="s">
        <v>83</v>
      </c>
      <c r="I1387" t="s">
        <v>57</v>
      </c>
      <c r="J1387" t="s">
        <v>58</v>
      </c>
      <c r="K1387" t="s">
        <v>59</v>
      </c>
      <c r="L1387" t="s">
        <v>1769</v>
      </c>
      <c r="M1387" t="s">
        <v>1770</v>
      </c>
      <c r="N1387" t="s">
        <v>1771</v>
      </c>
      <c r="O1387" t="s">
        <v>1197</v>
      </c>
      <c r="Q1387" t="s">
        <v>62</v>
      </c>
      <c r="R1387" t="s">
        <v>1772</v>
      </c>
      <c r="S1387" t="s">
        <v>1772</v>
      </c>
      <c r="T1387" t="s">
        <v>47</v>
      </c>
      <c r="U1387" t="s">
        <v>1877</v>
      </c>
      <c r="V1387" t="s">
        <v>49</v>
      </c>
      <c r="W1387" t="s">
        <v>1878</v>
      </c>
      <c r="X1387" t="s">
        <v>51</v>
      </c>
      <c r="Y1387" t="s">
        <v>1665</v>
      </c>
      <c r="Z1387" t="s">
        <v>1665</v>
      </c>
      <c r="AA1387" t="s">
        <v>1666</v>
      </c>
      <c r="AB1387" s="3">
        <f t="shared" si="173"/>
        <v>1</v>
      </c>
      <c r="AC1387">
        <v>2339.83</v>
      </c>
      <c r="AD1387" s="2">
        <v>2339.83</v>
      </c>
      <c r="AE1387" s="2">
        <v>609.22</v>
      </c>
      <c r="AF1387" s="2">
        <v>18.2</v>
      </c>
      <c r="AG1387" s="2">
        <v>2967.8</v>
      </c>
      <c r="AH1387">
        <v>0</v>
      </c>
      <c r="AI1387">
        <v>2967.8</v>
      </c>
      <c r="AJ1387">
        <v>14.839</v>
      </c>
      <c r="AK1387" t="s">
        <v>54</v>
      </c>
      <c r="AL1387">
        <v>29.45</v>
      </c>
      <c r="AM1387" s="4">
        <f t="shared" si="174"/>
        <v>2967.8</v>
      </c>
      <c r="AN1387" s="4">
        <f t="shared" si="175"/>
        <v>4387.1812499999996</v>
      </c>
      <c r="AO1387" s="4">
        <f t="shared" si="176"/>
        <v>4874.1583687499997</v>
      </c>
      <c r="AP1387" s="4">
        <f t="shared" si="177"/>
        <v>7106.7949068749986</v>
      </c>
      <c r="AQ1387" s="10">
        <f t="shared" si="178"/>
        <v>5161.3009800000009</v>
      </c>
      <c r="AR1387" s="10">
        <f t="shared" si="179"/>
        <v>5734.721518878001</v>
      </c>
      <c r="AS1387" s="10">
        <f t="shared" si="180"/>
        <v>8035.1133656640013</v>
      </c>
    </row>
    <row r="1388" spans="1:45" x14ac:dyDescent="0.3">
      <c r="A1388">
        <v>2025</v>
      </c>
      <c r="B1388">
        <v>11</v>
      </c>
      <c r="C1388" t="s">
        <v>55</v>
      </c>
      <c r="D1388">
        <v>10</v>
      </c>
      <c r="E1388" t="s">
        <v>36</v>
      </c>
      <c r="F1388" t="s">
        <v>37</v>
      </c>
      <c r="G1388" t="s">
        <v>38</v>
      </c>
      <c r="H1388" t="s">
        <v>83</v>
      </c>
      <c r="I1388" t="s">
        <v>190</v>
      </c>
      <c r="J1388" t="s">
        <v>58</v>
      </c>
      <c r="K1388" t="s">
        <v>59</v>
      </c>
      <c r="L1388" t="s">
        <v>1629</v>
      </c>
      <c r="M1388" t="s">
        <v>1630</v>
      </c>
      <c r="N1388" t="s">
        <v>1485</v>
      </c>
      <c r="O1388" t="s">
        <v>1197</v>
      </c>
      <c r="Q1388" t="s">
        <v>62</v>
      </c>
      <c r="R1388" t="s">
        <v>1631</v>
      </c>
      <c r="S1388" t="s">
        <v>1631</v>
      </c>
      <c r="T1388" t="s">
        <v>47</v>
      </c>
      <c r="U1388" t="s">
        <v>1764</v>
      </c>
      <c r="V1388" t="s">
        <v>49</v>
      </c>
      <c r="W1388" t="s">
        <v>1765</v>
      </c>
      <c r="X1388" t="s">
        <v>1578</v>
      </c>
      <c r="Y1388" t="s">
        <v>1879</v>
      </c>
      <c r="Z1388" t="s">
        <v>1879</v>
      </c>
      <c r="AA1388" t="s">
        <v>1880</v>
      </c>
      <c r="AB1388" s="3">
        <f t="shared" si="173"/>
        <v>1</v>
      </c>
      <c r="AC1388">
        <v>4092.41</v>
      </c>
      <c r="AD1388" s="2">
        <v>4092.41</v>
      </c>
      <c r="AE1388" s="2">
        <v>1214.8800000000001</v>
      </c>
      <c r="AF1388" s="2">
        <v>30.72</v>
      </c>
      <c r="AG1388" s="2">
        <v>5338.1</v>
      </c>
      <c r="AH1388">
        <v>0</v>
      </c>
      <c r="AI1388">
        <v>5338.1</v>
      </c>
      <c r="AJ1388">
        <v>26.6905</v>
      </c>
      <c r="AK1388" t="s">
        <v>54</v>
      </c>
      <c r="AL1388">
        <v>30.42</v>
      </c>
      <c r="AM1388" s="4">
        <f t="shared" si="174"/>
        <v>5338.1</v>
      </c>
      <c r="AN1388" s="4">
        <f t="shared" si="175"/>
        <v>7673.2687499999993</v>
      </c>
      <c r="AO1388" s="4">
        <f t="shared" si="176"/>
        <v>8525.0015812499987</v>
      </c>
      <c r="AP1388" s="4">
        <f t="shared" si="177"/>
        <v>12429.928048124999</v>
      </c>
      <c r="AQ1388" s="10">
        <f t="shared" si="178"/>
        <v>9283.4897100000017</v>
      </c>
      <c r="AR1388" s="10">
        <f t="shared" si="179"/>
        <v>10314.885416781002</v>
      </c>
      <c r="AS1388" s="10">
        <f t="shared" si="180"/>
        <v>14452.536780528002</v>
      </c>
    </row>
    <row r="1389" spans="1:45" x14ac:dyDescent="0.3">
      <c r="A1389">
        <v>2025</v>
      </c>
      <c r="B1389">
        <v>3</v>
      </c>
      <c r="C1389" t="s">
        <v>55</v>
      </c>
      <c r="D1389">
        <v>10</v>
      </c>
      <c r="E1389" t="s">
        <v>36</v>
      </c>
      <c r="F1389" t="s">
        <v>37</v>
      </c>
      <c r="G1389" t="s">
        <v>38</v>
      </c>
      <c r="H1389" t="s">
        <v>83</v>
      </c>
      <c r="I1389" t="s">
        <v>190</v>
      </c>
      <c r="J1389" t="s">
        <v>58</v>
      </c>
      <c r="K1389" t="s">
        <v>59</v>
      </c>
      <c r="M1389" t="s">
        <v>209</v>
      </c>
      <c r="N1389" t="s">
        <v>61</v>
      </c>
      <c r="O1389" t="s">
        <v>43</v>
      </c>
      <c r="Q1389" t="s">
        <v>62</v>
      </c>
      <c r="R1389" t="s">
        <v>210</v>
      </c>
      <c r="S1389" t="s">
        <v>211</v>
      </c>
      <c r="T1389" t="s">
        <v>47</v>
      </c>
      <c r="U1389" t="s">
        <v>118</v>
      </c>
      <c r="V1389" t="s">
        <v>49</v>
      </c>
      <c r="W1389" t="s">
        <v>119</v>
      </c>
      <c r="X1389" t="s">
        <v>51</v>
      </c>
      <c r="Y1389" t="s">
        <v>1766</v>
      </c>
      <c r="Z1389" t="s">
        <v>1766</v>
      </c>
      <c r="AA1389" t="s">
        <v>1767</v>
      </c>
      <c r="AB1389" s="3">
        <f t="shared" si="173"/>
        <v>1</v>
      </c>
      <c r="AC1389">
        <v>3492.5</v>
      </c>
      <c r="AD1389" s="2">
        <v>3492.5</v>
      </c>
      <c r="AE1389" s="2">
        <v>909.23</v>
      </c>
      <c r="AF1389" s="2">
        <v>26.9</v>
      </c>
      <c r="AG1389" s="2">
        <v>4428.17</v>
      </c>
      <c r="AH1389">
        <v>0</v>
      </c>
      <c r="AI1389">
        <v>4428.17</v>
      </c>
      <c r="AJ1389">
        <v>22.14085</v>
      </c>
      <c r="AK1389" t="s">
        <v>54</v>
      </c>
      <c r="AL1389">
        <v>43.95</v>
      </c>
      <c r="AM1389" s="4">
        <f t="shared" si="174"/>
        <v>4428.17</v>
      </c>
      <c r="AN1389" s="4">
        <f t="shared" si="175"/>
        <v>6548.4375</v>
      </c>
      <c r="AO1389" s="4">
        <f t="shared" si="176"/>
        <v>7275.3140624999996</v>
      </c>
      <c r="AP1389" s="4">
        <f t="shared" si="177"/>
        <v>10607.813906249999</v>
      </c>
      <c r="AQ1389" s="10">
        <f t="shared" si="178"/>
        <v>7701.0304470000001</v>
      </c>
      <c r="AR1389" s="10">
        <f t="shared" si="179"/>
        <v>8556.6149296617004</v>
      </c>
      <c r="AS1389" s="10">
        <f t="shared" si="180"/>
        <v>11988.9641998896</v>
      </c>
    </row>
    <row r="1390" spans="1:45" x14ac:dyDescent="0.3">
      <c r="A1390">
        <v>2025</v>
      </c>
      <c r="B1390">
        <v>4</v>
      </c>
      <c r="C1390" t="s">
        <v>55</v>
      </c>
      <c r="D1390">
        <v>10</v>
      </c>
      <c r="E1390" t="s">
        <v>36</v>
      </c>
      <c r="F1390" t="s">
        <v>37</v>
      </c>
      <c r="G1390" t="s">
        <v>38</v>
      </c>
      <c r="H1390" t="s">
        <v>83</v>
      </c>
      <c r="I1390" t="s">
        <v>375</v>
      </c>
      <c r="J1390" t="s">
        <v>376</v>
      </c>
      <c r="K1390" t="s">
        <v>59</v>
      </c>
      <c r="M1390">
        <v>2503061</v>
      </c>
      <c r="N1390" t="s">
        <v>377</v>
      </c>
      <c r="O1390" t="s">
        <v>36</v>
      </c>
      <c r="Q1390" t="s">
        <v>62</v>
      </c>
      <c r="R1390" t="s">
        <v>378</v>
      </c>
      <c r="S1390" t="s">
        <v>378</v>
      </c>
      <c r="T1390" t="s">
        <v>47</v>
      </c>
      <c r="U1390" t="s">
        <v>118</v>
      </c>
      <c r="V1390" t="s">
        <v>49</v>
      </c>
      <c r="W1390" t="s">
        <v>119</v>
      </c>
      <c r="X1390" t="s">
        <v>51</v>
      </c>
      <c r="Y1390" t="s">
        <v>278</v>
      </c>
      <c r="Z1390" t="s">
        <v>64</v>
      </c>
      <c r="AA1390" t="s">
        <v>279</v>
      </c>
      <c r="AB1390" s="3">
        <f t="shared" si="173"/>
        <v>10</v>
      </c>
      <c r="AC1390">
        <v>847.74</v>
      </c>
      <c r="AD1390" s="2">
        <v>84.774000000000001</v>
      </c>
      <c r="AE1390" s="2">
        <v>189.36</v>
      </c>
      <c r="AF1390" s="2">
        <v>6.21</v>
      </c>
      <c r="AG1390" s="2">
        <v>1043.3</v>
      </c>
      <c r="AH1390">
        <v>0</v>
      </c>
      <c r="AI1390">
        <v>104.33</v>
      </c>
      <c r="AJ1390">
        <v>5.2164999999999999</v>
      </c>
      <c r="AK1390" t="s">
        <v>54</v>
      </c>
      <c r="AL1390">
        <v>22.02</v>
      </c>
      <c r="AM1390" s="4">
        <f t="shared" si="174"/>
        <v>104.33</v>
      </c>
      <c r="AN1390" s="4">
        <f t="shared" si="175"/>
        <v>158.95125000000002</v>
      </c>
      <c r="AO1390" s="4">
        <f t="shared" si="176"/>
        <v>176.59483875000001</v>
      </c>
      <c r="AP1390" s="4">
        <f t="shared" si="177"/>
        <v>257.48512987499998</v>
      </c>
      <c r="AQ1390" s="10">
        <f t="shared" si="178"/>
        <v>181.440303</v>
      </c>
      <c r="AR1390" s="10">
        <f t="shared" si="179"/>
        <v>201.5983206633</v>
      </c>
      <c r="AS1390" s="10">
        <f t="shared" si="180"/>
        <v>282.46626371039997</v>
      </c>
    </row>
    <row r="1391" spans="1:45" x14ac:dyDescent="0.3">
      <c r="A1391">
        <v>2025</v>
      </c>
      <c r="B1391">
        <v>4</v>
      </c>
      <c r="C1391" t="s">
        <v>55</v>
      </c>
      <c r="D1391">
        <v>10</v>
      </c>
      <c r="E1391" t="s">
        <v>36</v>
      </c>
      <c r="F1391" t="s">
        <v>37</v>
      </c>
      <c r="G1391" t="s">
        <v>38</v>
      </c>
      <c r="H1391" t="s">
        <v>83</v>
      </c>
      <c r="I1391" t="s">
        <v>190</v>
      </c>
      <c r="J1391" t="s">
        <v>58</v>
      </c>
      <c r="K1391" t="s">
        <v>59</v>
      </c>
      <c r="M1391" t="s">
        <v>383</v>
      </c>
      <c r="N1391" t="s">
        <v>384</v>
      </c>
      <c r="O1391" t="s">
        <v>36</v>
      </c>
      <c r="Q1391" t="s">
        <v>62</v>
      </c>
      <c r="R1391" t="s">
        <v>385</v>
      </c>
      <c r="S1391" t="s">
        <v>385</v>
      </c>
      <c r="T1391" t="s">
        <v>47</v>
      </c>
      <c r="U1391" t="s">
        <v>118</v>
      </c>
      <c r="V1391" t="s">
        <v>49</v>
      </c>
      <c r="W1391" t="s">
        <v>119</v>
      </c>
      <c r="X1391" t="s">
        <v>388</v>
      </c>
      <c r="Y1391" t="s">
        <v>278</v>
      </c>
      <c r="Z1391" t="s">
        <v>278</v>
      </c>
      <c r="AA1391" t="s">
        <v>279</v>
      </c>
      <c r="AB1391" s="3">
        <f t="shared" si="173"/>
        <v>10</v>
      </c>
      <c r="AC1391">
        <v>856.73</v>
      </c>
      <c r="AD1391" s="2">
        <v>85.673000000000002</v>
      </c>
      <c r="AE1391" s="2">
        <v>235.53</v>
      </c>
      <c r="AF1391" s="2">
        <v>5.93</v>
      </c>
      <c r="AG1391" s="2">
        <v>1098.19</v>
      </c>
      <c r="AH1391">
        <v>0</v>
      </c>
      <c r="AI1391">
        <v>109.819</v>
      </c>
      <c r="AJ1391">
        <v>5.4909499999999998</v>
      </c>
      <c r="AK1391" t="s">
        <v>54</v>
      </c>
      <c r="AL1391">
        <v>11.24</v>
      </c>
      <c r="AM1391" s="4">
        <f t="shared" si="174"/>
        <v>109.819</v>
      </c>
      <c r="AN1391" s="4">
        <f t="shared" si="175"/>
        <v>160.636875</v>
      </c>
      <c r="AO1391" s="4">
        <f t="shared" si="176"/>
        <v>178.46756812500001</v>
      </c>
      <c r="AP1391" s="4">
        <f t="shared" si="177"/>
        <v>260.21567381249997</v>
      </c>
      <c r="AQ1391" s="10">
        <f t="shared" si="178"/>
        <v>190.9862229</v>
      </c>
      <c r="AR1391" s="10">
        <f t="shared" si="179"/>
        <v>212.20479226418999</v>
      </c>
      <c r="AS1391" s="10">
        <f t="shared" si="180"/>
        <v>297.32735181072002</v>
      </c>
    </row>
    <row r="1392" spans="1:45" x14ac:dyDescent="0.3">
      <c r="A1392">
        <v>2025</v>
      </c>
      <c r="B1392">
        <v>11</v>
      </c>
      <c r="C1392" t="s">
        <v>55</v>
      </c>
      <c r="D1392">
        <v>10</v>
      </c>
      <c r="E1392" t="s">
        <v>36</v>
      </c>
      <c r="F1392" t="s">
        <v>37</v>
      </c>
      <c r="G1392" t="s">
        <v>38</v>
      </c>
      <c r="H1392" t="s">
        <v>83</v>
      </c>
      <c r="I1392" t="s">
        <v>375</v>
      </c>
      <c r="J1392" t="s">
        <v>376</v>
      </c>
      <c r="K1392" t="s">
        <v>51</v>
      </c>
      <c r="L1392" t="s">
        <v>1622</v>
      </c>
      <c r="M1392" t="s">
        <v>1623</v>
      </c>
      <c r="N1392" t="s">
        <v>1485</v>
      </c>
      <c r="O1392" t="s">
        <v>1197</v>
      </c>
      <c r="Q1392" t="s">
        <v>62</v>
      </c>
      <c r="R1392" t="s">
        <v>1624</v>
      </c>
      <c r="S1392" t="s">
        <v>1624</v>
      </c>
      <c r="T1392" t="s">
        <v>47</v>
      </c>
      <c r="U1392" t="s">
        <v>118</v>
      </c>
      <c r="V1392" t="s">
        <v>49</v>
      </c>
      <c r="W1392" t="s">
        <v>714</v>
      </c>
      <c r="X1392" t="s">
        <v>51</v>
      </c>
      <c r="Y1392" t="s">
        <v>278</v>
      </c>
      <c r="Z1392" t="s">
        <v>278</v>
      </c>
      <c r="AA1392" t="s">
        <v>279</v>
      </c>
      <c r="AB1392" s="3">
        <f t="shared" si="173"/>
        <v>10</v>
      </c>
      <c r="AC1392">
        <v>881.88</v>
      </c>
      <c r="AD1392" s="2">
        <v>88.188000000000002</v>
      </c>
      <c r="AE1392" s="2">
        <v>153.24</v>
      </c>
      <c r="AF1392" s="2">
        <v>5.7</v>
      </c>
      <c r="AG1392" s="2">
        <v>1040.82</v>
      </c>
      <c r="AH1392">
        <v>0</v>
      </c>
      <c r="AI1392">
        <v>104.08199999999999</v>
      </c>
      <c r="AJ1392">
        <v>5.2041000000000004</v>
      </c>
      <c r="AK1392" t="s">
        <v>54</v>
      </c>
      <c r="AL1392">
        <v>7.8</v>
      </c>
      <c r="AM1392" s="4">
        <f t="shared" si="174"/>
        <v>104.08199999999999</v>
      </c>
      <c r="AN1392" s="4">
        <f t="shared" si="175"/>
        <v>165.35249999999999</v>
      </c>
      <c r="AO1392" s="4">
        <f t="shared" si="176"/>
        <v>183.7066275</v>
      </c>
      <c r="AP1392" s="4">
        <f t="shared" si="177"/>
        <v>267.85451474999996</v>
      </c>
      <c r="AQ1392" s="10">
        <f t="shared" si="178"/>
        <v>181.00900619999999</v>
      </c>
      <c r="AR1392" s="10">
        <f t="shared" si="179"/>
        <v>201.11910678881998</v>
      </c>
      <c r="AS1392" s="10">
        <f t="shared" si="180"/>
        <v>281.79482085216</v>
      </c>
    </row>
    <row r="1393" spans="1:45" x14ac:dyDescent="0.3">
      <c r="A1393">
        <v>2025</v>
      </c>
      <c r="B1393">
        <v>11</v>
      </c>
      <c r="C1393" t="s">
        <v>55</v>
      </c>
      <c r="D1393">
        <v>10</v>
      </c>
      <c r="E1393" t="s">
        <v>36</v>
      </c>
      <c r="F1393" t="s">
        <v>37</v>
      </c>
      <c r="G1393" t="s">
        <v>38</v>
      </c>
      <c r="H1393" t="s">
        <v>83</v>
      </c>
      <c r="I1393" t="s">
        <v>375</v>
      </c>
      <c r="J1393" t="s">
        <v>376</v>
      </c>
      <c r="K1393" t="s">
        <v>59</v>
      </c>
      <c r="L1393" t="s">
        <v>1647</v>
      </c>
      <c r="M1393" t="s">
        <v>1633</v>
      </c>
      <c r="N1393" t="s">
        <v>1485</v>
      </c>
      <c r="O1393" t="s">
        <v>1197</v>
      </c>
      <c r="Q1393" t="s">
        <v>62</v>
      </c>
      <c r="R1393" t="s">
        <v>1648</v>
      </c>
      <c r="S1393" t="s">
        <v>1648</v>
      </c>
      <c r="T1393" t="s">
        <v>47</v>
      </c>
      <c r="U1393" t="s">
        <v>118</v>
      </c>
      <c r="V1393" t="s">
        <v>49</v>
      </c>
      <c r="W1393" t="s">
        <v>714</v>
      </c>
      <c r="X1393" t="s">
        <v>51</v>
      </c>
      <c r="Y1393" t="s">
        <v>1349</v>
      </c>
      <c r="Z1393" t="s">
        <v>1349</v>
      </c>
      <c r="AA1393" t="s">
        <v>279</v>
      </c>
      <c r="AB1393" s="3">
        <f t="shared" si="173"/>
        <v>20</v>
      </c>
      <c r="AC1393">
        <v>1353.22</v>
      </c>
      <c r="AD1393" s="2">
        <v>67.661000000000001</v>
      </c>
      <c r="AE1393" s="2">
        <v>189.48</v>
      </c>
      <c r="AF1393" s="2">
        <v>9.3699999999999992</v>
      </c>
      <c r="AG1393" s="2">
        <v>1552.7</v>
      </c>
      <c r="AH1393">
        <v>0</v>
      </c>
      <c r="AI1393">
        <v>77.635000000000005</v>
      </c>
      <c r="AJ1393">
        <v>7.7634999999999996</v>
      </c>
      <c r="AK1393" t="s">
        <v>54</v>
      </c>
      <c r="AL1393">
        <v>7.12</v>
      </c>
      <c r="AM1393" s="4">
        <f t="shared" si="174"/>
        <v>77.635000000000005</v>
      </c>
      <c r="AN1393" s="4">
        <f t="shared" si="175"/>
        <v>126.864375</v>
      </c>
      <c r="AO1393" s="4">
        <f t="shared" si="176"/>
        <v>140.946320625</v>
      </c>
      <c r="AP1393" s="4">
        <f t="shared" si="177"/>
        <v>205.50760106249999</v>
      </c>
      <c r="AQ1393" s="10">
        <f t="shared" si="178"/>
        <v>135.01502850000003</v>
      </c>
      <c r="AR1393" s="10">
        <f t="shared" si="179"/>
        <v>150.01519816635002</v>
      </c>
      <c r="AS1393" s="10">
        <f t="shared" si="180"/>
        <v>210.19139636880004</v>
      </c>
    </row>
    <row r="1394" spans="1:45" x14ac:dyDescent="0.3">
      <c r="A1394">
        <v>2025</v>
      </c>
      <c r="B1394">
        <v>9</v>
      </c>
      <c r="C1394" t="s">
        <v>55</v>
      </c>
      <c r="D1394">
        <v>10</v>
      </c>
      <c r="E1394" t="s">
        <v>36</v>
      </c>
      <c r="F1394" t="s">
        <v>37</v>
      </c>
      <c r="G1394" t="s">
        <v>38</v>
      </c>
      <c r="H1394" t="s">
        <v>83</v>
      </c>
      <c r="I1394" t="s">
        <v>375</v>
      </c>
      <c r="J1394" t="s">
        <v>376</v>
      </c>
      <c r="K1394" t="s">
        <v>41</v>
      </c>
      <c r="L1394" t="s">
        <v>1503</v>
      </c>
      <c r="M1394" t="s">
        <v>1504</v>
      </c>
      <c r="N1394" t="s">
        <v>377</v>
      </c>
      <c r="O1394" t="s">
        <v>1197</v>
      </c>
      <c r="Q1394" t="s">
        <v>62</v>
      </c>
      <c r="R1394" t="s">
        <v>1505</v>
      </c>
      <c r="S1394" t="s">
        <v>1505</v>
      </c>
      <c r="T1394" t="s">
        <v>47</v>
      </c>
      <c r="U1394" t="s">
        <v>105</v>
      </c>
      <c r="V1394" t="s">
        <v>49</v>
      </c>
      <c r="W1394" t="s">
        <v>708</v>
      </c>
      <c r="X1394" t="s">
        <v>388</v>
      </c>
      <c r="Y1394" t="s">
        <v>1707</v>
      </c>
      <c r="Z1394" t="s">
        <v>1707</v>
      </c>
      <c r="AA1394" t="s">
        <v>279</v>
      </c>
      <c r="AB1394" s="3">
        <f t="shared" si="173"/>
        <v>20.000000000000004</v>
      </c>
      <c r="AC1394">
        <v>1370.4</v>
      </c>
      <c r="AD1394" s="2">
        <v>68.52</v>
      </c>
      <c r="AE1394" s="2">
        <v>475.46</v>
      </c>
      <c r="AF1394" s="2">
        <v>11.2</v>
      </c>
      <c r="AG1394" s="2">
        <v>1856.7</v>
      </c>
      <c r="AH1394">
        <v>0</v>
      </c>
      <c r="AI1394">
        <v>92.834999999999994</v>
      </c>
      <c r="AJ1394">
        <v>9.2835000000000001</v>
      </c>
      <c r="AK1394" t="s">
        <v>54</v>
      </c>
      <c r="AL1394">
        <v>12.23</v>
      </c>
      <c r="AM1394" s="4">
        <f t="shared" si="174"/>
        <v>92.83499999999998</v>
      </c>
      <c r="AN1394" s="4">
        <f t="shared" si="175"/>
        <v>128.47499999999999</v>
      </c>
      <c r="AO1394" s="4">
        <f t="shared" si="176"/>
        <v>142.735725</v>
      </c>
      <c r="AP1394" s="4">
        <f t="shared" si="177"/>
        <v>208.11665249999999</v>
      </c>
      <c r="AQ1394" s="10">
        <f t="shared" si="178"/>
        <v>161.44934849999999</v>
      </c>
      <c r="AR1394" s="10">
        <f t="shared" si="179"/>
        <v>179.38637111834998</v>
      </c>
      <c r="AS1394" s="10">
        <f t="shared" si="180"/>
        <v>251.34434574479997</v>
      </c>
    </row>
    <row r="1395" spans="1:45" x14ac:dyDescent="0.3">
      <c r="A1395">
        <v>2025</v>
      </c>
      <c r="B1395">
        <v>1</v>
      </c>
      <c r="C1395" t="s">
        <v>55</v>
      </c>
      <c r="D1395">
        <v>10</v>
      </c>
      <c r="E1395" t="s">
        <v>36</v>
      </c>
      <c r="F1395" t="s">
        <v>37</v>
      </c>
      <c r="G1395" t="s">
        <v>38</v>
      </c>
      <c r="H1395" t="s">
        <v>83</v>
      </c>
      <c r="I1395" t="s">
        <v>57</v>
      </c>
      <c r="J1395" t="s">
        <v>58</v>
      </c>
      <c r="K1395" t="s">
        <v>59</v>
      </c>
      <c r="M1395" t="s">
        <v>60</v>
      </c>
      <c r="N1395" t="s">
        <v>61</v>
      </c>
      <c r="O1395" t="s">
        <v>43</v>
      </c>
      <c r="Q1395" t="s">
        <v>62</v>
      </c>
      <c r="R1395" t="s">
        <v>63</v>
      </c>
      <c r="S1395" t="s">
        <v>63</v>
      </c>
      <c r="T1395" t="s">
        <v>47</v>
      </c>
      <c r="U1395" t="s">
        <v>153</v>
      </c>
      <c r="V1395" t="s">
        <v>49</v>
      </c>
      <c r="W1395" t="s">
        <v>154</v>
      </c>
      <c r="X1395" t="s">
        <v>51</v>
      </c>
      <c r="Y1395" t="s">
        <v>1506</v>
      </c>
      <c r="Z1395" t="s">
        <v>1506</v>
      </c>
      <c r="AA1395" t="s">
        <v>1507</v>
      </c>
      <c r="AB1395" s="3">
        <f t="shared" si="173"/>
        <v>2</v>
      </c>
      <c r="AC1395">
        <v>109.68</v>
      </c>
      <c r="AD1395" s="2">
        <v>54.84</v>
      </c>
      <c r="AE1395" s="2">
        <v>39.880000000000003</v>
      </c>
      <c r="AF1395" s="2">
        <v>0.92</v>
      </c>
      <c r="AG1395" s="2">
        <v>150.47999999999999</v>
      </c>
      <c r="AH1395">
        <v>0</v>
      </c>
      <c r="AI1395">
        <v>75.239999999999995</v>
      </c>
      <c r="AJ1395">
        <v>0.75239999999999996</v>
      </c>
      <c r="AK1395" t="s">
        <v>54</v>
      </c>
      <c r="AL1395">
        <v>4.45</v>
      </c>
      <c r="AM1395" s="4">
        <f t="shared" si="174"/>
        <v>75.239999999999995</v>
      </c>
      <c r="AN1395" s="4">
        <f t="shared" si="175"/>
        <v>102.825</v>
      </c>
      <c r="AO1395" s="4">
        <f t="shared" si="176"/>
        <v>114.238575</v>
      </c>
      <c r="AP1395" s="4">
        <f t="shared" si="177"/>
        <v>166.56621749999999</v>
      </c>
      <c r="AQ1395" s="10">
        <f t="shared" si="178"/>
        <v>130.849884</v>
      </c>
      <c r="AR1395" s="10">
        <f t="shared" si="179"/>
        <v>145.38730611240001</v>
      </c>
      <c r="AS1395" s="10">
        <f t="shared" si="180"/>
        <v>203.70709941120001</v>
      </c>
    </row>
    <row r="1396" spans="1:45" x14ac:dyDescent="0.3">
      <c r="A1396">
        <v>2025</v>
      </c>
      <c r="B1396">
        <v>3</v>
      </c>
      <c r="C1396" t="s">
        <v>55</v>
      </c>
      <c r="D1396">
        <v>10</v>
      </c>
      <c r="E1396" t="s">
        <v>36</v>
      </c>
      <c r="F1396" t="s">
        <v>37</v>
      </c>
      <c r="G1396" t="s">
        <v>38</v>
      </c>
      <c r="H1396" t="s">
        <v>83</v>
      </c>
      <c r="I1396" t="s">
        <v>190</v>
      </c>
      <c r="J1396" t="s">
        <v>58</v>
      </c>
      <c r="K1396" t="s">
        <v>59</v>
      </c>
      <c r="M1396" t="s">
        <v>209</v>
      </c>
      <c r="N1396" t="s">
        <v>61</v>
      </c>
      <c r="O1396" t="s">
        <v>43</v>
      </c>
      <c r="Q1396" t="s">
        <v>62</v>
      </c>
      <c r="R1396" t="s">
        <v>210</v>
      </c>
      <c r="S1396" t="s">
        <v>211</v>
      </c>
      <c r="T1396" t="s">
        <v>47</v>
      </c>
      <c r="U1396" t="s">
        <v>118</v>
      </c>
      <c r="V1396" t="s">
        <v>49</v>
      </c>
      <c r="W1396" t="s">
        <v>119</v>
      </c>
      <c r="X1396" t="s">
        <v>51</v>
      </c>
      <c r="Y1396" t="s">
        <v>155</v>
      </c>
      <c r="Z1396" t="s">
        <v>64</v>
      </c>
      <c r="AA1396" t="s">
        <v>156</v>
      </c>
      <c r="AB1396" s="3">
        <f t="shared" si="173"/>
        <v>1</v>
      </c>
      <c r="AC1396">
        <v>573.54999999999995</v>
      </c>
      <c r="AD1396" s="2">
        <v>573.54999999999995</v>
      </c>
      <c r="AE1396" s="2">
        <v>137.80000000000001</v>
      </c>
      <c r="AF1396" s="2">
        <v>3.96</v>
      </c>
      <c r="AG1396" s="2">
        <v>715.31</v>
      </c>
      <c r="AH1396">
        <v>0</v>
      </c>
      <c r="AI1396">
        <v>715.31</v>
      </c>
      <c r="AJ1396">
        <v>3.5765500000000001</v>
      </c>
      <c r="AK1396" t="s">
        <v>54</v>
      </c>
      <c r="AL1396">
        <v>3.01</v>
      </c>
      <c r="AM1396" s="4">
        <f t="shared" si="174"/>
        <v>715.31</v>
      </c>
      <c r="AN1396" s="4">
        <f t="shared" si="175"/>
        <v>1075.40625</v>
      </c>
      <c r="AO1396" s="4">
        <f t="shared" si="176"/>
        <v>1194.77634375</v>
      </c>
      <c r="AP1396" s="4">
        <f t="shared" si="177"/>
        <v>1742.050584375</v>
      </c>
      <c r="AQ1396" s="10">
        <f t="shared" si="178"/>
        <v>1243.995621</v>
      </c>
      <c r="AR1396" s="10">
        <f t="shared" si="179"/>
        <v>1382.2035344931001</v>
      </c>
      <c r="AS1396" s="10">
        <f t="shared" si="180"/>
        <v>1936.6523827727999</v>
      </c>
    </row>
    <row r="1397" spans="1:45" x14ac:dyDescent="0.3">
      <c r="A1397">
        <v>2025</v>
      </c>
      <c r="B1397">
        <v>3</v>
      </c>
      <c r="C1397" t="s">
        <v>55</v>
      </c>
      <c r="D1397">
        <v>10</v>
      </c>
      <c r="E1397" t="s">
        <v>36</v>
      </c>
      <c r="F1397" t="s">
        <v>37</v>
      </c>
      <c r="G1397" t="s">
        <v>38</v>
      </c>
      <c r="H1397" t="s">
        <v>83</v>
      </c>
      <c r="I1397" t="s">
        <v>190</v>
      </c>
      <c r="J1397" t="s">
        <v>58</v>
      </c>
      <c r="K1397" t="s">
        <v>59</v>
      </c>
      <c r="M1397" t="s">
        <v>213</v>
      </c>
      <c r="N1397" t="s">
        <v>61</v>
      </c>
      <c r="O1397" t="s">
        <v>43</v>
      </c>
      <c r="Q1397" t="s">
        <v>62</v>
      </c>
      <c r="R1397" t="s">
        <v>214</v>
      </c>
      <c r="S1397" t="s">
        <v>215</v>
      </c>
      <c r="T1397" t="s">
        <v>47</v>
      </c>
      <c r="U1397" t="s">
        <v>118</v>
      </c>
      <c r="V1397" t="s">
        <v>49</v>
      </c>
      <c r="W1397" t="s">
        <v>119</v>
      </c>
      <c r="X1397" t="s">
        <v>51</v>
      </c>
      <c r="Y1397" t="s">
        <v>127</v>
      </c>
      <c r="Z1397" t="s">
        <v>64</v>
      </c>
      <c r="AA1397" t="s">
        <v>277</v>
      </c>
      <c r="AB1397" s="3">
        <f t="shared" si="173"/>
        <v>4</v>
      </c>
      <c r="AC1397">
        <v>1158.6400000000001</v>
      </c>
      <c r="AD1397" s="2">
        <v>289.66000000000003</v>
      </c>
      <c r="AE1397" s="2">
        <v>258.8</v>
      </c>
      <c r="AF1397" s="2">
        <v>8.49</v>
      </c>
      <c r="AG1397" s="2">
        <v>1425.93</v>
      </c>
      <c r="AH1397">
        <v>0</v>
      </c>
      <c r="AI1397">
        <v>356.48250000000002</v>
      </c>
      <c r="AJ1397">
        <v>7.1296499999999998</v>
      </c>
      <c r="AK1397" t="s">
        <v>54</v>
      </c>
      <c r="AL1397">
        <v>8.81</v>
      </c>
      <c r="AM1397" s="4">
        <f t="shared" si="174"/>
        <v>356.48250000000002</v>
      </c>
      <c r="AN1397" s="4">
        <f t="shared" si="175"/>
        <v>543.11250000000007</v>
      </c>
      <c r="AO1397" s="4">
        <f t="shared" si="176"/>
        <v>603.39798750000011</v>
      </c>
      <c r="AP1397" s="4">
        <f t="shared" si="177"/>
        <v>879.78793875000008</v>
      </c>
      <c r="AQ1397" s="10">
        <f t="shared" si="178"/>
        <v>619.95871575000001</v>
      </c>
      <c r="AR1397" s="10">
        <f t="shared" si="179"/>
        <v>688.83612906982501</v>
      </c>
      <c r="AS1397" s="10">
        <f t="shared" si="180"/>
        <v>965.15172867959996</v>
      </c>
    </row>
    <row r="1398" spans="1:45" x14ac:dyDescent="0.3">
      <c r="A1398">
        <v>2025</v>
      </c>
      <c r="B1398">
        <v>7</v>
      </c>
      <c r="C1398" t="s">
        <v>55</v>
      </c>
      <c r="D1398">
        <v>10</v>
      </c>
      <c r="E1398" t="s">
        <v>36</v>
      </c>
      <c r="F1398" t="s">
        <v>37</v>
      </c>
      <c r="G1398" t="s">
        <v>38</v>
      </c>
      <c r="H1398" t="s">
        <v>83</v>
      </c>
      <c r="I1398" t="s">
        <v>190</v>
      </c>
      <c r="J1398" t="s">
        <v>58</v>
      </c>
      <c r="K1398" t="s">
        <v>41</v>
      </c>
      <c r="L1398" t="s">
        <v>953</v>
      </c>
      <c r="M1398" t="s">
        <v>954</v>
      </c>
      <c r="N1398" t="s">
        <v>731</v>
      </c>
      <c r="O1398" t="s">
        <v>36</v>
      </c>
      <c r="Q1398" t="s">
        <v>62</v>
      </c>
      <c r="R1398" t="s">
        <v>955</v>
      </c>
      <c r="S1398" t="s">
        <v>956</v>
      </c>
      <c r="T1398" t="s">
        <v>47</v>
      </c>
      <c r="U1398" t="s">
        <v>118</v>
      </c>
      <c r="V1398" t="s">
        <v>49</v>
      </c>
      <c r="W1398" t="s">
        <v>714</v>
      </c>
      <c r="X1398" t="s">
        <v>51</v>
      </c>
      <c r="Y1398" t="s">
        <v>127</v>
      </c>
      <c r="Z1398" t="s">
        <v>64</v>
      </c>
      <c r="AA1398" t="s">
        <v>277</v>
      </c>
      <c r="AB1398" s="3">
        <f t="shared" si="173"/>
        <v>4</v>
      </c>
      <c r="AC1398">
        <v>883.94</v>
      </c>
      <c r="AD1398" s="2">
        <v>220.98500000000001</v>
      </c>
      <c r="AE1398" s="2">
        <v>185.5</v>
      </c>
      <c r="AF1398" s="2">
        <v>6.54</v>
      </c>
      <c r="AG1398" s="2">
        <v>1075.98</v>
      </c>
      <c r="AH1398">
        <v>0</v>
      </c>
      <c r="AI1398">
        <v>268.995</v>
      </c>
      <c r="AJ1398">
        <v>5.3799000000000001</v>
      </c>
      <c r="AK1398" t="s">
        <v>54</v>
      </c>
      <c r="AL1398">
        <v>7.78</v>
      </c>
      <c r="AM1398" s="4">
        <f t="shared" si="174"/>
        <v>268.995</v>
      </c>
      <c r="AN1398" s="4">
        <f t="shared" si="175"/>
        <v>414.34687500000001</v>
      </c>
      <c r="AO1398" s="4">
        <f t="shared" si="176"/>
        <v>460.339378125</v>
      </c>
      <c r="AP1398" s="4">
        <f t="shared" si="177"/>
        <v>671.20050281249996</v>
      </c>
      <c r="AQ1398" s="10">
        <f t="shared" si="178"/>
        <v>467.80920450000002</v>
      </c>
      <c r="AR1398" s="10">
        <f t="shared" si="179"/>
        <v>519.78280711995001</v>
      </c>
      <c r="AS1398" s="10">
        <f t="shared" si="180"/>
        <v>728.28536956560004</v>
      </c>
    </row>
    <row r="1399" spans="1:45" x14ac:dyDescent="0.3">
      <c r="A1399">
        <v>2025</v>
      </c>
      <c r="B1399">
        <v>12</v>
      </c>
      <c r="C1399" t="s">
        <v>55</v>
      </c>
      <c r="D1399">
        <v>10</v>
      </c>
      <c r="E1399" t="s">
        <v>36</v>
      </c>
      <c r="F1399" t="s">
        <v>37</v>
      </c>
      <c r="G1399" t="s">
        <v>38</v>
      </c>
      <c r="H1399" t="s">
        <v>83</v>
      </c>
      <c r="I1399" t="s">
        <v>57</v>
      </c>
      <c r="J1399" t="s">
        <v>58</v>
      </c>
      <c r="K1399" t="s">
        <v>59</v>
      </c>
      <c r="L1399" t="s">
        <v>1769</v>
      </c>
      <c r="M1399" t="s">
        <v>1770</v>
      </c>
      <c r="N1399" t="s">
        <v>1771</v>
      </c>
      <c r="O1399" t="s">
        <v>1197</v>
      </c>
      <c r="Q1399" t="s">
        <v>62</v>
      </c>
      <c r="R1399" t="s">
        <v>1772</v>
      </c>
      <c r="S1399" t="s">
        <v>1772</v>
      </c>
      <c r="T1399" t="s">
        <v>47</v>
      </c>
      <c r="U1399" t="s">
        <v>118</v>
      </c>
      <c r="V1399" t="s">
        <v>49</v>
      </c>
      <c r="W1399" t="s">
        <v>714</v>
      </c>
      <c r="X1399" t="s">
        <v>51</v>
      </c>
      <c r="Y1399" t="s">
        <v>1085</v>
      </c>
      <c r="Z1399" t="s">
        <v>1085</v>
      </c>
      <c r="AA1399" t="s">
        <v>277</v>
      </c>
      <c r="AB1399" s="3">
        <f t="shared" si="173"/>
        <v>5</v>
      </c>
      <c r="AC1399">
        <v>1011.17</v>
      </c>
      <c r="AD1399" s="2">
        <v>202.23400000000001</v>
      </c>
      <c r="AE1399" s="2">
        <v>145.21</v>
      </c>
      <c r="AF1399" s="2">
        <v>7.4</v>
      </c>
      <c r="AG1399" s="2">
        <v>1163.42</v>
      </c>
      <c r="AH1399">
        <v>0</v>
      </c>
      <c r="AI1399">
        <v>232.684</v>
      </c>
      <c r="AJ1399">
        <v>5.8170999999999999</v>
      </c>
      <c r="AK1399" t="s">
        <v>54</v>
      </c>
      <c r="AL1399">
        <v>10.87</v>
      </c>
      <c r="AM1399" s="4">
        <f t="shared" si="174"/>
        <v>232.68400000000003</v>
      </c>
      <c r="AN1399" s="4">
        <f t="shared" si="175"/>
        <v>379.18875000000003</v>
      </c>
      <c r="AO1399" s="4">
        <f t="shared" si="176"/>
        <v>421.27870125000004</v>
      </c>
      <c r="AP1399" s="4">
        <f t="shared" si="177"/>
        <v>614.247856125</v>
      </c>
      <c r="AQ1399" s="10">
        <f t="shared" si="178"/>
        <v>404.66074440000006</v>
      </c>
      <c r="AR1399" s="10">
        <f t="shared" si="179"/>
        <v>449.61855310284005</v>
      </c>
      <c r="AS1399" s="10">
        <f t="shared" si="180"/>
        <v>629.97584688192012</v>
      </c>
    </row>
    <row r="1400" spans="1:45" x14ac:dyDescent="0.3">
      <c r="A1400">
        <v>2025</v>
      </c>
      <c r="B1400">
        <v>12</v>
      </c>
      <c r="C1400" t="s">
        <v>55</v>
      </c>
      <c r="D1400">
        <v>10</v>
      </c>
      <c r="E1400" t="s">
        <v>36</v>
      </c>
      <c r="F1400" t="s">
        <v>37</v>
      </c>
      <c r="G1400" t="s">
        <v>38</v>
      </c>
      <c r="H1400" t="s">
        <v>83</v>
      </c>
      <c r="I1400" t="s">
        <v>57</v>
      </c>
      <c r="J1400" t="s">
        <v>58</v>
      </c>
      <c r="K1400" t="s">
        <v>59</v>
      </c>
      <c r="L1400" t="s">
        <v>1769</v>
      </c>
      <c r="M1400" t="s">
        <v>1770</v>
      </c>
      <c r="N1400" t="s">
        <v>1771</v>
      </c>
      <c r="O1400" t="s">
        <v>1197</v>
      </c>
      <c r="Q1400" t="s">
        <v>62</v>
      </c>
      <c r="R1400" t="s">
        <v>1772</v>
      </c>
      <c r="S1400" t="s">
        <v>1772</v>
      </c>
      <c r="T1400" t="s">
        <v>47</v>
      </c>
      <c r="U1400" t="s">
        <v>118</v>
      </c>
      <c r="V1400" t="s">
        <v>49</v>
      </c>
      <c r="W1400" t="s">
        <v>714</v>
      </c>
      <c r="X1400" t="s">
        <v>51</v>
      </c>
      <c r="Y1400" t="s">
        <v>1085</v>
      </c>
      <c r="Z1400" t="s">
        <v>1085</v>
      </c>
      <c r="AA1400" t="s">
        <v>277</v>
      </c>
      <c r="AB1400" s="3">
        <f t="shared" si="173"/>
        <v>6.0000000000000924</v>
      </c>
      <c r="AC1400">
        <v>1285.8499999999999</v>
      </c>
      <c r="AD1400" s="2">
        <v>214.30833333333001</v>
      </c>
      <c r="AE1400" s="2">
        <v>381.72</v>
      </c>
      <c r="AF1400" s="2">
        <v>9.65</v>
      </c>
      <c r="AG1400" s="2">
        <v>1677.22</v>
      </c>
      <c r="AH1400">
        <v>0</v>
      </c>
      <c r="AI1400">
        <v>279.53666666666999</v>
      </c>
      <c r="AJ1400">
        <v>8.3861000000000008</v>
      </c>
      <c r="AK1400" t="s">
        <v>54</v>
      </c>
      <c r="AL1400">
        <v>9.56</v>
      </c>
      <c r="AM1400" s="4">
        <f t="shared" si="174"/>
        <v>279.53666666666237</v>
      </c>
      <c r="AN1400" s="4">
        <f t="shared" si="175"/>
        <v>401.82812499999375</v>
      </c>
      <c r="AO1400" s="4">
        <f t="shared" si="176"/>
        <v>446.43104687499306</v>
      </c>
      <c r="AP1400" s="4">
        <f t="shared" si="177"/>
        <v>650.92137968748978</v>
      </c>
      <c r="AQ1400" s="10">
        <f t="shared" si="178"/>
        <v>486.14221699999257</v>
      </c>
      <c r="AR1400" s="10">
        <f t="shared" si="179"/>
        <v>540.15261730869179</v>
      </c>
      <c r="AS1400" s="10">
        <f t="shared" si="180"/>
        <v>756.82620342558846</v>
      </c>
    </row>
    <row r="1401" spans="1:45" x14ac:dyDescent="0.3">
      <c r="A1401">
        <v>2025</v>
      </c>
      <c r="B1401">
        <v>12</v>
      </c>
      <c r="C1401" t="s">
        <v>55</v>
      </c>
      <c r="D1401">
        <v>10</v>
      </c>
      <c r="E1401" t="s">
        <v>36</v>
      </c>
      <c r="F1401" t="s">
        <v>37</v>
      </c>
      <c r="G1401" t="s">
        <v>38</v>
      </c>
      <c r="H1401" t="s">
        <v>83</v>
      </c>
      <c r="I1401" t="s">
        <v>57</v>
      </c>
      <c r="J1401" t="s">
        <v>58</v>
      </c>
      <c r="K1401" t="s">
        <v>59</v>
      </c>
      <c r="L1401" t="s">
        <v>1769</v>
      </c>
      <c r="M1401" t="s">
        <v>1770</v>
      </c>
      <c r="N1401" t="s">
        <v>1771</v>
      </c>
      <c r="O1401" t="s">
        <v>1197</v>
      </c>
      <c r="Q1401" t="s">
        <v>62</v>
      </c>
      <c r="R1401" t="s">
        <v>1772</v>
      </c>
      <c r="S1401" t="s">
        <v>1772</v>
      </c>
      <c r="T1401" t="s">
        <v>47</v>
      </c>
      <c r="U1401" t="s">
        <v>118</v>
      </c>
      <c r="V1401" t="s">
        <v>49</v>
      </c>
      <c r="W1401" t="s">
        <v>714</v>
      </c>
      <c r="X1401" t="s">
        <v>51</v>
      </c>
      <c r="Y1401" t="s">
        <v>1085</v>
      </c>
      <c r="Z1401" t="s">
        <v>1085</v>
      </c>
      <c r="AA1401" t="s">
        <v>277</v>
      </c>
      <c r="AB1401" s="3">
        <f t="shared" si="173"/>
        <v>4</v>
      </c>
      <c r="AC1401">
        <v>857.23</v>
      </c>
      <c r="AD1401" s="2">
        <v>214.3075</v>
      </c>
      <c r="AE1401" s="2">
        <v>254.48</v>
      </c>
      <c r="AF1401" s="2">
        <v>6.43</v>
      </c>
      <c r="AG1401" s="2">
        <v>1118.1500000000001</v>
      </c>
      <c r="AH1401">
        <v>0</v>
      </c>
      <c r="AI1401">
        <v>279.53750000000002</v>
      </c>
      <c r="AJ1401">
        <v>5.5907499999999999</v>
      </c>
      <c r="AK1401" t="s">
        <v>54</v>
      </c>
      <c r="AL1401">
        <v>6.37</v>
      </c>
      <c r="AM1401" s="4">
        <f t="shared" si="174"/>
        <v>279.53750000000002</v>
      </c>
      <c r="AN1401" s="4">
        <f t="shared" si="175"/>
        <v>401.82656250000002</v>
      </c>
      <c r="AO1401" s="4">
        <f t="shared" si="176"/>
        <v>446.42931093750002</v>
      </c>
      <c r="AP1401" s="4">
        <f t="shared" si="177"/>
        <v>650.91884859375</v>
      </c>
      <c r="AQ1401" s="10">
        <f t="shared" si="178"/>
        <v>486.14366625000008</v>
      </c>
      <c r="AR1401" s="10">
        <f t="shared" si="179"/>
        <v>540.15422757037504</v>
      </c>
      <c r="AS1401" s="10">
        <f t="shared" si="180"/>
        <v>756.82845961800012</v>
      </c>
    </row>
    <row r="1402" spans="1:45" x14ac:dyDescent="0.3">
      <c r="A1402">
        <v>2025</v>
      </c>
      <c r="B1402">
        <v>9</v>
      </c>
      <c r="C1402" t="s">
        <v>55</v>
      </c>
      <c r="D1402">
        <v>10</v>
      </c>
      <c r="E1402" t="s">
        <v>36</v>
      </c>
      <c r="F1402" t="s">
        <v>37</v>
      </c>
      <c r="G1402" t="s">
        <v>38</v>
      </c>
      <c r="H1402" t="s">
        <v>83</v>
      </c>
      <c r="I1402" t="s">
        <v>375</v>
      </c>
      <c r="J1402" t="s">
        <v>376</v>
      </c>
      <c r="K1402" t="s">
        <v>59</v>
      </c>
      <c r="L1402" t="s">
        <v>1483</v>
      </c>
      <c r="M1402" t="s">
        <v>1484</v>
      </c>
      <c r="N1402" t="s">
        <v>1485</v>
      </c>
      <c r="O1402" t="s">
        <v>1197</v>
      </c>
      <c r="Q1402" t="s">
        <v>62</v>
      </c>
      <c r="R1402" t="s">
        <v>1486</v>
      </c>
      <c r="S1402" t="s">
        <v>1486</v>
      </c>
      <c r="T1402" t="s">
        <v>47</v>
      </c>
      <c r="U1402" t="s">
        <v>173</v>
      </c>
      <c r="V1402" t="s">
        <v>49</v>
      </c>
      <c r="W1402" t="s">
        <v>174</v>
      </c>
      <c r="X1402" t="s">
        <v>51</v>
      </c>
      <c r="Y1402" t="s">
        <v>1085</v>
      </c>
      <c r="Z1402" t="s">
        <v>1085</v>
      </c>
      <c r="AA1402" t="s">
        <v>277</v>
      </c>
      <c r="AB1402" s="3">
        <f t="shared" si="173"/>
        <v>10.000000000000002</v>
      </c>
      <c r="AC1402">
        <v>2143.8000000000002</v>
      </c>
      <c r="AD1402" s="2">
        <v>214.38</v>
      </c>
      <c r="AE1402" s="2">
        <v>636.20000000000005</v>
      </c>
      <c r="AF1402" s="2">
        <v>16.899999999999999</v>
      </c>
      <c r="AG1402" s="2">
        <v>2795.37</v>
      </c>
      <c r="AH1402">
        <v>0</v>
      </c>
      <c r="AI1402">
        <v>279.53699999999998</v>
      </c>
      <c r="AJ1402">
        <v>13.976850000000001</v>
      </c>
      <c r="AK1402" t="s">
        <v>54</v>
      </c>
      <c r="AL1402">
        <v>15.93</v>
      </c>
      <c r="AM1402" s="4">
        <f t="shared" si="174"/>
        <v>279.53699999999992</v>
      </c>
      <c r="AN1402" s="4">
        <f t="shared" si="175"/>
        <v>401.96249999999998</v>
      </c>
      <c r="AO1402" s="4">
        <f t="shared" si="176"/>
        <v>446.58033749999998</v>
      </c>
      <c r="AP1402" s="4">
        <f t="shared" si="177"/>
        <v>651.1390537499999</v>
      </c>
      <c r="AQ1402" s="10">
        <f t="shared" si="178"/>
        <v>486.14279669999991</v>
      </c>
      <c r="AR1402" s="10">
        <f t="shared" si="179"/>
        <v>540.15326141336993</v>
      </c>
      <c r="AS1402" s="10">
        <f t="shared" si="180"/>
        <v>756.82710590255988</v>
      </c>
    </row>
    <row r="1403" spans="1:45" x14ac:dyDescent="0.3">
      <c r="A1403">
        <v>2025</v>
      </c>
      <c r="B1403">
        <v>7</v>
      </c>
      <c r="C1403" t="s">
        <v>55</v>
      </c>
      <c r="D1403">
        <v>10</v>
      </c>
      <c r="E1403" t="s">
        <v>36</v>
      </c>
      <c r="F1403" t="s">
        <v>37</v>
      </c>
      <c r="G1403" t="s">
        <v>38</v>
      </c>
      <c r="H1403" t="s">
        <v>83</v>
      </c>
      <c r="I1403" t="s">
        <v>190</v>
      </c>
      <c r="J1403" t="s">
        <v>58</v>
      </c>
      <c r="K1403" t="s">
        <v>41</v>
      </c>
      <c r="L1403" t="s">
        <v>953</v>
      </c>
      <c r="M1403" t="s">
        <v>954</v>
      </c>
      <c r="N1403" t="s">
        <v>731</v>
      </c>
      <c r="O1403" t="s">
        <v>36</v>
      </c>
      <c r="Q1403" t="s">
        <v>62</v>
      </c>
      <c r="R1403" t="s">
        <v>955</v>
      </c>
      <c r="S1403" t="s">
        <v>956</v>
      </c>
      <c r="T1403" t="s">
        <v>47</v>
      </c>
      <c r="U1403" t="s">
        <v>167</v>
      </c>
      <c r="V1403" t="s">
        <v>49</v>
      </c>
      <c r="W1403" t="s">
        <v>168</v>
      </c>
      <c r="X1403" t="s">
        <v>51</v>
      </c>
      <c r="Y1403" t="s">
        <v>610</v>
      </c>
      <c r="Z1403" t="s">
        <v>610</v>
      </c>
      <c r="AA1403" t="s">
        <v>1537</v>
      </c>
      <c r="AB1403" s="3">
        <f t="shared" si="173"/>
        <v>2</v>
      </c>
      <c r="AC1403">
        <v>508.53</v>
      </c>
      <c r="AD1403" s="2">
        <v>254.26499999999999</v>
      </c>
      <c r="AE1403" s="2">
        <v>78.790000000000006</v>
      </c>
      <c r="AF1403" s="2">
        <v>3.6</v>
      </c>
      <c r="AG1403" s="2">
        <v>590.91999999999996</v>
      </c>
      <c r="AH1403">
        <v>0</v>
      </c>
      <c r="AI1403">
        <v>295.45999999999998</v>
      </c>
      <c r="AJ1403">
        <v>2.9546000000000001</v>
      </c>
      <c r="AK1403" t="s">
        <v>54</v>
      </c>
      <c r="AL1403">
        <v>3.26</v>
      </c>
      <c r="AM1403" s="4">
        <f t="shared" si="174"/>
        <v>295.45999999999998</v>
      </c>
      <c r="AN1403" s="4">
        <f t="shared" si="175"/>
        <v>476.74687499999999</v>
      </c>
      <c r="AO1403" s="4">
        <f t="shared" si="176"/>
        <v>529.66577812499997</v>
      </c>
      <c r="AP1403" s="4">
        <f t="shared" si="177"/>
        <v>772.28226281249988</v>
      </c>
      <c r="AQ1403" s="10">
        <f t="shared" si="178"/>
        <v>513.83448599999997</v>
      </c>
      <c r="AR1403" s="10">
        <f t="shared" si="179"/>
        <v>570.92149739460001</v>
      </c>
      <c r="AS1403" s="10">
        <f t="shared" si="180"/>
        <v>799.93752780479997</v>
      </c>
    </row>
    <row r="1404" spans="1:45" x14ac:dyDescent="0.3">
      <c r="A1404">
        <v>2025</v>
      </c>
      <c r="B1404">
        <v>7</v>
      </c>
      <c r="C1404" t="s">
        <v>55</v>
      </c>
      <c r="D1404">
        <v>10</v>
      </c>
      <c r="E1404" t="s">
        <v>36</v>
      </c>
      <c r="F1404" t="s">
        <v>37</v>
      </c>
      <c r="G1404" t="s">
        <v>38</v>
      </c>
      <c r="H1404" t="s">
        <v>83</v>
      </c>
      <c r="I1404" t="s">
        <v>190</v>
      </c>
      <c r="J1404" t="s">
        <v>58</v>
      </c>
      <c r="K1404" t="s">
        <v>41</v>
      </c>
      <c r="L1404" t="s">
        <v>953</v>
      </c>
      <c r="M1404" t="s">
        <v>954</v>
      </c>
      <c r="N1404" t="s">
        <v>731</v>
      </c>
      <c r="O1404" t="s">
        <v>36</v>
      </c>
      <c r="Q1404" t="s">
        <v>62</v>
      </c>
      <c r="R1404" t="s">
        <v>955</v>
      </c>
      <c r="S1404" t="s">
        <v>956</v>
      </c>
      <c r="T1404" t="s">
        <v>47</v>
      </c>
      <c r="U1404" t="s">
        <v>167</v>
      </c>
      <c r="V1404" t="s">
        <v>49</v>
      </c>
      <c r="W1404" t="s">
        <v>168</v>
      </c>
      <c r="X1404" t="s">
        <v>51</v>
      </c>
      <c r="Y1404" t="s">
        <v>1135</v>
      </c>
      <c r="Z1404" t="s">
        <v>1135</v>
      </c>
      <c r="AA1404" t="s">
        <v>1136</v>
      </c>
      <c r="AB1404" s="3">
        <f t="shared" si="173"/>
        <v>1</v>
      </c>
      <c r="AC1404">
        <v>421.58</v>
      </c>
      <c r="AD1404" s="2">
        <v>421.58</v>
      </c>
      <c r="AE1404" s="2">
        <v>29.4</v>
      </c>
      <c r="AF1404" s="2">
        <v>2.93</v>
      </c>
      <c r="AG1404" s="2">
        <v>453.54</v>
      </c>
      <c r="AH1404">
        <v>0</v>
      </c>
      <c r="AI1404">
        <v>453.54</v>
      </c>
      <c r="AJ1404">
        <v>2.2677</v>
      </c>
      <c r="AK1404" t="s">
        <v>54</v>
      </c>
      <c r="AL1404">
        <v>2.17</v>
      </c>
      <c r="AM1404" s="4">
        <f t="shared" si="174"/>
        <v>453.54</v>
      </c>
      <c r="AN1404" s="4">
        <f t="shared" si="175"/>
        <v>790.46249999999998</v>
      </c>
      <c r="AO1404" s="4">
        <f t="shared" si="176"/>
        <v>878.20383749999996</v>
      </c>
      <c r="AP1404" s="4">
        <f t="shared" si="177"/>
        <v>1280.4702037499999</v>
      </c>
      <c r="AQ1404" s="10">
        <f t="shared" si="178"/>
        <v>788.75141400000007</v>
      </c>
      <c r="AR1404" s="10">
        <f t="shared" si="179"/>
        <v>876.3816960954</v>
      </c>
      <c r="AS1404" s="10">
        <f t="shared" si="180"/>
        <v>1227.9282013152001</v>
      </c>
    </row>
    <row r="1405" spans="1:45" x14ac:dyDescent="0.3">
      <c r="A1405">
        <v>2025</v>
      </c>
      <c r="B1405">
        <v>7</v>
      </c>
      <c r="C1405" t="s">
        <v>55</v>
      </c>
      <c r="D1405">
        <v>10</v>
      </c>
      <c r="E1405" t="s">
        <v>36</v>
      </c>
      <c r="F1405" t="s">
        <v>37</v>
      </c>
      <c r="G1405" t="s">
        <v>38</v>
      </c>
      <c r="H1405" t="s">
        <v>83</v>
      </c>
      <c r="I1405" t="s">
        <v>190</v>
      </c>
      <c r="J1405" t="s">
        <v>58</v>
      </c>
      <c r="K1405" t="s">
        <v>41</v>
      </c>
      <c r="L1405" t="s">
        <v>953</v>
      </c>
      <c r="M1405" t="s">
        <v>954</v>
      </c>
      <c r="N1405" t="s">
        <v>731</v>
      </c>
      <c r="O1405" t="s">
        <v>36</v>
      </c>
      <c r="Q1405" t="s">
        <v>62</v>
      </c>
      <c r="R1405" t="s">
        <v>955</v>
      </c>
      <c r="S1405" t="s">
        <v>956</v>
      </c>
      <c r="T1405" t="s">
        <v>47</v>
      </c>
      <c r="U1405" t="s">
        <v>167</v>
      </c>
      <c r="V1405" t="s">
        <v>49</v>
      </c>
      <c r="W1405" t="s">
        <v>168</v>
      </c>
      <c r="X1405" t="s">
        <v>51</v>
      </c>
      <c r="Y1405" t="s">
        <v>1135</v>
      </c>
      <c r="Z1405" t="s">
        <v>1135</v>
      </c>
      <c r="AA1405" t="s">
        <v>1136</v>
      </c>
      <c r="AB1405" s="3">
        <f t="shared" si="173"/>
        <v>1</v>
      </c>
      <c r="AC1405">
        <v>421.97</v>
      </c>
      <c r="AD1405" s="2">
        <v>421.97</v>
      </c>
      <c r="AE1405" s="2">
        <v>29.4</v>
      </c>
      <c r="AF1405" s="2">
        <v>2.97</v>
      </c>
      <c r="AG1405" s="2">
        <v>453.98</v>
      </c>
      <c r="AH1405">
        <v>0</v>
      </c>
      <c r="AI1405">
        <v>453.98</v>
      </c>
      <c r="AJ1405">
        <v>2.2698999999999998</v>
      </c>
      <c r="AK1405" t="s">
        <v>54</v>
      </c>
      <c r="AL1405">
        <v>2.17</v>
      </c>
      <c r="AM1405" s="4">
        <f t="shared" si="174"/>
        <v>453.98</v>
      </c>
      <c r="AN1405" s="4">
        <f t="shared" si="175"/>
        <v>791.19375000000002</v>
      </c>
      <c r="AO1405" s="4">
        <f t="shared" si="176"/>
        <v>879.01625624999997</v>
      </c>
      <c r="AP1405" s="4">
        <f t="shared" si="177"/>
        <v>1281.654755625</v>
      </c>
      <c r="AQ1405" s="10">
        <f t="shared" si="178"/>
        <v>789.51661800000011</v>
      </c>
      <c r="AR1405" s="10">
        <f t="shared" si="179"/>
        <v>877.23191425980008</v>
      </c>
      <c r="AS1405" s="10">
        <f t="shared" si="180"/>
        <v>1229.1194709024001</v>
      </c>
    </row>
    <row r="1406" spans="1:45" x14ac:dyDescent="0.3">
      <c r="A1406">
        <v>2025</v>
      </c>
      <c r="B1406">
        <v>7</v>
      </c>
      <c r="C1406" t="s">
        <v>55</v>
      </c>
      <c r="D1406">
        <v>10</v>
      </c>
      <c r="E1406" t="s">
        <v>36</v>
      </c>
      <c r="F1406" t="s">
        <v>37</v>
      </c>
      <c r="G1406" t="s">
        <v>38</v>
      </c>
      <c r="H1406" t="s">
        <v>83</v>
      </c>
      <c r="I1406" t="s">
        <v>190</v>
      </c>
      <c r="J1406" t="s">
        <v>58</v>
      </c>
      <c r="K1406" t="s">
        <v>41</v>
      </c>
      <c r="L1406" t="s">
        <v>953</v>
      </c>
      <c r="M1406" t="s">
        <v>954</v>
      </c>
      <c r="N1406" t="s">
        <v>731</v>
      </c>
      <c r="O1406" t="s">
        <v>36</v>
      </c>
      <c r="Q1406" t="s">
        <v>62</v>
      </c>
      <c r="R1406" t="s">
        <v>955</v>
      </c>
      <c r="S1406" t="s">
        <v>956</v>
      </c>
      <c r="T1406" t="s">
        <v>47</v>
      </c>
      <c r="U1406" t="s">
        <v>167</v>
      </c>
      <c r="V1406" t="s">
        <v>49</v>
      </c>
      <c r="W1406" t="s">
        <v>168</v>
      </c>
      <c r="X1406" t="s">
        <v>51</v>
      </c>
      <c r="Y1406" t="s">
        <v>1135</v>
      </c>
      <c r="Z1406" t="s">
        <v>1135</v>
      </c>
      <c r="AA1406" t="s">
        <v>1136</v>
      </c>
      <c r="AB1406" s="3">
        <f t="shared" si="173"/>
        <v>1</v>
      </c>
      <c r="AC1406">
        <v>421.97</v>
      </c>
      <c r="AD1406" s="2">
        <v>421.97</v>
      </c>
      <c r="AE1406" s="2">
        <v>29.4</v>
      </c>
      <c r="AF1406" s="2">
        <v>2.97</v>
      </c>
      <c r="AG1406" s="2">
        <v>453.98</v>
      </c>
      <c r="AH1406">
        <v>0</v>
      </c>
      <c r="AI1406">
        <v>453.98</v>
      </c>
      <c r="AJ1406">
        <v>2.2698999999999998</v>
      </c>
      <c r="AK1406" t="s">
        <v>54</v>
      </c>
      <c r="AL1406">
        <v>2.17</v>
      </c>
      <c r="AM1406" s="4">
        <f t="shared" si="174"/>
        <v>453.98</v>
      </c>
      <c r="AN1406" s="4">
        <f t="shared" si="175"/>
        <v>791.19375000000002</v>
      </c>
      <c r="AO1406" s="4">
        <f t="shared" si="176"/>
        <v>879.01625624999997</v>
      </c>
      <c r="AP1406" s="4">
        <f t="shared" si="177"/>
        <v>1281.654755625</v>
      </c>
      <c r="AQ1406" s="10">
        <f t="shared" si="178"/>
        <v>789.51661800000011</v>
      </c>
      <c r="AR1406" s="10">
        <f t="shared" si="179"/>
        <v>877.23191425980008</v>
      </c>
      <c r="AS1406" s="10">
        <f t="shared" si="180"/>
        <v>1229.1194709024001</v>
      </c>
    </row>
    <row r="1407" spans="1:45" x14ac:dyDescent="0.3">
      <c r="A1407">
        <v>2025</v>
      </c>
      <c r="B1407">
        <v>7</v>
      </c>
      <c r="C1407" t="s">
        <v>55</v>
      </c>
      <c r="D1407">
        <v>10</v>
      </c>
      <c r="E1407" t="s">
        <v>36</v>
      </c>
      <c r="F1407" t="s">
        <v>37</v>
      </c>
      <c r="G1407" t="s">
        <v>38</v>
      </c>
      <c r="H1407" t="s">
        <v>83</v>
      </c>
      <c r="I1407" t="s">
        <v>190</v>
      </c>
      <c r="J1407" t="s">
        <v>58</v>
      </c>
      <c r="K1407" t="s">
        <v>41</v>
      </c>
      <c r="L1407" t="s">
        <v>953</v>
      </c>
      <c r="M1407" t="s">
        <v>954</v>
      </c>
      <c r="N1407" t="s">
        <v>731</v>
      </c>
      <c r="O1407" t="s">
        <v>36</v>
      </c>
      <c r="Q1407" t="s">
        <v>62</v>
      </c>
      <c r="R1407" t="s">
        <v>955</v>
      </c>
      <c r="S1407" t="s">
        <v>956</v>
      </c>
      <c r="T1407" t="s">
        <v>47</v>
      </c>
      <c r="U1407" t="s">
        <v>167</v>
      </c>
      <c r="V1407" t="s">
        <v>49</v>
      </c>
      <c r="W1407" t="s">
        <v>168</v>
      </c>
      <c r="X1407" t="s">
        <v>51</v>
      </c>
      <c r="Y1407" t="s">
        <v>1135</v>
      </c>
      <c r="Z1407" t="s">
        <v>1135</v>
      </c>
      <c r="AA1407" t="s">
        <v>1136</v>
      </c>
      <c r="AB1407" s="3">
        <f t="shared" si="173"/>
        <v>1</v>
      </c>
      <c r="AC1407">
        <v>421.97</v>
      </c>
      <c r="AD1407" s="2">
        <v>421.97</v>
      </c>
      <c r="AE1407" s="2">
        <v>29.4</v>
      </c>
      <c r="AF1407" s="2">
        <v>2.97</v>
      </c>
      <c r="AG1407" s="2">
        <v>453.98</v>
      </c>
      <c r="AH1407">
        <v>0</v>
      </c>
      <c r="AI1407">
        <v>453.98</v>
      </c>
      <c r="AJ1407">
        <v>2.2698999999999998</v>
      </c>
      <c r="AK1407" t="s">
        <v>54</v>
      </c>
      <c r="AL1407">
        <v>2.17</v>
      </c>
      <c r="AM1407" s="4">
        <f t="shared" si="174"/>
        <v>453.98</v>
      </c>
      <c r="AN1407" s="4">
        <f t="shared" si="175"/>
        <v>791.19375000000002</v>
      </c>
      <c r="AO1407" s="4">
        <f t="shared" si="176"/>
        <v>879.01625624999997</v>
      </c>
      <c r="AP1407" s="4">
        <f t="shared" si="177"/>
        <v>1281.654755625</v>
      </c>
      <c r="AQ1407" s="10">
        <f t="shared" si="178"/>
        <v>789.51661800000011</v>
      </c>
      <c r="AR1407" s="10">
        <f t="shared" si="179"/>
        <v>877.23191425980008</v>
      </c>
      <c r="AS1407" s="10">
        <f t="shared" si="180"/>
        <v>1229.1194709024001</v>
      </c>
    </row>
    <row r="1408" spans="1:45" x14ac:dyDescent="0.3">
      <c r="A1408">
        <v>2025</v>
      </c>
      <c r="B1408">
        <v>7</v>
      </c>
      <c r="C1408" t="s">
        <v>55</v>
      </c>
      <c r="D1408">
        <v>10</v>
      </c>
      <c r="E1408" t="s">
        <v>36</v>
      </c>
      <c r="F1408" t="s">
        <v>37</v>
      </c>
      <c r="G1408" t="s">
        <v>38</v>
      </c>
      <c r="H1408" t="s">
        <v>83</v>
      </c>
      <c r="I1408" t="s">
        <v>190</v>
      </c>
      <c r="J1408" t="s">
        <v>58</v>
      </c>
      <c r="K1408" t="s">
        <v>41</v>
      </c>
      <c r="L1408" t="s">
        <v>953</v>
      </c>
      <c r="M1408" t="s">
        <v>954</v>
      </c>
      <c r="N1408" t="s">
        <v>731</v>
      </c>
      <c r="O1408" t="s">
        <v>36</v>
      </c>
      <c r="Q1408" t="s">
        <v>62</v>
      </c>
      <c r="R1408" t="s">
        <v>955</v>
      </c>
      <c r="S1408" t="s">
        <v>956</v>
      </c>
      <c r="T1408" t="s">
        <v>47</v>
      </c>
      <c r="U1408" t="s">
        <v>167</v>
      </c>
      <c r="V1408" t="s">
        <v>49</v>
      </c>
      <c r="W1408" t="s">
        <v>168</v>
      </c>
      <c r="X1408" t="s">
        <v>51</v>
      </c>
      <c r="Y1408" t="s">
        <v>1135</v>
      </c>
      <c r="Z1408" t="s">
        <v>1135</v>
      </c>
      <c r="AA1408" t="s">
        <v>1136</v>
      </c>
      <c r="AB1408" s="3">
        <f t="shared" si="173"/>
        <v>1</v>
      </c>
      <c r="AC1408">
        <v>421.97</v>
      </c>
      <c r="AD1408" s="2">
        <v>421.97</v>
      </c>
      <c r="AE1408" s="2">
        <v>29.4</v>
      </c>
      <c r="AF1408" s="2">
        <v>2.97</v>
      </c>
      <c r="AG1408" s="2">
        <v>453.98</v>
      </c>
      <c r="AH1408">
        <v>0</v>
      </c>
      <c r="AI1408">
        <v>453.98</v>
      </c>
      <c r="AJ1408">
        <v>2.2698999999999998</v>
      </c>
      <c r="AK1408" t="s">
        <v>54</v>
      </c>
      <c r="AL1408">
        <v>2.17</v>
      </c>
      <c r="AM1408" s="4">
        <f t="shared" si="174"/>
        <v>453.98</v>
      </c>
      <c r="AN1408" s="4">
        <f t="shared" si="175"/>
        <v>791.19375000000002</v>
      </c>
      <c r="AO1408" s="4">
        <f t="shared" si="176"/>
        <v>879.01625624999997</v>
      </c>
      <c r="AP1408" s="4">
        <f t="shared" si="177"/>
        <v>1281.654755625</v>
      </c>
      <c r="AQ1408" s="10">
        <f t="shared" si="178"/>
        <v>789.51661800000011</v>
      </c>
      <c r="AR1408" s="10">
        <f t="shared" si="179"/>
        <v>877.23191425980008</v>
      </c>
      <c r="AS1408" s="10">
        <f t="shared" si="180"/>
        <v>1229.1194709024001</v>
      </c>
    </row>
    <row r="1409" spans="1:45" x14ac:dyDescent="0.3">
      <c r="A1409">
        <v>2025</v>
      </c>
      <c r="B1409">
        <v>12</v>
      </c>
      <c r="C1409" t="s">
        <v>55</v>
      </c>
      <c r="D1409">
        <v>10</v>
      </c>
      <c r="E1409" t="s">
        <v>36</v>
      </c>
      <c r="F1409" t="s">
        <v>37</v>
      </c>
      <c r="G1409" t="s">
        <v>38</v>
      </c>
      <c r="H1409" t="s">
        <v>83</v>
      </c>
      <c r="I1409" t="s">
        <v>57</v>
      </c>
      <c r="J1409" t="s">
        <v>58</v>
      </c>
      <c r="K1409" t="s">
        <v>59</v>
      </c>
      <c r="L1409" t="s">
        <v>1769</v>
      </c>
      <c r="M1409" t="s">
        <v>1770</v>
      </c>
      <c r="N1409" t="s">
        <v>1771</v>
      </c>
      <c r="O1409" t="s">
        <v>1197</v>
      </c>
      <c r="Q1409" t="s">
        <v>62</v>
      </c>
      <c r="R1409" t="s">
        <v>1772</v>
      </c>
      <c r="S1409" t="s">
        <v>1772</v>
      </c>
      <c r="T1409" t="s">
        <v>47</v>
      </c>
      <c r="U1409" t="s">
        <v>167</v>
      </c>
      <c r="V1409" t="s">
        <v>49</v>
      </c>
      <c r="W1409" t="s">
        <v>168</v>
      </c>
      <c r="X1409" t="s">
        <v>51</v>
      </c>
      <c r="Y1409" t="s">
        <v>1135</v>
      </c>
      <c r="Z1409" t="s">
        <v>1135</v>
      </c>
      <c r="AA1409" t="s">
        <v>1136</v>
      </c>
      <c r="AB1409" s="3">
        <f t="shared" si="173"/>
        <v>1</v>
      </c>
      <c r="AC1409">
        <v>421.97</v>
      </c>
      <c r="AD1409" s="2">
        <v>421.97</v>
      </c>
      <c r="AE1409" s="2">
        <v>29.4</v>
      </c>
      <c r="AF1409" s="2">
        <v>2.97</v>
      </c>
      <c r="AG1409" s="2">
        <v>453.98</v>
      </c>
      <c r="AH1409">
        <v>0</v>
      </c>
      <c r="AI1409">
        <v>453.98</v>
      </c>
      <c r="AJ1409">
        <v>2.2698999999999998</v>
      </c>
      <c r="AK1409" t="s">
        <v>54</v>
      </c>
      <c r="AL1409">
        <v>2.17</v>
      </c>
      <c r="AM1409" s="4">
        <f t="shared" si="174"/>
        <v>453.98</v>
      </c>
      <c r="AN1409" s="4">
        <f t="shared" si="175"/>
        <v>791.19375000000002</v>
      </c>
      <c r="AO1409" s="4">
        <f t="shared" si="176"/>
        <v>879.01625624999997</v>
      </c>
      <c r="AP1409" s="4">
        <f t="shared" si="177"/>
        <v>1281.654755625</v>
      </c>
      <c r="AQ1409" s="10">
        <f t="shared" si="178"/>
        <v>789.51661800000011</v>
      </c>
      <c r="AR1409" s="10">
        <f t="shared" si="179"/>
        <v>877.23191425980008</v>
      </c>
      <c r="AS1409" s="10">
        <f t="shared" si="180"/>
        <v>1229.1194709024001</v>
      </c>
    </row>
    <row r="1410" spans="1:45" x14ac:dyDescent="0.3">
      <c r="A1410">
        <v>2025</v>
      </c>
      <c r="B1410">
        <v>1</v>
      </c>
      <c r="C1410" t="s">
        <v>55</v>
      </c>
      <c r="D1410">
        <v>10</v>
      </c>
      <c r="E1410" t="s">
        <v>36</v>
      </c>
      <c r="F1410" t="s">
        <v>37</v>
      </c>
      <c r="G1410" t="s">
        <v>38</v>
      </c>
      <c r="H1410" t="s">
        <v>39</v>
      </c>
      <c r="I1410" t="s">
        <v>57</v>
      </c>
      <c r="J1410" t="s">
        <v>58</v>
      </c>
      <c r="K1410" t="s">
        <v>59</v>
      </c>
      <c r="M1410" t="s">
        <v>60</v>
      </c>
      <c r="N1410" t="s">
        <v>61</v>
      </c>
      <c r="O1410" t="s">
        <v>43</v>
      </c>
      <c r="Q1410" t="s">
        <v>62</v>
      </c>
      <c r="R1410" t="s">
        <v>63</v>
      </c>
      <c r="S1410" t="s">
        <v>63</v>
      </c>
      <c r="T1410" t="s">
        <v>47</v>
      </c>
      <c r="U1410" t="s">
        <v>118</v>
      </c>
      <c r="V1410" t="s">
        <v>49</v>
      </c>
      <c r="W1410" t="s">
        <v>119</v>
      </c>
      <c r="X1410" t="s">
        <v>51</v>
      </c>
      <c r="Y1410" t="s">
        <v>1407</v>
      </c>
      <c r="Z1410" t="s">
        <v>1407</v>
      </c>
      <c r="AA1410" t="s">
        <v>1901</v>
      </c>
      <c r="AB1410" s="3">
        <f t="shared" si="173"/>
        <v>1</v>
      </c>
      <c r="AC1410">
        <v>397.36</v>
      </c>
      <c r="AD1410" s="2">
        <v>397.36</v>
      </c>
      <c r="AE1410" s="2">
        <v>117.96</v>
      </c>
      <c r="AF1410" s="2">
        <v>2.98</v>
      </c>
      <c r="AG1410" s="2">
        <v>518.29999999999995</v>
      </c>
      <c r="AH1410">
        <v>0</v>
      </c>
      <c r="AI1410">
        <v>518.29999999999995</v>
      </c>
      <c r="AJ1410">
        <v>2.5914999999999999</v>
      </c>
      <c r="AK1410" t="s">
        <v>54</v>
      </c>
      <c r="AL1410">
        <v>2.95</v>
      </c>
      <c r="AM1410" s="4">
        <f t="shared" si="174"/>
        <v>518.29999999999995</v>
      </c>
      <c r="AN1410" s="4">
        <f t="shared" si="175"/>
        <v>745.05000000000007</v>
      </c>
      <c r="AO1410" s="4">
        <f t="shared" si="176"/>
        <v>827.75055000000009</v>
      </c>
      <c r="AP1410" s="4">
        <f t="shared" si="177"/>
        <v>1206.9064949999999</v>
      </c>
      <c r="AQ1410" s="10">
        <f t="shared" si="178"/>
        <v>901.37552999999991</v>
      </c>
      <c r="AR1410" s="10">
        <f t="shared" si="179"/>
        <v>1001.5183513829999</v>
      </c>
      <c r="AS1410" s="10">
        <f t="shared" si="180"/>
        <v>1403.2614251039997</v>
      </c>
    </row>
    <row r="1411" spans="1:45" x14ac:dyDescent="0.3">
      <c r="A1411">
        <v>2025</v>
      </c>
      <c r="B1411">
        <v>4</v>
      </c>
      <c r="C1411" t="s">
        <v>55</v>
      </c>
      <c r="D1411">
        <v>10</v>
      </c>
      <c r="E1411" t="s">
        <v>36</v>
      </c>
      <c r="F1411" t="s">
        <v>37</v>
      </c>
      <c r="G1411" t="s">
        <v>38</v>
      </c>
      <c r="H1411" t="s">
        <v>39</v>
      </c>
      <c r="I1411" t="s">
        <v>375</v>
      </c>
      <c r="J1411" t="s">
        <v>376</v>
      </c>
      <c r="K1411" t="s">
        <v>59</v>
      </c>
      <c r="M1411">
        <v>2503061</v>
      </c>
      <c r="N1411" t="s">
        <v>377</v>
      </c>
      <c r="O1411" t="s">
        <v>36</v>
      </c>
      <c r="Q1411" t="s">
        <v>62</v>
      </c>
      <c r="R1411" t="s">
        <v>378</v>
      </c>
      <c r="S1411" t="s">
        <v>378</v>
      </c>
      <c r="T1411" t="s">
        <v>47</v>
      </c>
      <c r="U1411" t="s">
        <v>118</v>
      </c>
      <c r="V1411" t="s">
        <v>49</v>
      </c>
      <c r="W1411" t="s">
        <v>119</v>
      </c>
      <c r="X1411" t="s">
        <v>51</v>
      </c>
      <c r="Y1411" t="s">
        <v>127</v>
      </c>
      <c r="Z1411" t="s">
        <v>64</v>
      </c>
      <c r="AA1411" t="s">
        <v>129</v>
      </c>
      <c r="AB1411" s="3">
        <f t="shared" ref="AB1411:AB1474" si="181">SUM(AC1411/AD1411)</f>
        <v>1</v>
      </c>
      <c r="AC1411">
        <v>115.42</v>
      </c>
      <c r="AD1411" s="2">
        <v>115.42</v>
      </c>
      <c r="AE1411" s="2">
        <v>27.73</v>
      </c>
      <c r="AF1411" s="2">
        <v>0.8</v>
      </c>
      <c r="AG1411" s="2">
        <v>143.94999999999999</v>
      </c>
      <c r="AH1411">
        <v>0</v>
      </c>
      <c r="AI1411">
        <v>143.94999999999999</v>
      </c>
      <c r="AJ1411">
        <v>0.71975</v>
      </c>
      <c r="AK1411" t="s">
        <v>54</v>
      </c>
      <c r="AL1411">
        <v>3.01</v>
      </c>
      <c r="AM1411" s="4">
        <f t="shared" ref="AM1411:AM1474" si="182">SUM(AG1411/AB1411)</f>
        <v>143.94999999999999</v>
      </c>
      <c r="AN1411" s="4">
        <f t="shared" ref="AN1411:AN1474" si="183">SUM(AD1411*1.875)</f>
        <v>216.41249999999999</v>
      </c>
      <c r="AO1411" s="4">
        <f t="shared" si="176"/>
        <v>240.43428749999998</v>
      </c>
      <c r="AP1411" s="4">
        <f t="shared" si="177"/>
        <v>350.56660874999994</v>
      </c>
      <c r="AQ1411" s="10">
        <f t="shared" si="178"/>
        <v>250.343445</v>
      </c>
      <c r="AR1411" s="10">
        <f t="shared" si="179"/>
        <v>278.15660173949999</v>
      </c>
      <c r="AS1411" s="10">
        <f t="shared" si="180"/>
        <v>389.734675176</v>
      </c>
    </row>
    <row r="1412" spans="1:45" x14ac:dyDescent="0.3">
      <c r="A1412">
        <v>2025</v>
      </c>
      <c r="B1412">
        <v>7</v>
      </c>
      <c r="C1412" t="s">
        <v>55</v>
      </c>
      <c r="D1412">
        <v>10</v>
      </c>
      <c r="E1412" t="s">
        <v>36</v>
      </c>
      <c r="F1412" t="s">
        <v>37</v>
      </c>
      <c r="G1412" t="s">
        <v>38</v>
      </c>
      <c r="H1412" t="s">
        <v>83</v>
      </c>
      <c r="I1412" t="s">
        <v>190</v>
      </c>
      <c r="J1412" t="s">
        <v>58</v>
      </c>
      <c r="K1412" t="s">
        <v>41</v>
      </c>
      <c r="L1412" t="s">
        <v>953</v>
      </c>
      <c r="M1412" t="s">
        <v>954</v>
      </c>
      <c r="N1412" t="s">
        <v>731</v>
      </c>
      <c r="O1412" t="s">
        <v>36</v>
      </c>
      <c r="Q1412" t="s">
        <v>62</v>
      </c>
      <c r="R1412" t="s">
        <v>955</v>
      </c>
      <c r="S1412" t="s">
        <v>956</v>
      </c>
      <c r="T1412" t="s">
        <v>47</v>
      </c>
      <c r="U1412" t="s">
        <v>167</v>
      </c>
      <c r="V1412" t="s">
        <v>49</v>
      </c>
      <c r="W1412" t="s">
        <v>168</v>
      </c>
      <c r="X1412" t="s">
        <v>51</v>
      </c>
      <c r="Y1412" t="s">
        <v>492</v>
      </c>
      <c r="Z1412" t="s">
        <v>492</v>
      </c>
      <c r="AA1412" t="s">
        <v>129</v>
      </c>
      <c r="AB1412" s="3">
        <f t="shared" si="181"/>
        <v>1</v>
      </c>
      <c r="AC1412">
        <v>279.13</v>
      </c>
      <c r="AD1412" s="2">
        <v>279.13</v>
      </c>
      <c r="AE1412" s="2">
        <v>23.47</v>
      </c>
      <c r="AF1412" s="2">
        <v>1.98</v>
      </c>
      <c r="AG1412" s="2">
        <v>304.58</v>
      </c>
      <c r="AH1412">
        <v>0</v>
      </c>
      <c r="AI1412">
        <v>304.58</v>
      </c>
      <c r="AJ1412">
        <v>1.5228999999999999</v>
      </c>
      <c r="AK1412" t="s">
        <v>54</v>
      </c>
      <c r="AL1412">
        <v>1.1200000000000001</v>
      </c>
      <c r="AM1412" s="4">
        <f t="shared" si="182"/>
        <v>304.58</v>
      </c>
      <c r="AN1412" s="4">
        <f t="shared" si="183"/>
        <v>523.36874999999998</v>
      </c>
      <c r="AO1412" s="4">
        <f t="shared" ref="AO1412:AO1475" si="184">SUM(AN1412)*1.111</f>
        <v>581.46268124999995</v>
      </c>
      <c r="AP1412" s="4">
        <f t="shared" ref="AP1412:AP1475" si="185">SUM(AN1412)*1.6199</f>
        <v>847.8050381249999</v>
      </c>
      <c r="AQ1412" s="10">
        <f t="shared" si="178"/>
        <v>529.69507799999997</v>
      </c>
      <c r="AR1412" s="10">
        <f t="shared" si="179"/>
        <v>588.5442011657999</v>
      </c>
      <c r="AS1412" s="10">
        <f t="shared" si="180"/>
        <v>824.6292974303999</v>
      </c>
    </row>
    <row r="1413" spans="1:45" x14ac:dyDescent="0.3">
      <c r="A1413">
        <v>2025</v>
      </c>
      <c r="B1413">
        <v>11</v>
      </c>
      <c r="C1413" t="s">
        <v>55</v>
      </c>
      <c r="D1413">
        <v>10</v>
      </c>
      <c r="E1413" t="s">
        <v>36</v>
      </c>
      <c r="F1413" t="s">
        <v>37</v>
      </c>
      <c r="G1413" t="s">
        <v>38</v>
      </c>
      <c r="H1413" t="s">
        <v>83</v>
      </c>
      <c r="I1413" t="s">
        <v>375</v>
      </c>
      <c r="J1413" t="s">
        <v>376</v>
      </c>
      <c r="K1413" t="s">
        <v>51</v>
      </c>
      <c r="L1413" t="s">
        <v>1622</v>
      </c>
      <c r="M1413" t="s">
        <v>1623</v>
      </c>
      <c r="N1413" t="s">
        <v>1485</v>
      </c>
      <c r="O1413" t="s">
        <v>1197</v>
      </c>
      <c r="Q1413" t="s">
        <v>62</v>
      </c>
      <c r="R1413" t="s">
        <v>1624</v>
      </c>
      <c r="S1413" t="s">
        <v>1624</v>
      </c>
      <c r="T1413" t="s">
        <v>47</v>
      </c>
      <c r="U1413" t="s">
        <v>167</v>
      </c>
      <c r="V1413" t="s">
        <v>49</v>
      </c>
      <c r="W1413" t="s">
        <v>168</v>
      </c>
      <c r="X1413" t="s">
        <v>51</v>
      </c>
      <c r="Y1413" t="s">
        <v>1139</v>
      </c>
      <c r="Z1413" t="s">
        <v>1139</v>
      </c>
      <c r="AA1413" t="s">
        <v>1140</v>
      </c>
      <c r="AB1413" s="3">
        <f t="shared" si="181"/>
        <v>2</v>
      </c>
      <c r="AC1413">
        <v>693.66</v>
      </c>
      <c r="AD1413" s="2">
        <v>346.83</v>
      </c>
      <c r="AE1413" s="2">
        <v>58.8</v>
      </c>
      <c r="AF1413" s="2">
        <v>4.87</v>
      </c>
      <c r="AG1413" s="2">
        <v>756.61</v>
      </c>
      <c r="AH1413">
        <v>0</v>
      </c>
      <c r="AI1413">
        <v>378.30500000000001</v>
      </c>
      <c r="AJ1413">
        <v>3.7830499999999998</v>
      </c>
      <c r="AK1413" t="s">
        <v>54</v>
      </c>
      <c r="AL1413">
        <v>4.3499999999999996</v>
      </c>
      <c r="AM1413" s="4">
        <f t="shared" si="182"/>
        <v>378.30500000000001</v>
      </c>
      <c r="AN1413" s="4">
        <f t="shared" si="183"/>
        <v>650.30624999999998</v>
      </c>
      <c r="AO1413" s="4">
        <f t="shared" si="184"/>
        <v>722.49024374999999</v>
      </c>
      <c r="AP1413" s="4">
        <f t="shared" si="185"/>
        <v>1053.4310943749999</v>
      </c>
      <c r="AQ1413" s="10">
        <f t="shared" si="178"/>
        <v>657.91022550000002</v>
      </c>
      <c r="AR1413" s="10">
        <f t="shared" si="179"/>
        <v>731.00405155304998</v>
      </c>
      <c r="AS1413" s="10">
        <f t="shared" si="180"/>
        <v>1024.2346390584</v>
      </c>
    </row>
    <row r="1414" spans="1:45" x14ac:dyDescent="0.3">
      <c r="A1414">
        <v>2025</v>
      </c>
      <c r="B1414">
        <v>11</v>
      </c>
      <c r="C1414" t="s">
        <v>55</v>
      </c>
      <c r="D1414">
        <v>10</v>
      </c>
      <c r="E1414" t="s">
        <v>36</v>
      </c>
      <c r="F1414" t="s">
        <v>37</v>
      </c>
      <c r="G1414" t="s">
        <v>38</v>
      </c>
      <c r="H1414" t="s">
        <v>83</v>
      </c>
      <c r="I1414" t="s">
        <v>375</v>
      </c>
      <c r="J1414" t="s">
        <v>376</v>
      </c>
      <c r="K1414" t="s">
        <v>59</v>
      </c>
      <c r="L1414" t="s">
        <v>1647</v>
      </c>
      <c r="M1414" t="s">
        <v>1633</v>
      </c>
      <c r="N1414" t="s">
        <v>1485</v>
      </c>
      <c r="O1414" t="s">
        <v>1197</v>
      </c>
      <c r="Q1414" t="s">
        <v>62</v>
      </c>
      <c r="R1414" t="s">
        <v>1648</v>
      </c>
      <c r="S1414" t="s">
        <v>1648</v>
      </c>
      <c r="T1414" t="s">
        <v>47</v>
      </c>
      <c r="U1414" t="s">
        <v>167</v>
      </c>
      <c r="V1414" t="s">
        <v>49</v>
      </c>
      <c r="W1414" t="s">
        <v>168</v>
      </c>
      <c r="X1414" t="s">
        <v>51</v>
      </c>
      <c r="Y1414" t="s">
        <v>1726</v>
      </c>
      <c r="Z1414" t="s">
        <v>1726</v>
      </c>
      <c r="AA1414" t="s">
        <v>1728</v>
      </c>
      <c r="AB1414" s="3">
        <f t="shared" si="181"/>
        <v>1</v>
      </c>
      <c r="AC1414">
        <v>652.66999999999996</v>
      </c>
      <c r="AD1414" s="2">
        <v>652.66999999999996</v>
      </c>
      <c r="AE1414" s="2">
        <v>91.39</v>
      </c>
      <c r="AF1414" s="2">
        <v>4.5199999999999996</v>
      </c>
      <c r="AG1414" s="2">
        <v>748.57</v>
      </c>
      <c r="AH1414">
        <v>0</v>
      </c>
      <c r="AI1414">
        <v>748.57</v>
      </c>
      <c r="AJ1414">
        <v>3.7428499999999998</v>
      </c>
      <c r="AK1414" t="s">
        <v>54</v>
      </c>
      <c r="AL1414">
        <v>3.43</v>
      </c>
      <c r="AM1414" s="4">
        <f t="shared" si="182"/>
        <v>748.57</v>
      </c>
      <c r="AN1414" s="4">
        <f t="shared" si="183"/>
        <v>1223.7562499999999</v>
      </c>
      <c r="AO1414" s="4">
        <f t="shared" si="184"/>
        <v>1359.59319375</v>
      </c>
      <c r="AP1414" s="4">
        <f t="shared" si="185"/>
        <v>1982.3627493749998</v>
      </c>
      <c r="AQ1414" s="10">
        <f t="shared" si="178"/>
        <v>1301.8380870000001</v>
      </c>
      <c r="AR1414" s="10">
        <f t="shared" si="179"/>
        <v>1446.4722984657001</v>
      </c>
      <c r="AS1414" s="10">
        <f t="shared" si="180"/>
        <v>2026.7015338416002</v>
      </c>
    </row>
    <row r="1415" spans="1:45" x14ac:dyDescent="0.3">
      <c r="A1415">
        <v>2025</v>
      </c>
      <c r="B1415">
        <v>4</v>
      </c>
      <c r="C1415" t="s">
        <v>55</v>
      </c>
      <c r="D1415">
        <v>10</v>
      </c>
      <c r="E1415" t="s">
        <v>36</v>
      </c>
      <c r="F1415" t="s">
        <v>37</v>
      </c>
      <c r="G1415" t="s">
        <v>38</v>
      </c>
      <c r="H1415" t="s">
        <v>83</v>
      </c>
      <c r="I1415" t="s">
        <v>375</v>
      </c>
      <c r="J1415" t="s">
        <v>376</v>
      </c>
      <c r="K1415" t="s">
        <v>59</v>
      </c>
      <c r="M1415">
        <v>2503061</v>
      </c>
      <c r="N1415" t="s">
        <v>377</v>
      </c>
      <c r="O1415" t="s">
        <v>36</v>
      </c>
      <c r="Q1415" t="s">
        <v>62</v>
      </c>
      <c r="R1415" t="s">
        <v>378</v>
      </c>
      <c r="S1415" t="s">
        <v>378</v>
      </c>
      <c r="T1415" t="s">
        <v>47</v>
      </c>
      <c r="U1415" t="s">
        <v>167</v>
      </c>
      <c r="V1415" t="s">
        <v>49</v>
      </c>
      <c r="W1415" t="s">
        <v>168</v>
      </c>
      <c r="X1415" t="s">
        <v>51</v>
      </c>
      <c r="Y1415" t="s">
        <v>1738</v>
      </c>
      <c r="Z1415" t="s">
        <v>1738</v>
      </c>
      <c r="AA1415" t="s">
        <v>1728</v>
      </c>
      <c r="AB1415" s="3">
        <f t="shared" si="181"/>
        <v>1</v>
      </c>
      <c r="AC1415">
        <v>682.5</v>
      </c>
      <c r="AD1415" s="2">
        <v>682.5</v>
      </c>
      <c r="AE1415" s="2">
        <v>229.37</v>
      </c>
      <c r="AF1415" s="2">
        <v>5.4</v>
      </c>
      <c r="AG1415" s="2">
        <v>917.28</v>
      </c>
      <c r="AH1415">
        <v>0</v>
      </c>
      <c r="AI1415">
        <v>917.28</v>
      </c>
      <c r="AJ1415">
        <v>4.5864000000000003</v>
      </c>
      <c r="AK1415" t="s">
        <v>54</v>
      </c>
      <c r="AL1415">
        <v>5.9</v>
      </c>
      <c r="AM1415" s="4">
        <f t="shared" si="182"/>
        <v>917.28</v>
      </c>
      <c r="AN1415" s="4">
        <f t="shared" si="183"/>
        <v>1279.6875</v>
      </c>
      <c r="AO1415" s="4">
        <f t="shared" si="184"/>
        <v>1421.7328124999999</v>
      </c>
      <c r="AP1415" s="4">
        <f t="shared" si="185"/>
        <v>2072.96578125</v>
      </c>
      <c r="AQ1415" s="10">
        <f t="shared" si="178"/>
        <v>1595.2416479999999</v>
      </c>
      <c r="AR1415" s="10">
        <f t="shared" si="179"/>
        <v>1772.4729950927999</v>
      </c>
      <c r="AS1415" s="10">
        <f t="shared" si="180"/>
        <v>2483.4721976063997</v>
      </c>
    </row>
    <row r="1416" spans="1:45" x14ac:dyDescent="0.3">
      <c r="A1416">
        <v>2025</v>
      </c>
      <c r="B1416">
        <v>8</v>
      </c>
      <c r="C1416" t="s">
        <v>55</v>
      </c>
      <c r="D1416">
        <v>10</v>
      </c>
      <c r="E1416" t="s">
        <v>36</v>
      </c>
      <c r="F1416" t="s">
        <v>37</v>
      </c>
      <c r="G1416" t="s">
        <v>38</v>
      </c>
      <c r="H1416" t="s">
        <v>83</v>
      </c>
      <c r="I1416" t="s">
        <v>190</v>
      </c>
      <c r="J1416" t="s">
        <v>58</v>
      </c>
      <c r="K1416" t="s">
        <v>59</v>
      </c>
      <c r="L1416" t="s">
        <v>1194</v>
      </c>
      <c r="M1416" t="s">
        <v>1195</v>
      </c>
      <c r="N1416" t="s">
        <v>1196</v>
      </c>
      <c r="O1416" t="s">
        <v>1197</v>
      </c>
      <c r="Q1416" t="s">
        <v>62</v>
      </c>
      <c r="R1416" t="s">
        <v>1198</v>
      </c>
      <c r="S1416" t="s">
        <v>1198</v>
      </c>
      <c r="T1416" t="s">
        <v>47</v>
      </c>
      <c r="U1416" t="s">
        <v>167</v>
      </c>
      <c r="V1416" t="s">
        <v>49</v>
      </c>
      <c r="W1416" t="s">
        <v>168</v>
      </c>
      <c r="X1416" t="s">
        <v>388</v>
      </c>
      <c r="Y1416" t="s">
        <v>584</v>
      </c>
      <c r="Z1416" t="s">
        <v>584</v>
      </c>
      <c r="AA1416" t="s">
        <v>585</v>
      </c>
      <c r="AB1416" s="3">
        <f t="shared" si="181"/>
        <v>1</v>
      </c>
      <c r="AC1416">
        <v>53.91</v>
      </c>
      <c r="AD1416" s="2">
        <v>53.91</v>
      </c>
      <c r="AE1416" s="2">
        <v>23.47</v>
      </c>
      <c r="AF1416" s="2">
        <v>0.37</v>
      </c>
      <c r="AG1416" s="2">
        <v>77.75</v>
      </c>
      <c r="AH1416">
        <v>0</v>
      </c>
      <c r="AI1416">
        <v>77.75</v>
      </c>
      <c r="AJ1416">
        <v>0.38874999999999998</v>
      </c>
      <c r="AK1416" t="s">
        <v>54</v>
      </c>
      <c r="AL1416">
        <v>1.1200000000000001</v>
      </c>
      <c r="AM1416" s="4">
        <f t="shared" si="182"/>
        <v>77.75</v>
      </c>
      <c r="AN1416" s="4">
        <f t="shared" si="183"/>
        <v>101.08125</v>
      </c>
      <c r="AO1416" s="4">
        <f t="shared" si="184"/>
        <v>112.30126874999999</v>
      </c>
      <c r="AP1416" s="4">
        <f t="shared" si="185"/>
        <v>163.74151687499997</v>
      </c>
      <c r="AQ1416" s="10">
        <f t="shared" si="178"/>
        <v>135.215025</v>
      </c>
      <c r="AR1416" s="10">
        <f t="shared" si="179"/>
        <v>150.23741427749999</v>
      </c>
      <c r="AS1416" s="10">
        <f t="shared" si="180"/>
        <v>210.50275091999998</v>
      </c>
    </row>
    <row r="1417" spans="1:45" x14ac:dyDescent="0.3">
      <c r="A1417">
        <v>2025</v>
      </c>
      <c r="B1417">
        <v>12</v>
      </c>
      <c r="C1417" t="s">
        <v>55</v>
      </c>
      <c r="D1417">
        <v>10</v>
      </c>
      <c r="E1417" t="s">
        <v>36</v>
      </c>
      <c r="F1417" t="s">
        <v>37</v>
      </c>
      <c r="G1417" t="s">
        <v>38</v>
      </c>
      <c r="H1417" t="s">
        <v>83</v>
      </c>
      <c r="I1417" t="s">
        <v>57</v>
      </c>
      <c r="J1417" t="s">
        <v>58</v>
      </c>
      <c r="K1417" t="s">
        <v>59</v>
      </c>
      <c r="L1417" t="s">
        <v>1769</v>
      </c>
      <c r="M1417" t="s">
        <v>1770</v>
      </c>
      <c r="N1417" t="s">
        <v>1771</v>
      </c>
      <c r="O1417" t="s">
        <v>1197</v>
      </c>
      <c r="Q1417" t="s">
        <v>62</v>
      </c>
      <c r="R1417" t="s">
        <v>1772</v>
      </c>
      <c r="S1417" t="s">
        <v>1772</v>
      </c>
      <c r="T1417" t="s">
        <v>47</v>
      </c>
      <c r="U1417" t="s">
        <v>167</v>
      </c>
      <c r="V1417" t="s">
        <v>49</v>
      </c>
      <c r="W1417" t="s">
        <v>168</v>
      </c>
      <c r="X1417" t="s">
        <v>51</v>
      </c>
      <c r="Y1417" t="s">
        <v>1414</v>
      </c>
      <c r="Z1417" t="s">
        <v>1414</v>
      </c>
      <c r="AA1417" t="s">
        <v>585</v>
      </c>
      <c r="AB1417" s="3">
        <f t="shared" si="181"/>
        <v>1</v>
      </c>
      <c r="AC1417">
        <v>41.63</v>
      </c>
      <c r="AD1417" s="2">
        <v>41.63</v>
      </c>
      <c r="AE1417" s="2">
        <v>2.98</v>
      </c>
      <c r="AF1417" s="2">
        <v>0.27</v>
      </c>
      <c r="AG1417" s="2">
        <v>44.88</v>
      </c>
      <c r="AH1417">
        <v>0</v>
      </c>
      <c r="AI1417">
        <v>44.88</v>
      </c>
      <c r="AJ1417">
        <v>0.22439999999999999</v>
      </c>
      <c r="AK1417" t="s">
        <v>54</v>
      </c>
      <c r="AL1417">
        <v>0.35</v>
      </c>
      <c r="AM1417" s="4">
        <f t="shared" si="182"/>
        <v>44.88</v>
      </c>
      <c r="AN1417" s="4">
        <f t="shared" si="183"/>
        <v>78.056250000000006</v>
      </c>
      <c r="AO1417" s="4">
        <f t="shared" si="184"/>
        <v>86.720493750000003</v>
      </c>
      <c r="AP1417" s="4">
        <f t="shared" si="185"/>
        <v>126.443319375</v>
      </c>
      <c r="AQ1417" s="10">
        <f t="shared" si="178"/>
        <v>78.050808000000004</v>
      </c>
      <c r="AR1417" s="10">
        <f t="shared" si="179"/>
        <v>86.722252768800004</v>
      </c>
      <c r="AS1417" s="10">
        <f t="shared" si="180"/>
        <v>121.5094978944</v>
      </c>
    </row>
    <row r="1418" spans="1:45" x14ac:dyDescent="0.3">
      <c r="A1418">
        <v>2025</v>
      </c>
      <c r="B1418">
        <v>4</v>
      </c>
      <c r="C1418" t="s">
        <v>55</v>
      </c>
      <c r="D1418">
        <v>10</v>
      </c>
      <c r="E1418" t="s">
        <v>36</v>
      </c>
      <c r="F1418" t="s">
        <v>37</v>
      </c>
      <c r="G1418" t="s">
        <v>38</v>
      </c>
      <c r="H1418" t="s">
        <v>83</v>
      </c>
      <c r="I1418" t="s">
        <v>375</v>
      </c>
      <c r="J1418" t="s">
        <v>376</v>
      </c>
      <c r="K1418" t="s">
        <v>59</v>
      </c>
      <c r="M1418">
        <v>2503061</v>
      </c>
      <c r="N1418" t="s">
        <v>377</v>
      </c>
      <c r="O1418" t="s">
        <v>36</v>
      </c>
      <c r="Q1418" t="s">
        <v>62</v>
      </c>
      <c r="R1418" t="s">
        <v>378</v>
      </c>
      <c r="S1418" t="s">
        <v>378</v>
      </c>
      <c r="T1418" t="s">
        <v>47</v>
      </c>
      <c r="U1418" t="s">
        <v>167</v>
      </c>
      <c r="V1418" t="s">
        <v>49</v>
      </c>
      <c r="W1418" t="s">
        <v>168</v>
      </c>
      <c r="X1418" t="s">
        <v>51</v>
      </c>
      <c r="Y1418" t="s">
        <v>1414</v>
      </c>
      <c r="Z1418" t="s">
        <v>1414</v>
      </c>
      <c r="AA1418" t="s">
        <v>585</v>
      </c>
      <c r="AB1418" s="3">
        <f t="shared" si="181"/>
        <v>2</v>
      </c>
      <c r="AC1418">
        <v>83.91</v>
      </c>
      <c r="AD1418" s="2">
        <v>41.954999999999998</v>
      </c>
      <c r="AE1418" s="2">
        <v>24.91</v>
      </c>
      <c r="AF1418" s="2">
        <v>0.63</v>
      </c>
      <c r="AG1418" s="2">
        <v>109.45</v>
      </c>
      <c r="AH1418">
        <v>0</v>
      </c>
      <c r="AI1418">
        <v>54.725000000000001</v>
      </c>
      <c r="AJ1418">
        <v>0.54725000000000001</v>
      </c>
      <c r="AK1418" t="s">
        <v>54</v>
      </c>
      <c r="AL1418">
        <v>0.62</v>
      </c>
      <c r="AM1418" s="4">
        <f t="shared" si="182"/>
        <v>54.725000000000001</v>
      </c>
      <c r="AN1418" s="4">
        <f t="shared" si="183"/>
        <v>78.665624999999991</v>
      </c>
      <c r="AO1418" s="4">
        <f t="shared" si="184"/>
        <v>87.397509374999984</v>
      </c>
      <c r="AP1418" s="4">
        <f t="shared" si="185"/>
        <v>127.43044593749998</v>
      </c>
      <c r="AQ1418" s="10">
        <f t="shared" si="178"/>
        <v>95.172247500000012</v>
      </c>
      <c r="AR1418" s="10">
        <f t="shared" si="179"/>
        <v>105.74588419725001</v>
      </c>
      <c r="AS1418" s="10">
        <f t="shared" si="180"/>
        <v>148.164154908</v>
      </c>
    </row>
    <row r="1419" spans="1:45" x14ac:dyDescent="0.3">
      <c r="A1419">
        <v>2025</v>
      </c>
      <c r="B1419">
        <v>8</v>
      </c>
      <c r="C1419" t="s">
        <v>55</v>
      </c>
      <c r="D1419">
        <v>10</v>
      </c>
      <c r="E1419" t="s">
        <v>36</v>
      </c>
      <c r="F1419" t="s">
        <v>37</v>
      </c>
      <c r="G1419" t="s">
        <v>38</v>
      </c>
      <c r="H1419" t="s">
        <v>83</v>
      </c>
      <c r="I1419" t="s">
        <v>190</v>
      </c>
      <c r="J1419" t="s">
        <v>58</v>
      </c>
      <c r="K1419" t="s">
        <v>59</v>
      </c>
      <c r="L1419" t="s">
        <v>1194</v>
      </c>
      <c r="M1419" t="s">
        <v>1195</v>
      </c>
      <c r="N1419" t="s">
        <v>1196</v>
      </c>
      <c r="O1419" t="s">
        <v>1197</v>
      </c>
      <c r="Q1419" t="s">
        <v>62</v>
      </c>
      <c r="R1419" t="s">
        <v>1198</v>
      </c>
      <c r="S1419" t="s">
        <v>1198</v>
      </c>
      <c r="T1419" t="s">
        <v>47</v>
      </c>
      <c r="U1419" t="s">
        <v>559</v>
      </c>
      <c r="V1419" t="s">
        <v>49</v>
      </c>
      <c r="W1419" t="s">
        <v>560</v>
      </c>
      <c r="X1419" t="s">
        <v>388</v>
      </c>
      <c r="Y1419" t="s">
        <v>586</v>
      </c>
      <c r="Z1419" t="s">
        <v>586</v>
      </c>
      <c r="AA1419" t="s">
        <v>587</v>
      </c>
      <c r="AB1419" s="3">
        <f t="shared" si="181"/>
        <v>1</v>
      </c>
      <c r="AC1419">
        <v>570.59</v>
      </c>
      <c r="AD1419" s="2">
        <v>570.59</v>
      </c>
      <c r="AE1419" s="2">
        <v>23.68</v>
      </c>
      <c r="AF1419" s="2">
        <v>4.08</v>
      </c>
      <c r="AG1419" s="2">
        <v>598.34</v>
      </c>
      <c r="AH1419">
        <v>0</v>
      </c>
      <c r="AI1419">
        <v>598.34</v>
      </c>
      <c r="AJ1419">
        <v>2.9916999999999998</v>
      </c>
      <c r="AK1419" t="s">
        <v>54</v>
      </c>
      <c r="AL1419">
        <v>1.1299999999999999</v>
      </c>
      <c r="AM1419" s="4">
        <f t="shared" si="182"/>
        <v>598.34</v>
      </c>
      <c r="AN1419" s="4">
        <f t="shared" si="183"/>
        <v>1069.85625</v>
      </c>
      <c r="AO1419" s="4">
        <f t="shared" si="184"/>
        <v>1188.61029375</v>
      </c>
      <c r="AP1419" s="4">
        <f t="shared" si="185"/>
        <v>1733.0601393750001</v>
      </c>
      <c r="AQ1419" s="10">
        <f t="shared" si="178"/>
        <v>1040.5730940000001</v>
      </c>
      <c r="AR1419" s="10">
        <f t="shared" si="179"/>
        <v>1156.1807647434</v>
      </c>
      <c r="AS1419" s="10">
        <f t="shared" si="180"/>
        <v>1619.9641927392001</v>
      </c>
    </row>
    <row r="1420" spans="1:45" x14ac:dyDescent="0.3">
      <c r="A1420">
        <v>2025</v>
      </c>
      <c r="B1420">
        <v>12</v>
      </c>
      <c r="C1420" t="s">
        <v>55</v>
      </c>
      <c r="D1420">
        <v>10</v>
      </c>
      <c r="E1420" t="s">
        <v>36</v>
      </c>
      <c r="F1420" t="s">
        <v>37</v>
      </c>
      <c r="G1420" t="s">
        <v>38</v>
      </c>
      <c r="H1420" t="s">
        <v>83</v>
      </c>
      <c r="I1420" t="s">
        <v>57</v>
      </c>
      <c r="J1420" t="s">
        <v>58</v>
      </c>
      <c r="K1420" t="s">
        <v>59</v>
      </c>
      <c r="L1420" t="s">
        <v>1769</v>
      </c>
      <c r="M1420" t="s">
        <v>1770</v>
      </c>
      <c r="N1420" t="s">
        <v>1771</v>
      </c>
      <c r="O1420" t="s">
        <v>1197</v>
      </c>
      <c r="Q1420" t="s">
        <v>62</v>
      </c>
      <c r="R1420" t="s">
        <v>1772</v>
      </c>
      <c r="S1420" t="s">
        <v>1772</v>
      </c>
      <c r="T1420" t="s">
        <v>47</v>
      </c>
      <c r="U1420" t="s">
        <v>464</v>
      </c>
      <c r="V1420" t="s">
        <v>49</v>
      </c>
      <c r="W1420" t="s">
        <v>802</v>
      </c>
      <c r="X1420" t="s">
        <v>51</v>
      </c>
      <c r="Y1420" t="s">
        <v>1396</v>
      </c>
      <c r="Z1420" t="s">
        <v>1396</v>
      </c>
      <c r="AA1420" t="s">
        <v>587</v>
      </c>
      <c r="AB1420" s="3">
        <f t="shared" si="181"/>
        <v>1</v>
      </c>
      <c r="AC1420">
        <v>476.87</v>
      </c>
      <c r="AD1420" s="2">
        <v>476.87</v>
      </c>
      <c r="AE1420" s="2">
        <v>34.18</v>
      </c>
      <c r="AF1420" s="2">
        <v>3.9</v>
      </c>
      <c r="AG1420" s="2">
        <v>514.13</v>
      </c>
      <c r="AH1420">
        <v>0</v>
      </c>
      <c r="AI1420">
        <v>514.13</v>
      </c>
      <c r="AJ1420">
        <v>2.5706500000000001</v>
      </c>
      <c r="AK1420" t="s">
        <v>54</v>
      </c>
      <c r="AL1420">
        <v>4.2</v>
      </c>
      <c r="AM1420" s="4">
        <f t="shared" si="182"/>
        <v>514.13</v>
      </c>
      <c r="AN1420" s="4">
        <f t="shared" si="183"/>
        <v>894.13125000000002</v>
      </c>
      <c r="AO1420" s="4">
        <f t="shared" si="184"/>
        <v>993.37981875000003</v>
      </c>
      <c r="AP1420" s="4">
        <f t="shared" si="185"/>
        <v>1448.4032118749999</v>
      </c>
      <c r="AQ1420" s="10">
        <f t="shared" si="178"/>
        <v>894.12348300000008</v>
      </c>
      <c r="AR1420" s="10">
        <f t="shared" si="179"/>
        <v>993.46060196130009</v>
      </c>
      <c r="AS1420" s="10">
        <f t="shared" si="180"/>
        <v>1391.9714383344001</v>
      </c>
    </row>
    <row r="1421" spans="1:45" x14ac:dyDescent="0.3">
      <c r="A1421">
        <v>2025</v>
      </c>
      <c r="B1421">
        <v>12</v>
      </c>
      <c r="C1421" t="s">
        <v>55</v>
      </c>
      <c r="D1421">
        <v>10</v>
      </c>
      <c r="E1421" t="s">
        <v>36</v>
      </c>
      <c r="F1421" t="s">
        <v>37</v>
      </c>
      <c r="G1421" t="s">
        <v>38</v>
      </c>
      <c r="H1421" t="s">
        <v>83</v>
      </c>
      <c r="I1421" t="s">
        <v>57</v>
      </c>
      <c r="J1421" t="s">
        <v>58</v>
      </c>
      <c r="K1421" t="s">
        <v>59</v>
      </c>
      <c r="L1421" t="s">
        <v>1769</v>
      </c>
      <c r="M1421" t="s">
        <v>1770</v>
      </c>
      <c r="N1421" t="s">
        <v>1771</v>
      </c>
      <c r="O1421" t="s">
        <v>1197</v>
      </c>
      <c r="Q1421" t="s">
        <v>62</v>
      </c>
      <c r="R1421" t="s">
        <v>1772</v>
      </c>
      <c r="S1421" t="s">
        <v>1772</v>
      </c>
      <c r="T1421" t="s">
        <v>47</v>
      </c>
      <c r="U1421" t="s">
        <v>393</v>
      </c>
      <c r="V1421" t="s">
        <v>49</v>
      </c>
      <c r="W1421" t="s">
        <v>394</v>
      </c>
      <c r="X1421" t="s">
        <v>51</v>
      </c>
      <c r="Y1421" t="s">
        <v>1822</v>
      </c>
      <c r="Z1421" t="s">
        <v>1822</v>
      </c>
      <c r="AA1421" t="s">
        <v>1823</v>
      </c>
      <c r="AB1421" s="3">
        <f t="shared" si="181"/>
        <v>1</v>
      </c>
      <c r="AC1421">
        <v>199.74</v>
      </c>
      <c r="AD1421" s="2">
        <v>199.74</v>
      </c>
      <c r="AE1421" s="2">
        <v>59.3</v>
      </c>
      <c r="AF1421" s="2">
        <v>1.5</v>
      </c>
      <c r="AG1421" s="2">
        <v>260.54000000000002</v>
      </c>
      <c r="AH1421">
        <v>0</v>
      </c>
      <c r="AI1421">
        <v>260.54000000000002</v>
      </c>
      <c r="AJ1421">
        <v>1.3027</v>
      </c>
      <c r="AK1421" t="s">
        <v>54</v>
      </c>
      <c r="AL1421">
        <v>1.48</v>
      </c>
      <c r="AM1421" s="4">
        <f t="shared" si="182"/>
        <v>260.54000000000002</v>
      </c>
      <c r="AN1421" s="4">
        <f t="shared" si="183"/>
        <v>374.51250000000005</v>
      </c>
      <c r="AO1421" s="4">
        <f t="shared" si="184"/>
        <v>416.08338750000007</v>
      </c>
      <c r="AP1421" s="4">
        <f t="shared" si="185"/>
        <v>606.67279875000008</v>
      </c>
      <c r="AQ1421" s="10">
        <f t="shared" si="178"/>
        <v>453.10511400000007</v>
      </c>
      <c r="AR1421" s="10">
        <f t="shared" si="179"/>
        <v>503.44509216540007</v>
      </c>
      <c r="AS1421" s="10">
        <f t="shared" si="180"/>
        <v>705.39404147520008</v>
      </c>
    </row>
    <row r="1422" spans="1:45" x14ac:dyDescent="0.3">
      <c r="A1422">
        <v>2025</v>
      </c>
      <c r="B1422">
        <v>12</v>
      </c>
      <c r="C1422" t="s">
        <v>55</v>
      </c>
      <c r="D1422">
        <v>10</v>
      </c>
      <c r="E1422" t="s">
        <v>36</v>
      </c>
      <c r="F1422" t="s">
        <v>37</v>
      </c>
      <c r="G1422" t="s">
        <v>38</v>
      </c>
      <c r="H1422" t="s">
        <v>83</v>
      </c>
      <c r="I1422" t="s">
        <v>57</v>
      </c>
      <c r="J1422" t="s">
        <v>58</v>
      </c>
      <c r="K1422" t="s">
        <v>59</v>
      </c>
      <c r="L1422" t="s">
        <v>1769</v>
      </c>
      <c r="M1422" t="s">
        <v>1770</v>
      </c>
      <c r="N1422" t="s">
        <v>1771</v>
      </c>
      <c r="O1422" t="s">
        <v>1197</v>
      </c>
      <c r="Q1422" t="s">
        <v>62</v>
      </c>
      <c r="R1422" t="s">
        <v>1772</v>
      </c>
      <c r="S1422" t="s">
        <v>1772</v>
      </c>
      <c r="T1422" t="s">
        <v>47</v>
      </c>
      <c r="U1422" t="s">
        <v>163</v>
      </c>
      <c r="V1422" t="s">
        <v>49</v>
      </c>
      <c r="W1422" t="s">
        <v>164</v>
      </c>
      <c r="X1422" t="s">
        <v>51</v>
      </c>
      <c r="Y1422" t="s">
        <v>1447</v>
      </c>
      <c r="Z1422" t="s">
        <v>1447</v>
      </c>
      <c r="AA1422" t="s">
        <v>1779</v>
      </c>
      <c r="AB1422" s="3">
        <f t="shared" si="181"/>
        <v>1</v>
      </c>
      <c r="AC1422">
        <v>24.4</v>
      </c>
      <c r="AD1422" s="2">
        <v>24.4</v>
      </c>
      <c r="AE1422" s="2">
        <v>7.25</v>
      </c>
      <c r="AF1422" s="2">
        <v>0.18</v>
      </c>
      <c r="AG1422" s="2">
        <v>31.83</v>
      </c>
      <c r="AH1422">
        <v>0</v>
      </c>
      <c r="AI1422">
        <v>31.83</v>
      </c>
      <c r="AJ1422">
        <v>0.15915000000000001</v>
      </c>
      <c r="AK1422" t="s">
        <v>54</v>
      </c>
      <c r="AL1422">
        <v>0.18</v>
      </c>
      <c r="AM1422" s="4">
        <f t="shared" si="182"/>
        <v>31.83</v>
      </c>
      <c r="AN1422" s="4">
        <f t="shared" si="183"/>
        <v>45.75</v>
      </c>
      <c r="AO1422" s="4">
        <f t="shared" si="184"/>
        <v>50.828249999999997</v>
      </c>
      <c r="AP1422" s="4">
        <f t="shared" si="185"/>
        <v>74.110424999999992</v>
      </c>
      <c r="AQ1422" s="10">
        <f t="shared" si="178"/>
        <v>55.355553</v>
      </c>
      <c r="AR1422" s="10">
        <f t="shared" si="179"/>
        <v>61.505554938300001</v>
      </c>
      <c r="AS1422" s="10">
        <f t="shared" si="180"/>
        <v>86.177524910399995</v>
      </c>
    </row>
    <row r="1423" spans="1:45" x14ac:dyDescent="0.3">
      <c r="A1423">
        <v>2025</v>
      </c>
      <c r="B1423">
        <v>3</v>
      </c>
      <c r="C1423" t="s">
        <v>55</v>
      </c>
      <c r="D1423">
        <v>10</v>
      </c>
      <c r="E1423" t="s">
        <v>36</v>
      </c>
      <c r="F1423" t="s">
        <v>37</v>
      </c>
      <c r="G1423" t="s">
        <v>38</v>
      </c>
      <c r="H1423" t="s">
        <v>83</v>
      </c>
      <c r="I1423" t="s">
        <v>190</v>
      </c>
      <c r="J1423" t="s">
        <v>58</v>
      </c>
      <c r="K1423" t="s">
        <v>59</v>
      </c>
      <c r="M1423" t="s">
        <v>213</v>
      </c>
      <c r="N1423" t="s">
        <v>61</v>
      </c>
      <c r="O1423" t="s">
        <v>43</v>
      </c>
      <c r="Q1423" t="s">
        <v>62</v>
      </c>
      <c r="R1423" t="s">
        <v>214</v>
      </c>
      <c r="S1423" t="s">
        <v>215</v>
      </c>
      <c r="T1423" t="s">
        <v>47</v>
      </c>
      <c r="U1423" t="s">
        <v>118</v>
      </c>
      <c r="V1423" t="s">
        <v>49</v>
      </c>
      <c r="W1423" t="s">
        <v>119</v>
      </c>
      <c r="X1423" t="s">
        <v>51</v>
      </c>
      <c r="Y1423" t="s">
        <v>1885</v>
      </c>
      <c r="Z1423" t="s">
        <v>1885</v>
      </c>
      <c r="AA1423" t="s">
        <v>1886</v>
      </c>
      <c r="AB1423" s="3">
        <f t="shared" si="181"/>
        <v>1</v>
      </c>
      <c r="AC1423">
        <v>1774.43</v>
      </c>
      <c r="AD1423" s="2">
        <v>1774.43</v>
      </c>
      <c r="AE1423" s="2">
        <v>526.76</v>
      </c>
      <c r="AF1423" s="2">
        <v>13.32</v>
      </c>
      <c r="AG1423" s="2">
        <v>2314.5100000000002</v>
      </c>
      <c r="AH1423">
        <v>0</v>
      </c>
      <c r="AI1423">
        <v>2314.5100000000002</v>
      </c>
      <c r="AJ1423">
        <v>11.57255</v>
      </c>
      <c r="AK1423" t="s">
        <v>54</v>
      </c>
      <c r="AL1423">
        <v>13.19</v>
      </c>
      <c r="AM1423" s="4">
        <f t="shared" si="182"/>
        <v>2314.5100000000002</v>
      </c>
      <c r="AN1423" s="4">
        <f t="shared" si="183"/>
        <v>3327.0562500000001</v>
      </c>
      <c r="AO1423" s="4">
        <f t="shared" si="184"/>
        <v>3696.3594937500002</v>
      </c>
      <c r="AP1423" s="4">
        <f t="shared" si="185"/>
        <v>5389.4984193749997</v>
      </c>
      <c r="AQ1423" s="10">
        <f t="shared" si="178"/>
        <v>4025.1643410000006</v>
      </c>
      <c r="AR1423" s="10">
        <f t="shared" si="179"/>
        <v>4472.3600992851007</v>
      </c>
      <c r="AS1423" s="10">
        <f t="shared" si="180"/>
        <v>6266.3758460688005</v>
      </c>
    </row>
    <row r="1424" spans="1:45" x14ac:dyDescent="0.3">
      <c r="A1424">
        <v>2025</v>
      </c>
      <c r="B1424">
        <v>11</v>
      </c>
      <c r="C1424" t="s">
        <v>55</v>
      </c>
      <c r="D1424">
        <v>10</v>
      </c>
      <c r="E1424" t="s">
        <v>36</v>
      </c>
      <c r="F1424" t="s">
        <v>37</v>
      </c>
      <c r="G1424" t="s">
        <v>38</v>
      </c>
      <c r="H1424" t="s">
        <v>83</v>
      </c>
      <c r="I1424" t="s">
        <v>375</v>
      </c>
      <c r="J1424" t="s">
        <v>376</v>
      </c>
      <c r="K1424" t="s">
        <v>51</v>
      </c>
      <c r="L1424" t="s">
        <v>1622</v>
      </c>
      <c r="M1424" t="s">
        <v>1623</v>
      </c>
      <c r="N1424" t="s">
        <v>1485</v>
      </c>
      <c r="O1424" t="s">
        <v>1197</v>
      </c>
      <c r="Q1424" t="s">
        <v>62</v>
      </c>
      <c r="R1424" t="s">
        <v>1624</v>
      </c>
      <c r="S1424" t="s">
        <v>1624</v>
      </c>
      <c r="T1424" t="s">
        <v>47</v>
      </c>
      <c r="U1424" t="s">
        <v>178</v>
      </c>
      <c r="V1424" t="s">
        <v>49</v>
      </c>
      <c r="W1424" t="s">
        <v>179</v>
      </c>
      <c r="X1424" t="s">
        <v>51</v>
      </c>
      <c r="Y1424" t="s">
        <v>332</v>
      </c>
      <c r="Z1424" t="s">
        <v>64</v>
      </c>
      <c r="AA1424" t="s">
        <v>333</v>
      </c>
      <c r="AB1424" s="3">
        <f t="shared" si="181"/>
        <v>1</v>
      </c>
      <c r="AC1424">
        <v>470.73</v>
      </c>
      <c r="AD1424" s="2">
        <v>470.73</v>
      </c>
      <c r="AE1424" s="2">
        <v>98.78</v>
      </c>
      <c r="AF1424" s="2">
        <v>3.48</v>
      </c>
      <c r="AG1424" s="2">
        <v>573</v>
      </c>
      <c r="AH1424">
        <v>0</v>
      </c>
      <c r="AI1424">
        <v>573</v>
      </c>
      <c r="AJ1424">
        <v>2.8650000000000002</v>
      </c>
      <c r="AK1424" t="s">
        <v>54</v>
      </c>
      <c r="AL1424">
        <v>1.94</v>
      </c>
      <c r="AM1424" s="4">
        <f t="shared" si="182"/>
        <v>573</v>
      </c>
      <c r="AN1424" s="4">
        <f t="shared" si="183"/>
        <v>882.61875000000009</v>
      </c>
      <c r="AO1424" s="4">
        <f t="shared" si="184"/>
        <v>980.58943125000008</v>
      </c>
      <c r="AP1424" s="4">
        <f t="shared" si="185"/>
        <v>1429.754113125</v>
      </c>
      <c r="AQ1424" s="10">
        <f t="shared" si="178"/>
        <v>996.50430000000006</v>
      </c>
      <c r="AR1424" s="10">
        <f t="shared" si="179"/>
        <v>1107.21592773</v>
      </c>
      <c r="AS1424" s="10">
        <f t="shared" si="180"/>
        <v>1551.35789424</v>
      </c>
    </row>
    <row r="1425" spans="1:45" x14ac:dyDescent="0.3">
      <c r="A1425">
        <v>2025</v>
      </c>
      <c r="B1425">
        <v>11</v>
      </c>
      <c r="C1425" t="s">
        <v>55</v>
      </c>
      <c r="D1425">
        <v>10</v>
      </c>
      <c r="E1425" t="s">
        <v>36</v>
      </c>
      <c r="F1425" t="s">
        <v>37</v>
      </c>
      <c r="G1425" t="s">
        <v>38</v>
      </c>
      <c r="H1425" t="s">
        <v>83</v>
      </c>
      <c r="I1425" t="s">
        <v>375</v>
      </c>
      <c r="J1425" t="s">
        <v>376</v>
      </c>
      <c r="K1425" t="s">
        <v>51</v>
      </c>
      <c r="L1425" t="s">
        <v>1622</v>
      </c>
      <c r="M1425" t="s">
        <v>1623</v>
      </c>
      <c r="N1425" t="s">
        <v>1485</v>
      </c>
      <c r="O1425" t="s">
        <v>1197</v>
      </c>
      <c r="Q1425" t="s">
        <v>62</v>
      </c>
      <c r="R1425" t="s">
        <v>1624</v>
      </c>
      <c r="S1425" t="s">
        <v>1624</v>
      </c>
      <c r="T1425" t="s">
        <v>47</v>
      </c>
      <c r="U1425" t="s">
        <v>178</v>
      </c>
      <c r="V1425" t="s">
        <v>49</v>
      </c>
      <c r="W1425" t="s">
        <v>179</v>
      </c>
      <c r="X1425" t="s">
        <v>51</v>
      </c>
      <c r="Y1425" t="s">
        <v>1532</v>
      </c>
      <c r="Z1425" t="s">
        <v>1532</v>
      </c>
      <c r="AA1425" t="s">
        <v>1751</v>
      </c>
      <c r="AB1425" s="3">
        <f t="shared" si="181"/>
        <v>1</v>
      </c>
      <c r="AC1425">
        <v>355.89</v>
      </c>
      <c r="AD1425" s="2">
        <v>355.89</v>
      </c>
      <c r="AE1425" s="2">
        <v>49.83</v>
      </c>
      <c r="AF1425" s="2">
        <v>2.46</v>
      </c>
      <c r="AG1425" s="2">
        <v>408.19</v>
      </c>
      <c r="AH1425">
        <v>0</v>
      </c>
      <c r="AI1425">
        <v>408.19</v>
      </c>
      <c r="AJ1425">
        <v>2.04095</v>
      </c>
      <c r="AK1425" t="s">
        <v>54</v>
      </c>
      <c r="AL1425">
        <v>2.71</v>
      </c>
      <c r="AM1425" s="4">
        <f t="shared" si="182"/>
        <v>408.19</v>
      </c>
      <c r="AN1425" s="4">
        <f t="shared" si="183"/>
        <v>667.29374999999993</v>
      </c>
      <c r="AO1425" s="4">
        <f t="shared" si="184"/>
        <v>741.36335624999992</v>
      </c>
      <c r="AP1425" s="4">
        <f t="shared" si="185"/>
        <v>1080.9491456249998</v>
      </c>
      <c r="AQ1425" s="10">
        <f t="shared" si="178"/>
        <v>709.88322900000003</v>
      </c>
      <c r="AR1425" s="10">
        <f t="shared" si="179"/>
        <v>788.75125574189997</v>
      </c>
      <c r="AS1425" s="10">
        <f t="shared" si="180"/>
        <v>1105.1462109071999</v>
      </c>
    </row>
    <row r="1426" spans="1:45" x14ac:dyDescent="0.3">
      <c r="A1426">
        <v>2025</v>
      </c>
      <c r="B1426">
        <v>9</v>
      </c>
      <c r="C1426" t="s">
        <v>55</v>
      </c>
      <c r="D1426">
        <v>10</v>
      </c>
      <c r="E1426" t="s">
        <v>36</v>
      </c>
      <c r="F1426" t="s">
        <v>37</v>
      </c>
      <c r="G1426" t="s">
        <v>38</v>
      </c>
      <c r="H1426" t="s">
        <v>206</v>
      </c>
      <c r="I1426" t="s">
        <v>375</v>
      </c>
      <c r="J1426" t="s">
        <v>376</v>
      </c>
      <c r="K1426" t="s">
        <v>59</v>
      </c>
      <c r="L1426" t="s">
        <v>1483</v>
      </c>
      <c r="M1426" t="s">
        <v>1484</v>
      </c>
      <c r="N1426" t="s">
        <v>1485</v>
      </c>
      <c r="O1426" t="s">
        <v>1197</v>
      </c>
      <c r="Q1426" t="s">
        <v>62</v>
      </c>
      <c r="R1426" t="s">
        <v>1486</v>
      </c>
      <c r="S1426" t="s">
        <v>1486</v>
      </c>
      <c r="T1426" t="s">
        <v>47</v>
      </c>
      <c r="U1426" t="s">
        <v>379</v>
      </c>
      <c r="V1426" t="s">
        <v>49</v>
      </c>
      <c r="W1426" t="s">
        <v>1204</v>
      </c>
      <c r="X1426" t="s">
        <v>51</v>
      </c>
      <c r="Y1426" t="s">
        <v>1532</v>
      </c>
      <c r="Z1426" t="s">
        <v>1532</v>
      </c>
      <c r="AA1426" t="s">
        <v>1752</v>
      </c>
      <c r="AB1426" s="3">
        <f t="shared" si="181"/>
        <v>2</v>
      </c>
      <c r="AC1426">
        <v>1503.9</v>
      </c>
      <c r="AD1426" s="2">
        <v>751.95</v>
      </c>
      <c r="AE1426" s="2">
        <v>210.58</v>
      </c>
      <c r="AF1426" s="2">
        <v>10.41</v>
      </c>
      <c r="AG1426" s="2">
        <v>1724.89</v>
      </c>
      <c r="AH1426">
        <v>0</v>
      </c>
      <c r="AI1426">
        <v>862.44500000000005</v>
      </c>
      <c r="AJ1426">
        <v>8.6244499999999995</v>
      </c>
      <c r="AK1426" t="s">
        <v>54</v>
      </c>
      <c r="AL1426">
        <v>11.46</v>
      </c>
      <c r="AM1426" s="4">
        <f t="shared" si="182"/>
        <v>862.44500000000005</v>
      </c>
      <c r="AN1426" s="4">
        <f t="shared" si="183"/>
        <v>1409.90625</v>
      </c>
      <c r="AO1426" s="4">
        <f t="shared" si="184"/>
        <v>1566.40584375</v>
      </c>
      <c r="AP1426" s="4">
        <f t="shared" si="185"/>
        <v>2283.9071343749997</v>
      </c>
      <c r="AQ1426" s="10">
        <f t="shared" si="178"/>
        <v>1499.8780995000002</v>
      </c>
      <c r="AR1426" s="10">
        <f t="shared" si="179"/>
        <v>1666.5145563544502</v>
      </c>
      <c r="AS1426" s="10">
        <f t="shared" si="180"/>
        <v>2335.0102253016003</v>
      </c>
    </row>
    <row r="1427" spans="1:45" x14ac:dyDescent="0.3">
      <c r="A1427">
        <v>2025</v>
      </c>
      <c r="B1427">
        <v>8</v>
      </c>
      <c r="C1427" t="s">
        <v>55</v>
      </c>
      <c r="D1427">
        <v>10</v>
      </c>
      <c r="E1427" t="s">
        <v>36</v>
      </c>
      <c r="F1427" t="s">
        <v>37</v>
      </c>
      <c r="G1427" t="s">
        <v>38</v>
      </c>
      <c r="H1427" t="s">
        <v>206</v>
      </c>
      <c r="I1427" t="s">
        <v>190</v>
      </c>
      <c r="J1427" t="s">
        <v>58</v>
      </c>
      <c r="K1427" t="s">
        <v>59</v>
      </c>
      <c r="L1427" t="s">
        <v>1194</v>
      </c>
      <c r="M1427" t="s">
        <v>1195</v>
      </c>
      <c r="N1427" t="s">
        <v>1196</v>
      </c>
      <c r="O1427" t="s">
        <v>1197</v>
      </c>
      <c r="Q1427" t="s">
        <v>62</v>
      </c>
      <c r="R1427" t="s">
        <v>1198</v>
      </c>
      <c r="S1427" t="s">
        <v>1198</v>
      </c>
      <c r="T1427" t="s">
        <v>47</v>
      </c>
      <c r="U1427" t="s">
        <v>379</v>
      </c>
      <c r="V1427" t="s">
        <v>49</v>
      </c>
      <c r="W1427" t="s">
        <v>1204</v>
      </c>
      <c r="X1427" t="s">
        <v>388</v>
      </c>
      <c r="Y1427" t="s">
        <v>1205</v>
      </c>
      <c r="Z1427" t="s">
        <v>1205</v>
      </c>
      <c r="AA1427" t="s">
        <v>1487</v>
      </c>
      <c r="AB1427" s="3">
        <f t="shared" si="181"/>
        <v>2</v>
      </c>
      <c r="AC1427">
        <v>133.6</v>
      </c>
      <c r="AD1427" s="2">
        <v>66.8</v>
      </c>
      <c r="AE1427" s="2">
        <v>20.79</v>
      </c>
      <c r="AF1427" s="2">
        <v>0.95</v>
      </c>
      <c r="AG1427" s="2">
        <v>155.34</v>
      </c>
      <c r="AH1427">
        <v>0</v>
      </c>
      <c r="AI1427">
        <v>77.67</v>
      </c>
      <c r="AJ1427">
        <v>0.77669999999999995</v>
      </c>
      <c r="AK1427" t="s">
        <v>54</v>
      </c>
      <c r="AL1427">
        <v>0.86</v>
      </c>
      <c r="AM1427" s="4">
        <f t="shared" si="182"/>
        <v>77.67</v>
      </c>
      <c r="AN1427" s="4">
        <f t="shared" si="183"/>
        <v>125.25</v>
      </c>
      <c r="AO1427" s="4">
        <f t="shared" si="184"/>
        <v>139.15275</v>
      </c>
      <c r="AP1427" s="4">
        <f t="shared" si="185"/>
        <v>202.89247499999999</v>
      </c>
      <c r="AQ1427" s="10">
        <f t="shared" si="178"/>
        <v>135.075897</v>
      </c>
      <c r="AR1427" s="10">
        <f t="shared" si="179"/>
        <v>150.0828291567</v>
      </c>
      <c r="AS1427" s="10">
        <f t="shared" si="180"/>
        <v>210.28615644959999</v>
      </c>
    </row>
    <row r="1428" spans="1:45" x14ac:dyDescent="0.3">
      <c r="A1428">
        <v>2025</v>
      </c>
      <c r="B1428">
        <v>12</v>
      </c>
      <c r="C1428" t="s">
        <v>55</v>
      </c>
      <c r="D1428">
        <v>10</v>
      </c>
      <c r="E1428" t="s">
        <v>36</v>
      </c>
      <c r="F1428" t="s">
        <v>37</v>
      </c>
      <c r="G1428" t="s">
        <v>38</v>
      </c>
      <c r="H1428" t="s">
        <v>206</v>
      </c>
      <c r="I1428" t="s">
        <v>57</v>
      </c>
      <c r="J1428" t="s">
        <v>58</v>
      </c>
      <c r="K1428" t="s">
        <v>59</v>
      </c>
      <c r="L1428" t="s">
        <v>1769</v>
      </c>
      <c r="M1428" t="s">
        <v>1770</v>
      </c>
      <c r="N1428" t="s">
        <v>1771</v>
      </c>
      <c r="O1428" t="s">
        <v>1197</v>
      </c>
      <c r="Q1428" t="s">
        <v>62</v>
      </c>
      <c r="R1428" t="s">
        <v>1772</v>
      </c>
      <c r="S1428" t="s">
        <v>1772</v>
      </c>
      <c r="T1428" t="s">
        <v>47</v>
      </c>
      <c r="U1428" t="s">
        <v>379</v>
      </c>
      <c r="V1428" t="s">
        <v>49</v>
      </c>
      <c r="W1428" t="s">
        <v>1204</v>
      </c>
      <c r="X1428" t="s">
        <v>51</v>
      </c>
      <c r="Y1428" t="s">
        <v>1205</v>
      </c>
      <c r="Z1428" t="s">
        <v>1205</v>
      </c>
      <c r="AA1428" t="s">
        <v>1206</v>
      </c>
      <c r="AB1428" s="3">
        <f t="shared" si="181"/>
        <v>1</v>
      </c>
      <c r="AC1428">
        <v>110.21</v>
      </c>
      <c r="AD1428" s="2">
        <v>110.21</v>
      </c>
      <c r="AE1428" s="2">
        <v>7.9</v>
      </c>
      <c r="AF1428" s="2">
        <v>0.71</v>
      </c>
      <c r="AG1428" s="2">
        <v>118.82</v>
      </c>
      <c r="AH1428">
        <v>0</v>
      </c>
      <c r="AI1428">
        <v>118.82</v>
      </c>
      <c r="AJ1428">
        <v>0.59409999999999996</v>
      </c>
      <c r="AK1428" t="s">
        <v>54</v>
      </c>
      <c r="AL1428">
        <v>0.93</v>
      </c>
      <c r="AM1428" s="4">
        <f t="shared" si="182"/>
        <v>118.82</v>
      </c>
      <c r="AN1428" s="4">
        <f t="shared" si="183"/>
        <v>206.64374999999998</v>
      </c>
      <c r="AO1428" s="4">
        <f t="shared" si="184"/>
        <v>229.58120624999998</v>
      </c>
      <c r="AP1428" s="4">
        <f t="shared" si="185"/>
        <v>334.74221062499993</v>
      </c>
      <c r="AQ1428" s="10">
        <f t="shared" si="178"/>
        <v>206.63986199999999</v>
      </c>
      <c r="AR1428" s="10">
        <f t="shared" si="179"/>
        <v>229.5975506682</v>
      </c>
      <c r="AS1428" s="10">
        <f t="shared" si="180"/>
        <v>321.69693716159998</v>
      </c>
    </row>
    <row r="1429" spans="1:45" x14ac:dyDescent="0.3">
      <c r="A1429">
        <v>2025</v>
      </c>
      <c r="B1429">
        <v>4</v>
      </c>
      <c r="C1429" t="s">
        <v>55</v>
      </c>
      <c r="D1429">
        <v>10</v>
      </c>
      <c r="E1429" t="s">
        <v>36</v>
      </c>
      <c r="F1429" t="s">
        <v>37</v>
      </c>
      <c r="G1429" t="s">
        <v>38</v>
      </c>
      <c r="H1429" t="s">
        <v>83</v>
      </c>
      <c r="I1429" t="s">
        <v>375</v>
      </c>
      <c r="J1429" t="s">
        <v>376</v>
      </c>
      <c r="K1429" t="s">
        <v>59</v>
      </c>
      <c r="M1429">
        <v>2503061</v>
      </c>
      <c r="N1429" t="s">
        <v>377</v>
      </c>
      <c r="O1429" t="s">
        <v>36</v>
      </c>
      <c r="Q1429" t="s">
        <v>62</v>
      </c>
      <c r="R1429" t="s">
        <v>378</v>
      </c>
      <c r="S1429" t="s">
        <v>378</v>
      </c>
      <c r="T1429" t="s">
        <v>47</v>
      </c>
      <c r="U1429" t="s">
        <v>379</v>
      </c>
      <c r="V1429" t="s">
        <v>49</v>
      </c>
      <c r="W1429" t="s">
        <v>380</v>
      </c>
      <c r="X1429" t="s">
        <v>51</v>
      </c>
      <c r="Y1429" t="s">
        <v>1205</v>
      </c>
      <c r="Z1429" t="s">
        <v>1205</v>
      </c>
      <c r="AA1429" t="s">
        <v>1206</v>
      </c>
      <c r="AB1429" s="3">
        <f t="shared" si="181"/>
        <v>1</v>
      </c>
      <c r="AC1429">
        <v>111.8</v>
      </c>
      <c r="AD1429" s="2">
        <v>111.8</v>
      </c>
      <c r="AE1429" s="2">
        <v>32.979999999999997</v>
      </c>
      <c r="AF1429" s="2">
        <v>0.83</v>
      </c>
      <c r="AG1429" s="2">
        <v>144.88999999999999</v>
      </c>
      <c r="AH1429">
        <v>0</v>
      </c>
      <c r="AI1429">
        <v>144.88999999999999</v>
      </c>
      <c r="AJ1429">
        <v>0.72445000000000004</v>
      </c>
      <c r="AK1429" t="s">
        <v>54</v>
      </c>
      <c r="AL1429">
        <v>0.83</v>
      </c>
      <c r="AM1429" s="4">
        <f t="shared" si="182"/>
        <v>144.88999999999999</v>
      </c>
      <c r="AN1429" s="4">
        <f t="shared" si="183"/>
        <v>209.625</v>
      </c>
      <c r="AO1429" s="4">
        <f t="shared" si="184"/>
        <v>232.89337499999999</v>
      </c>
      <c r="AP1429" s="4">
        <f t="shared" si="185"/>
        <v>339.57153749999998</v>
      </c>
      <c r="AQ1429" s="10">
        <f t="shared" si="178"/>
        <v>251.97819899999999</v>
      </c>
      <c r="AR1429" s="10">
        <f t="shared" si="179"/>
        <v>279.97297690889997</v>
      </c>
      <c r="AS1429" s="10">
        <f t="shared" si="180"/>
        <v>392.27966020319997</v>
      </c>
    </row>
    <row r="1430" spans="1:45" x14ac:dyDescent="0.3">
      <c r="A1430">
        <v>2025</v>
      </c>
      <c r="B1430">
        <v>11</v>
      </c>
      <c r="C1430" t="s">
        <v>55</v>
      </c>
      <c r="D1430">
        <v>10</v>
      </c>
      <c r="E1430" t="s">
        <v>36</v>
      </c>
      <c r="F1430" t="s">
        <v>37</v>
      </c>
      <c r="G1430" t="s">
        <v>38</v>
      </c>
      <c r="H1430" t="s">
        <v>83</v>
      </c>
      <c r="I1430" t="s">
        <v>190</v>
      </c>
      <c r="J1430" t="s">
        <v>58</v>
      </c>
      <c r="K1430" t="s">
        <v>59</v>
      </c>
      <c r="L1430" t="s">
        <v>1629</v>
      </c>
      <c r="M1430" t="s">
        <v>1630</v>
      </c>
      <c r="N1430" t="s">
        <v>1485</v>
      </c>
      <c r="O1430" t="s">
        <v>1197</v>
      </c>
      <c r="Q1430" t="s">
        <v>62</v>
      </c>
      <c r="R1430" t="s">
        <v>1631</v>
      </c>
      <c r="S1430" t="s">
        <v>1631</v>
      </c>
      <c r="T1430" t="s">
        <v>47</v>
      </c>
      <c r="U1430" t="s">
        <v>379</v>
      </c>
      <c r="V1430" t="s">
        <v>49</v>
      </c>
      <c r="W1430" t="s">
        <v>1204</v>
      </c>
      <c r="X1430" t="s">
        <v>1578</v>
      </c>
      <c r="Y1430" t="s">
        <v>381</v>
      </c>
      <c r="Z1430" t="s">
        <v>381</v>
      </c>
      <c r="AA1430" t="s">
        <v>382</v>
      </c>
      <c r="AB1430" s="3">
        <f t="shared" si="181"/>
        <v>3.4499999999998625</v>
      </c>
      <c r="AC1430">
        <v>376.17</v>
      </c>
      <c r="AD1430" s="2">
        <v>109.0347826087</v>
      </c>
      <c r="AE1430" s="2">
        <v>47.15</v>
      </c>
      <c r="AF1430" s="2">
        <v>2.66</v>
      </c>
      <c r="AG1430" s="2">
        <v>425.98</v>
      </c>
      <c r="AH1430">
        <v>0</v>
      </c>
      <c r="AI1430">
        <v>123.47246376811999</v>
      </c>
      <c r="AJ1430">
        <v>2.1299000000000001</v>
      </c>
      <c r="AK1430" t="s">
        <v>54</v>
      </c>
      <c r="AL1430">
        <v>2.25</v>
      </c>
      <c r="AM1430" s="4">
        <f t="shared" si="182"/>
        <v>123.47246376812087</v>
      </c>
      <c r="AN1430" s="4">
        <f t="shared" si="183"/>
        <v>204.4402173913125</v>
      </c>
      <c r="AO1430" s="4">
        <f t="shared" si="184"/>
        <v>227.13308152174818</v>
      </c>
      <c r="AP1430" s="4">
        <f t="shared" si="185"/>
        <v>331.17270815218711</v>
      </c>
      <c r="AQ1430" s="10">
        <f t="shared" si="178"/>
        <v>214.73096173913902</v>
      </c>
      <c r="AR1430" s="10">
        <f t="shared" si="179"/>
        <v>238.58757158835735</v>
      </c>
      <c r="AS1430" s="10">
        <f t="shared" si="180"/>
        <v>334.2931612354916</v>
      </c>
    </row>
    <row r="1431" spans="1:45" x14ac:dyDescent="0.3">
      <c r="A1431">
        <v>2025</v>
      </c>
      <c r="B1431">
        <v>8</v>
      </c>
      <c r="C1431" t="s">
        <v>55</v>
      </c>
      <c r="D1431">
        <v>10</v>
      </c>
      <c r="E1431" t="s">
        <v>36</v>
      </c>
      <c r="F1431" t="s">
        <v>37</v>
      </c>
      <c r="G1431" t="s">
        <v>38</v>
      </c>
      <c r="H1431" t="s">
        <v>83</v>
      </c>
      <c r="I1431" t="s">
        <v>190</v>
      </c>
      <c r="J1431" t="s">
        <v>58</v>
      </c>
      <c r="K1431" t="s">
        <v>59</v>
      </c>
      <c r="L1431" t="s">
        <v>1194</v>
      </c>
      <c r="M1431" t="s">
        <v>1195</v>
      </c>
      <c r="N1431" t="s">
        <v>1196</v>
      </c>
      <c r="O1431" t="s">
        <v>1197</v>
      </c>
      <c r="Q1431" t="s">
        <v>62</v>
      </c>
      <c r="R1431" t="s">
        <v>1198</v>
      </c>
      <c r="S1431" t="s">
        <v>1198</v>
      </c>
      <c r="T1431" t="s">
        <v>47</v>
      </c>
      <c r="U1431" t="s">
        <v>118</v>
      </c>
      <c r="V1431" t="s">
        <v>49</v>
      </c>
      <c r="W1431" t="s">
        <v>714</v>
      </c>
      <c r="X1431" t="s">
        <v>388</v>
      </c>
      <c r="Y1431" t="s">
        <v>381</v>
      </c>
      <c r="Z1431" t="s">
        <v>381</v>
      </c>
      <c r="AA1431" t="s">
        <v>382</v>
      </c>
      <c r="AB1431" s="3">
        <f t="shared" si="181"/>
        <v>1</v>
      </c>
      <c r="AC1431">
        <v>199.34</v>
      </c>
      <c r="AD1431" s="2">
        <v>199.34</v>
      </c>
      <c r="AE1431" s="2">
        <v>51.9</v>
      </c>
      <c r="AF1431" s="2">
        <v>1.54</v>
      </c>
      <c r="AG1431" s="2">
        <v>252.78</v>
      </c>
      <c r="AH1431">
        <v>0</v>
      </c>
      <c r="AI1431">
        <v>252.78</v>
      </c>
      <c r="AJ1431">
        <v>1.2639</v>
      </c>
      <c r="AK1431" t="s">
        <v>54</v>
      </c>
      <c r="AL1431">
        <v>2.5099999999999998</v>
      </c>
      <c r="AM1431" s="4">
        <f t="shared" si="182"/>
        <v>252.78</v>
      </c>
      <c r="AN1431" s="4">
        <f t="shared" si="183"/>
        <v>373.76249999999999</v>
      </c>
      <c r="AO1431" s="4">
        <f t="shared" si="184"/>
        <v>415.25013749999999</v>
      </c>
      <c r="AP1431" s="4">
        <f t="shared" si="185"/>
        <v>605.45787374999998</v>
      </c>
      <c r="AQ1431" s="10">
        <f t="shared" si="178"/>
        <v>439.60969800000004</v>
      </c>
      <c r="AR1431" s="10">
        <f t="shared" si="179"/>
        <v>488.45033544780006</v>
      </c>
      <c r="AS1431" s="10">
        <f t="shared" si="180"/>
        <v>684.38437784640007</v>
      </c>
    </row>
    <row r="1432" spans="1:45" x14ac:dyDescent="0.3">
      <c r="A1432">
        <v>2025</v>
      </c>
      <c r="B1432">
        <v>8</v>
      </c>
      <c r="C1432" t="s">
        <v>55</v>
      </c>
      <c r="D1432">
        <v>10</v>
      </c>
      <c r="E1432" t="s">
        <v>36</v>
      </c>
      <c r="F1432" t="s">
        <v>37</v>
      </c>
      <c r="G1432" t="s">
        <v>38</v>
      </c>
      <c r="H1432" t="s">
        <v>83</v>
      </c>
      <c r="I1432" t="s">
        <v>190</v>
      </c>
      <c r="J1432" t="s">
        <v>58</v>
      </c>
      <c r="K1432" t="s">
        <v>59</v>
      </c>
      <c r="L1432" t="s">
        <v>1194</v>
      </c>
      <c r="M1432" t="s">
        <v>1195</v>
      </c>
      <c r="N1432" t="s">
        <v>1196</v>
      </c>
      <c r="O1432" t="s">
        <v>1197</v>
      </c>
      <c r="Q1432" t="s">
        <v>62</v>
      </c>
      <c r="R1432" t="s">
        <v>1198</v>
      </c>
      <c r="S1432" t="s">
        <v>1198</v>
      </c>
      <c r="T1432" t="s">
        <v>47</v>
      </c>
      <c r="U1432" t="s">
        <v>167</v>
      </c>
      <c r="V1432" t="s">
        <v>49</v>
      </c>
      <c r="W1432" t="s">
        <v>168</v>
      </c>
      <c r="X1432" t="s">
        <v>388</v>
      </c>
      <c r="Y1432" t="s">
        <v>1334</v>
      </c>
      <c r="Z1432" t="s">
        <v>1334</v>
      </c>
      <c r="AA1432" t="s">
        <v>1335</v>
      </c>
      <c r="AB1432" s="3">
        <f t="shared" si="181"/>
        <v>2</v>
      </c>
      <c r="AC1432">
        <v>541.84</v>
      </c>
      <c r="AD1432" s="2">
        <v>270.92</v>
      </c>
      <c r="AE1432" s="2">
        <v>38.83</v>
      </c>
      <c r="AF1432" s="2">
        <v>3.51</v>
      </c>
      <c r="AG1432" s="2">
        <v>584.16999999999996</v>
      </c>
      <c r="AH1432">
        <v>0</v>
      </c>
      <c r="AI1432">
        <v>292.08499999999998</v>
      </c>
      <c r="AJ1432">
        <v>2.9208500000000002</v>
      </c>
      <c r="AK1432" t="s">
        <v>54</v>
      </c>
      <c r="AL1432">
        <v>4.5599999999999996</v>
      </c>
      <c r="AM1432" s="4">
        <f t="shared" si="182"/>
        <v>292.08499999999998</v>
      </c>
      <c r="AN1432" s="4">
        <f t="shared" si="183"/>
        <v>507.97500000000002</v>
      </c>
      <c r="AO1432" s="4">
        <f t="shared" si="184"/>
        <v>564.36022500000001</v>
      </c>
      <c r="AP1432" s="4">
        <f t="shared" si="185"/>
        <v>822.86870250000004</v>
      </c>
      <c r="AQ1432" s="10">
        <f t="shared" si="178"/>
        <v>507.96502349999997</v>
      </c>
      <c r="AR1432" s="10">
        <f t="shared" si="179"/>
        <v>564.39993761084997</v>
      </c>
      <c r="AS1432" s="10">
        <f t="shared" si="180"/>
        <v>790.79994858479995</v>
      </c>
    </row>
    <row r="1433" spans="1:45" x14ac:dyDescent="0.3">
      <c r="A1433">
        <v>2025</v>
      </c>
      <c r="B1433">
        <v>11</v>
      </c>
      <c r="C1433" t="s">
        <v>55</v>
      </c>
      <c r="D1433">
        <v>10</v>
      </c>
      <c r="E1433" t="s">
        <v>36</v>
      </c>
      <c r="F1433" t="s">
        <v>37</v>
      </c>
      <c r="G1433" t="s">
        <v>38</v>
      </c>
      <c r="H1433" t="s">
        <v>83</v>
      </c>
      <c r="I1433" t="s">
        <v>375</v>
      </c>
      <c r="J1433" t="s">
        <v>376</v>
      </c>
      <c r="K1433" t="s">
        <v>51</v>
      </c>
      <c r="L1433" t="s">
        <v>1622</v>
      </c>
      <c r="M1433" t="s">
        <v>1623</v>
      </c>
      <c r="N1433" t="s">
        <v>1485</v>
      </c>
      <c r="O1433" t="s">
        <v>1197</v>
      </c>
      <c r="Q1433" t="s">
        <v>62</v>
      </c>
      <c r="R1433" t="s">
        <v>1624</v>
      </c>
      <c r="S1433" t="s">
        <v>1624</v>
      </c>
      <c r="T1433" t="s">
        <v>47</v>
      </c>
      <c r="U1433" t="s">
        <v>163</v>
      </c>
      <c r="V1433" t="s">
        <v>49</v>
      </c>
      <c r="W1433" t="s">
        <v>164</v>
      </c>
      <c r="X1433" t="s">
        <v>51</v>
      </c>
      <c r="Y1433" t="s">
        <v>1407</v>
      </c>
      <c r="Z1433" t="s">
        <v>1407</v>
      </c>
      <c r="AA1433" t="s">
        <v>1408</v>
      </c>
      <c r="AB1433" s="3">
        <f t="shared" si="181"/>
        <v>1</v>
      </c>
      <c r="AC1433">
        <v>1779.7</v>
      </c>
      <c r="AD1433" s="2">
        <v>1779.7</v>
      </c>
      <c r="AE1433" s="2">
        <v>127.54</v>
      </c>
      <c r="AF1433" s="2">
        <v>11.52</v>
      </c>
      <c r="AG1433" s="2">
        <v>1918.76</v>
      </c>
      <c r="AH1433">
        <v>0</v>
      </c>
      <c r="AI1433">
        <v>1918.76</v>
      </c>
      <c r="AJ1433">
        <v>9.5937999999999999</v>
      </c>
      <c r="AK1433" t="s">
        <v>54</v>
      </c>
      <c r="AL1433">
        <v>14.98</v>
      </c>
      <c r="AM1433" s="4">
        <f t="shared" si="182"/>
        <v>1918.76</v>
      </c>
      <c r="AN1433" s="4">
        <f t="shared" si="183"/>
        <v>3336.9375</v>
      </c>
      <c r="AO1433" s="4">
        <f t="shared" si="184"/>
        <v>3707.3375624999999</v>
      </c>
      <c r="AP1433" s="4">
        <f t="shared" si="185"/>
        <v>5405.5050562500001</v>
      </c>
      <c r="AQ1433" s="10">
        <f t="shared" si="178"/>
        <v>3336.915516</v>
      </c>
      <c r="AR1433" s="10">
        <f t="shared" si="179"/>
        <v>3707.6468298276</v>
      </c>
      <c r="AS1433" s="10">
        <f t="shared" si="180"/>
        <v>5194.9100753087996</v>
      </c>
    </row>
    <row r="1434" spans="1:45" x14ac:dyDescent="0.3">
      <c r="A1434">
        <v>2025</v>
      </c>
      <c r="B1434">
        <v>11</v>
      </c>
      <c r="C1434" t="s">
        <v>55</v>
      </c>
      <c r="D1434">
        <v>10</v>
      </c>
      <c r="E1434" t="s">
        <v>36</v>
      </c>
      <c r="F1434" t="s">
        <v>37</v>
      </c>
      <c r="G1434" t="s">
        <v>38</v>
      </c>
      <c r="H1434" t="s">
        <v>83</v>
      </c>
      <c r="I1434" t="s">
        <v>375</v>
      </c>
      <c r="J1434" t="s">
        <v>376</v>
      </c>
      <c r="K1434" t="s">
        <v>51</v>
      </c>
      <c r="L1434" t="s">
        <v>1622</v>
      </c>
      <c r="M1434" t="s">
        <v>1623</v>
      </c>
      <c r="N1434" t="s">
        <v>1485</v>
      </c>
      <c r="O1434" t="s">
        <v>1197</v>
      </c>
      <c r="Q1434" t="s">
        <v>62</v>
      </c>
      <c r="R1434" t="s">
        <v>1624</v>
      </c>
      <c r="S1434" t="s">
        <v>1624</v>
      </c>
      <c r="T1434" t="s">
        <v>47</v>
      </c>
      <c r="U1434" t="s">
        <v>93</v>
      </c>
      <c r="V1434" t="s">
        <v>49</v>
      </c>
      <c r="W1434" t="s">
        <v>94</v>
      </c>
      <c r="X1434" t="s">
        <v>51</v>
      </c>
      <c r="Y1434" t="s">
        <v>1532</v>
      </c>
      <c r="Z1434" t="s">
        <v>1532</v>
      </c>
      <c r="AA1434" t="s">
        <v>1408</v>
      </c>
      <c r="AB1434" s="3">
        <f t="shared" si="181"/>
        <v>1</v>
      </c>
      <c r="AC1434">
        <v>1710.49</v>
      </c>
      <c r="AD1434" s="2">
        <v>1710.49</v>
      </c>
      <c r="AE1434" s="2">
        <v>239.51</v>
      </c>
      <c r="AF1434" s="2">
        <v>11.84</v>
      </c>
      <c r="AG1434" s="2">
        <v>1961.84</v>
      </c>
      <c r="AH1434">
        <v>0</v>
      </c>
      <c r="AI1434">
        <v>1961.84</v>
      </c>
      <c r="AJ1434">
        <v>9.8092000000000006</v>
      </c>
      <c r="AK1434" t="s">
        <v>54</v>
      </c>
      <c r="AL1434">
        <v>9</v>
      </c>
      <c r="AM1434" s="4">
        <f t="shared" si="182"/>
        <v>1961.84</v>
      </c>
      <c r="AN1434" s="4">
        <f t="shared" si="183"/>
        <v>3207.1687499999998</v>
      </c>
      <c r="AO1434" s="4">
        <f t="shared" si="184"/>
        <v>3563.1644812499999</v>
      </c>
      <c r="AP1434" s="4">
        <f t="shared" si="185"/>
        <v>5195.2926581249994</v>
      </c>
      <c r="AQ1434" s="10">
        <f t="shared" si="178"/>
        <v>3411.8359439999999</v>
      </c>
      <c r="AR1434" s="10">
        <f t="shared" si="179"/>
        <v>3790.8909173784</v>
      </c>
      <c r="AS1434" s="10">
        <f t="shared" si="180"/>
        <v>5311.5461976192</v>
      </c>
    </row>
    <row r="1435" spans="1:45" x14ac:dyDescent="0.3">
      <c r="A1435">
        <v>2025</v>
      </c>
      <c r="B1435">
        <v>10</v>
      </c>
      <c r="C1435" t="s">
        <v>55</v>
      </c>
      <c r="D1435">
        <v>10</v>
      </c>
      <c r="E1435" t="s">
        <v>36</v>
      </c>
      <c r="F1435" t="s">
        <v>37</v>
      </c>
      <c r="G1435" t="s">
        <v>38</v>
      </c>
      <c r="H1435" t="s">
        <v>83</v>
      </c>
      <c r="I1435" t="s">
        <v>375</v>
      </c>
      <c r="J1435" t="s">
        <v>376</v>
      </c>
      <c r="K1435" t="s">
        <v>59</v>
      </c>
      <c r="L1435" t="s">
        <v>1549</v>
      </c>
      <c r="M1435" t="s">
        <v>1550</v>
      </c>
      <c r="N1435" t="s">
        <v>1551</v>
      </c>
      <c r="O1435" t="s">
        <v>1197</v>
      </c>
      <c r="Q1435" t="s">
        <v>62</v>
      </c>
      <c r="R1435" t="s">
        <v>1552</v>
      </c>
      <c r="S1435" t="s">
        <v>1552</v>
      </c>
      <c r="T1435" t="s">
        <v>47</v>
      </c>
      <c r="U1435" t="s">
        <v>118</v>
      </c>
      <c r="V1435" t="s">
        <v>49</v>
      </c>
      <c r="W1435" t="s">
        <v>714</v>
      </c>
      <c r="X1435" t="s">
        <v>51</v>
      </c>
      <c r="Y1435" t="s">
        <v>1658</v>
      </c>
      <c r="Z1435" t="s">
        <v>1658</v>
      </c>
      <c r="AA1435" t="s">
        <v>1660</v>
      </c>
      <c r="AB1435" s="3">
        <f t="shared" si="181"/>
        <v>1</v>
      </c>
      <c r="AC1435">
        <v>61.5</v>
      </c>
      <c r="AD1435" s="2">
        <v>61.5</v>
      </c>
      <c r="AE1435" s="2">
        <v>8.5500000000000007</v>
      </c>
      <c r="AF1435" s="2">
        <v>0.42</v>
      </c>
      <c r="AG1435" s="2">
        <v>70.2</v>
      </c>
      <c r="AH1435">
        <v>0</v>
      </c>
      <c r="AI1435">
        <v>70.2</v>
      </c>
      <c r="AJ1435">
        <v>0.35099999999999998</v>
      </c>
      <c r="AK1435" t="s">
        <v>54</v>
      </c>
      <c r="AL1435">
        <v>0.32</v>
      </c>
      <c r="AM1435" s="4">
        <f t="shared" si="182"/>
        <v>70.2</v>
      </c>
      <c r="AN1435" s="4">
        <f t="shared" si="183"/>
        <v>115.3125</v>
      </c>
      <c r="AO1435" s="4">
        <f t="shared" si="184"/>
        <v>128.1121875</v>
      </c>
      <c r="AP1435" s="4">
        <f t="shared" si="185"/>
        <v>186.79471874999999</v>
      </c>
      <c r="AQ1435" s="10">
        <f t="shared" si="178"/>
        <v>122.08482000000001</v>
      </c>
      <c r="AR1435" s="10">
        <f t="shared" si="179"/>
        <v>135.64844350199999</v>
      </c>
      <c r="AS1435" s="10">
        <f t="shared" si="180"/>
        <v>190.061647776</v>
      </c>
    </row>
    <row r="1436" spans="1:45" x14ac:dyDescent="0.3">
      <c r="A1436">
        <v>2025</v>
      </c>
      <c r="B1436">
        <v>11</v>
      </c>
      <c r="C1436" t="s">
        <v>55</v>
      </c>
      <c r="D1436">
        <v>10</v>
      </c>
      <c r="E1436" t="s">
        <v>36</v>
      </c>
      <c r="F1436" t="s">
        <v>37</v>
      </c>
      <c r="G1436" t="s">
        <v>38</v>
      </c>
      <c r="H1436" t="s">
        <v>83</v>
      </c>
      <c r="I1436" t="s">
        <v>375</v>
      </c>
      <c r="J1436" t="s">
        <v>376</v>
      </c>
      <c r="K1436" t="s">
        <v>51</v>
      </c>
      <c r="L1436" t="s">
        <v>1622</v>
      </c>
      <c r="M1436" t="s">
        <v>1623</v>
      </c>
      <c r="N1436" t="s">
        <v>1485</v>
      </c>
      <c r="O1436" t="s">
        <v>1197</v>
      </c>
      <c r="Q1436" t="s">
        <v>62</v>
      </c>
      <c r="R1436" t="s">
        <v>1624</v>
      </c>
      <c r="S1436" t="s">
        <v>1624</v>
      </c>
      <c r="T1436" t="s">
        <v>47</v>
      </c>
      <c r="U1436" t="s">
        <v>363</v>
      </c>
      <c r="V1436" t="s">
        <v>49</v>
      </c>
      <c r="W1436" t="s">
        <v>911</v>
      </c>
      <c r="X1436" t="s">
        <v>51</v>
      </c>
      <c r="Y1436" t="s">
        <v>1085</v>
      </c>
      <c r="Z1436" t="s">
        <v>1085</v>
      </c>
      <c r="AA1436" t="s">
        <v>1589</v>
      </c>
      <c r="AB1436" s="3">
        <f t="shared" si="181"/>
        <v>1</v>
      </c>
      <c r="AC1436">
        <v>1113.6099999999999</v>
      </c>
      <c r="AD1436" s="2">
        <v>1113.6099999999999</v>
      </c>
      <c r="AE1436" s="2">
        <v>509.2</v>
      </c>
      <c r="AF1436" s="2">
        <v>9.93</v>
      </c>
      <c r="AG1436" s="2">
        <v>1632.57</v>
      </c>
      <c r="AH1436">
        <v>0</v>
      </c>
      <c r="AI1436">
        <v>1632.57</v>
      </c>
      <c r="AJ1436">
        <v>8.1628500000000006</v>
      </c>
      <c r="AK1436" t="s">
        <v>54</v>
      </c>
      <c r="AL1436">
        <v>23.5</v>
      </c>
      <c r="AM1436" s="4">
        <f t="shared" si="182"/>
        <v>1632.57</v>
      </c>
      <c r="AN1436" s="4">
        <f t="shared" si="183"/>
        <v>2088.0187499999997</v>
      </c>
      <c r="AO1436" s="4">
        <f t="shared" si="184"/>
        <v>2319.7888312499995</v>
      </c>
      <c r="AP1436" s="4">
        <f t="shared" si="185"/>
        <v>3382.3815731249992</v>
      </c>
      <c r="AQ1436" s="10">
        <f t="shared" si="178"/>
        <v>2839.202487</v>
      </c>
      <c r="AR1436" s="10">
        <f t="shared" si="179"/>
        <v>3154.6378833057001</v>
      </c>
      <c r="AS1436" s="10">
        <f t="shared" si="180"/>
        <v>4420.0704317616</v>
      </c>
    </row>
    <row r="1437" spans="1:45" x14ac:dyDescent="0.3">
      <c r="A1437">
        <v>2025</v>
      </c>
      <c r="B1437">
        <v>3</v>
      </c>
      <c r="C1437" t="s">
        <v>55</v>
      </c>
      <c r="D1437">
        <v>10</v>
      </c>
      <c r="E1437" t="s">
        <v>36</v>
      </c>
      <c r="F1437" t="s">
        <v>37</v>
      </c>
      <c r="G1437" t="s">
        <v>38</v>
      </c>
      <c r="H1437" t="s">
        <v>83</v>
      </c>
      <c r="I1437" t="s">
        <v>190</v>
      </c>
      <c r="J1437" t="s">
        <v>58</v>
      </c>
      <c r="K1437" t="s">
        <v>59</v>
      </c>
      <c r="M1437" t="s">
        <v>209</v>
      </c>
      <c r="N1437" t="s">
        <v>61</v>
      </c>
      <c r="O1437" t="s">
        <v>43</v>
      </c>
      <c r="Q1437" t="s">
        <v>62</v>
      </c>
      <c r="R1437" t="s">
        <v>210</v>
      </c>
      <c r="S1437" t="s">
        <v>211</v>
      </c>
      <c r="T1437" t="s">
        <v>47</v>
      </c>
      <c r="U1437" t="s">
        <v>157</v>
      </c>
      <c r="V1437" t="s">
        <v>49</v>
      </c>
      <c r="W1437" t="s">
        <v>158</v>
      </c>
      <c r="X1437" t="s">
        <v>51</v>
      </c>
      <c r="Y1437" t="s">
        <v>1532</v>
      </c>
      <c r="Z1437" t="s">
        <v>1532</v>
      </c>
      <c r="AA1437" t="s">
        <v>1746</v>
      </c>
      <c r="AB1437" s="3">
        <f t="shared" si="181"/>
        <v>1</v>
      </c>
      <c r="AC1437">
        <v>549.91</v>
      </c>
      <c r="AD1437" s="2">
        <v>549.91</v>
      </c>
      <c r="AE1437" s="2">
        <v>77</v>
      </c>
      <c r="AF1437" s="2">
        <v>3.81</v>
      </c>
      <c r="AG1437" s="2">
        <v>630.71</v>
      </c>
      <c r="AH1437">
        <v>0</v>
      </c>
      <c r="AI1437">
        <v>630.71</v>
      </c>
      <c r="AJ1437">
        <v>3.1535500000000001</v>
      </c>
      <c r="AK1437" t="s">
        <v>54</v>
      </c>
      <c r="AL1437">
        <v>2.89</v>
      </c>
      <c r="AM1437" s="4">
        <f t="shared" si="182"/>
        <v>630.71</v>
      </c>
      <c r="AN1437" s="4">
        <f t="shared" si="183"/>
        <v>1031.08125</v>
      </c>
      <c r="AO1437" s="4">
        <f t="shared" si="184"/>
        <v>1145.53126875</v>
      </c>
      <c r="AP1437" s="4">
        <f t="shared" si="185"/>
        <v>1670.2485168749997</v>
      </c>
      <c r="AQ1437" s="10">
        <f t="shared" si="178"/>
        <v>1096.8677610000002</v>
      </c>
      <c r="AR1437" s="10">
        <f t="shared" si="179"/>
        <v>1218.7297692471002</v>
      </c>
      <c r="AS1437" s="10">
        <f t="shared" si="180"/>
        <v>1707.6037303248004</v>
      </c>
    </row>
    <row r="1438" spans="1:45" x14ac:dyDescent="0.3">
      <c r="A1438">
        <v>2025</v>
      </c>
      <c r="B1438">
        <v>11</v>
      </c>
      <c r="C1438" t="s">
        <v>55</v>
      </c>
      <c r="D1438">
        <v>10</v>
      </c>
      <c r="E1438" t="s">
        <v>36</v>
      </c>
      <c r="F1438" t="s">
        <v>37</v>
      </c>
      <c r="G1438" t="s">
        <v>38</v>
      </c>
      <c r="H1438" t="s">
        <v>83</v>
      </c>
      <c r="I1438" t="s">
        <v>375</v>
      </c>
      <c r="J1438" t="s">
        <v>376</v>
      </c>
      <c r="K1438" t="s">
        <v>51</v>
      </c>
      <c r="L1438" t="s">
        <v>1622</v>
      </c>
      <c r="M1438" t="s">
        <v>1623</v>
      </c>
      <c r="N1438" t="s">
        <v>1485</v>
      </c>
      <c r="O1438" t="s">
        <v>1197</v>
      </c>
      <c r="Q1438" t="s">
        <v>62</v>
      </c>
      <c r="R1438" t="s">
        <v>1624</v>
      </c>
      <c r="S1438" t="s">
        <v>1624</v>
      </c>
      <c r="T1438" t="s">
        <v>47</v>
      </c>
      <c r="U1438" t="s">
        <v>363</v>
      </c>
      <c r="V1438" t="s">
        <v>49</v>
      </c>
      <c r="W1438" t="s">
        <v>911</v>
      </c>
      <c r="X1438" t="s">
        <v>51</v>
      </c>
      <c r="Y1438" t="s">
        <v>339</v>
      </c>
      <c r="Z1438" t="s">
        <v>64</v>
      </c>
      <c r="AA1438" t="s">
        <v>340</v>
      </c>
      <c r="AB1438" s="3">
        <f t="shared" si="181"/>
        <v>2</v>
      </c>
      <c r="AC1438">
        <v>301.75</v>
      </c>
      <c r="AD1438" s="2">
        <v>150.875</v>
      </c>
      <c r="AE1438" s="2">
        <v>67.400000000000006</v>
      </c>
      <c r="AF1438" s="2">
        <v>2.21</v>
      </c>
      <c r="AG1438" s="2">
        <v>371.36</v>
      </c>
      <c r="AH1438">
        <v>0</v>
      </c>
      <c r="AI1438">
        <v>185.68</v>
      </c>
      <c r="AJ1438">
        <v>1.8568</v>
      </c>
      <c r="AK1438" t="s">
        <v>54</v>
      </c>
      <c r="AL1438">
        <v>4.4000000000000004</v>
      </c>
      <c r="AM1438" s="4">
        <f t="shared" si="182"/>
        <v>185.68</v>
      </c>
      <c r="AN1438" s="4">
        <f t="shared" si="183"/>
        <v>282.890625</v>
      </c>
      <c r="AO1438" s="4">
        <f t="shared" si="184"/>
        <v>314.29148437499998</v>
      </c>
      <c r="AP1438" s="4">
        <f t="shared" si="185"/>
        <v>458.25452343749998</v>
      </c>
      <c r="AQ1438" s="10">
        <f t="shared" si="178"/>
        <v>322.916088</v>
      </c>
      <c r="AR1438" s="10">
        <f t="shared" si="179"/>
        <v>358.7920653768</v>
      </c>
      <c r="AS1438" s="10">
        <f t="shared" si="180"/>
        <v>502.71576579840001</v>
      </c>
    </row>
    <row r="1439" spans="1:45" x14ac:dyDescent="0.3">
      <c r="A1439">
        <v>2025</v>
      </c>
      <c r="B1439">
        <v>10</v>
      </c>
      <c r="C1439" t="s">
        <v>55</v>
      </c>
      <c r="D1439">
        <v>10</v>
      </c>
      <c r="E1439" t="s">
        <v>36</v>
      </c>
      <c r="F1439" t="s">
        <v>37</v>
      </c>
      <c r="G1439" t="s">
        <v>38</v>
      </c>
      <c r="H1439" t="s">
        <v>83</v>
      </c>
      <c r="I1439" t="s">
        <v>375</v>
      </c>
      <c r="J1439" t="s">
        <v>376</v>
      </c>
      <c r="K1439" t="s">
        <v>59</v>
      </c>
      <c r="L1439" t="s">
        <v>1549</v>
      </c>
      <c r="M1439" t="s">
        <v>1550</v>
      </c>
      <c r="N1439" t="s">
        <v>1551</v>
      </c>
      <c r="O1439" t="s">
        <v>1197</v>
      </c>
      <c r="Q1439" t="s">
        <v>62</v>
      </c>
      <c r="R1439" t="s">
        <v>1552</v>
      </c>
      <c r="S1439" t="s">
        <v>1552</v>
      </c>
      <c r="T1439" t="s">
        <v>47</v>
      </c>
      <c r="U1439" t="s">
        <v>163</v>
      </c>
      <c r="V1439" t="s">
        <v>49</v>
      </c>
      <c r="W1439" t="s">
        <v>164</v>
      </c>
      <c r="X1439" t="s">
        <v>51</v>
      </c>
      <c r="Y1439" t="s">
        <v>1532</v>
      </c>
      <c r="Z1439" t="s">
        <v>1532</v>
      </c>
      <c r="AA1439" t="s">
        <v>1747</v>
      </c>
      <c r="AB1439" s="3">
        <f t="shared" si="181"/>
        <v>1</v>
      </c>
      <c r="AC1439">
        <v>757.2</v>
      </c>
      <c r="AD1439" s="2">
        <v>757.2</v>
      </c>
      <c r="AE1439" s="2">
        <v>106</v>
      </c>
      <c r="AF1439" s="2">
        <v>5.24</v>
      </c>
      <c r="AG1439" s="2">
        <v>868.26</v>
      </c>
      <c r="AH1439">
        <v>0</v>
      </c>
      <c r="AI1439">
        <v>868.26</v>
      </c>
      <c r="AJ1439">
        <v>4.3413000000000004</v>
      </c>
      <c r="AK1439" t="s">
        <v>54</v>
      </c>
      <c r="AL1439">
        <v>3.98</v>
      </c>
      <c r="AM1439" s="4">
        <f t="shared" si="182"/>
        <v>868.26</v>
      </c>
      <c r="AN1439" s="4">
        <f t="shared" si="183"/>
        <v>1419.75</v>
      </c>
      <c r="AO1439" s="4">
        <f t="shared" si="184"/>
        <v>1577.3422499999999</v>
      </c>
      <c r="AP1439" s="4">
        <f t="shared" si="185"/>
        <v>2299.8530249999999</v>
      </c>
      <c r="AQ1439" s="10">
        <f t="shared" si="178"/>
        <v>1509.9909660000001</v>
      </c>
      <c r="AR1439" s="10">
        <f t="shared" si="179"/>
        <v>1677.7509623226001</v>
      </c>
      <c r="AS1439" s="10">
        <f t="shared" si="180"/>
        <v>2350.7539358688</v>
      </c>
    </row>
    <row r="1440" spans="1:45" x14ac:dyDescent="0.3">
      <c r="A1440">
        <v>2025</v>
      </c>
      <c r="B1440">
        <v>11</v>
      </c>
      <c r="C1440" t="s">
        <v>55</v>
      </c>
      <c r="D1440">
        <v>10</v>
      </c>
      <c r="E1440" t="s">
        <v>36</v>
      </c>
      <c r="F1440" t="s">
        <v>37</v>
      </c>
      <c r="G1440" t="s">
        <v>38</v>
      </c>
      <c r="H1440" t="s">
        <v>83</v>
      </c>
      <c r="I1440" t="s">
        <v>375</v>
      </c>
      <c r="J1440" t="s">
        <v>376</v>
      </c>
      <c r="K1440" t="s">
        <v>51</v>
      </c>
      <c r="L1440" t="s">
        <v>1622</v>
      </c>
      <c r="M1440" t="s">
        <v>1623</v>
      </c>
      <c r="N1440" t="s">
        <v>1485</v>
      </c>
      <c r="O1440" t="s">
        <v>1197</v>
      </c>
      <c r="Q1440" t="s">
        <v>62</v>
      </c>
      <c r="R1440" t="s">
        <v>1624</v>
      </c>
      <c r="S1440" t="s">
        <v>1624</v>
      </c>
      <c r="T1440" t="s">
        <v>47</v>
      </c>
      <c r="U1440" t="s">
        <v>167</v>
      </c>
      <c r="V1440" t="s">
        <v>49</v>
      </c>
      <c r="W1440" t="s">
        <v>168</v>
      </c>
      <c r="X1440" t="s">
        <v>51</v>
      </c>
      <c r="Y1440" t="s">
        <v>1598</v>
      </c>
      <c r="Z1440" t="s">
        <v>1598</v>
      </c>
      <c r="AA1440" t="s">
        <v>1599</v>
      </c>
      <c r="AB1440" s="3">
        <f t="shared" si="181"/>
        <v>1</v>
      </c>
      <c r="AC1440">
        <v>826.91</v>
      </c>
      <c r="AD1440" s="2">
        <v>826.91</v>
      </c>
      <c r="AE1440" s="2">
        <v>377.96</v>
      </c>
      <c r="AF1440" s="2">
        <v>7.37</v>
      </c>
      <c r="AG1440" s="2">
        <v>1212.25</v>
      </c>
      <c r="AH1440">
        <v>0</v>
      </c>
      <c r="AI1440">
        <v>1212.25</v>
      </c>
      <c r="AJ1440">
        <v>6.0612500000000002</v>
      </c>
      <c r="AK1440" t="s">
        <v>54</v>
      </c>
      <c r="AL1440">
        <v>17.12</v>
      </c>
      <c r="AM1440" s="4">
        <f t="shared" si="182"/>
        <v>1212.25</v>
      </c>
      <c r="AN1440" s="4">
        <f t="shared" si="183"/>
        <v>1550.45625</v>
      </c>
      <c r="AO1440" s="4">
        <f t="shared" si="184"/>
        <v>1722.55689375</v>
      </c>
      <c r="AP1440" s="4">
        <f t="shared" si="185"/>
        <v>2511.5840793749999</v>
      </c>
      <c r="AQ1440" s="10">
        <f t="shared" si="178"/>
        <v>2108.2239749999999</v>
      </c>
      <c r="AR1440" s="10">
        <f t="shared" si="179"/>
        <v>2342.4476586224996</v>
      </c>
      <c r="AS1440" s="10">
        <f t="shared" si="180"/>
        <v>3282.0830842799996</v>
      </c>
    </row>
    <row r="1441" spans="1:45" x14ac:dyDescent="0.3">
      <c r="A1441">
        <v>2025</v>
      </c>
      <c r="B1441">
        <v>8</v>
      </c>
      <c r="C1441" t="s">
        <v>55</v>
      </c>
      <c r="D1441">
        <v>10</v>
      </c>
      <c r="E1441" t="s">
        <v>36</v>
      </c>
      <c r="F1441" t="s">
        <v>37</v>
      </c>
      <c r="G1441" t="s">
        <v>38</v>
      </c>
      <c r="H1441" t="s">
        <v>83</v>
      </c>
      <c r="I1441" t="s">
        <v>190</v>
      </c>
      <c r="J1441" t="s">
        <v>58</v>
      </c>
      <c r="K1441" t="s">
        <v>59</v>
      </c>
      <c r="L1441" t="s">
        <v>1194</v>
      </c>
      <c r="M1441" t="s">
        <v>1195</v>
      </c>
      <c r="N1441" t="s">
        <v>1196</v>
      </c>
      <c r="O1441" t="s">
        <v>1197</v>
      </c>
      <c r="Q1441" t="s">
        <v>62</v>
      </c>
      <c r="R1441" t="s">
        <v>1198</v>
      </c>
      <c r="S1441" t="s">
        <v>1198</v>
      </c>
      <c r="T1441" t="s">
        <v>47</v>
      </c>
      <c r="U1441" t="s">
        <v>167</v>
      </c>
      <c r="V1441" t="s">
        <v>49</v>
      </c>
      <c r="W1441" t="s">
        <v>168</v>
      </c>
      <c r="X1441" t="s">
        <v>388</v>
      </c>
      <c r="Y1441" t="s">
        <v>1726</v>
      </c>
      <c r="Z1441" t="s">
        <v>1726</v>
      </c>
      <c r="AA1441" t="s">
        <v>1727</v>
      </c>
      <c r="AB1441" s="3">
        <f t="shared" si="181"/>
        <v>1</v>
      </c>
      <c r="AC1441">
        <v>287.12</v>
      </c>
      <c r="AD1441" s="2">
        <v>287.12</v>
      </c>
      <c r="AE1441" s="2">
        <v>40.200000000000003</v>
      </c>
      <c r="AF1441" s="2">
        <v>1.99</v>
      </c>
      <c r="AG1441" s="2">
        <v>329.32</v>
      </c>
      <c r="AH1441">
        <v>0</v>
      </c>
      <c r="AI1441">
        <v>329.32</v>
      </c>
      <c r="AJ1441">
        <v>1.6466000000000001</v>
      </c>
      <c r="AK1441" t="s">
        <v>54</v>
      </c>
      <c r="AL1441">
        <v>1.51</v>
      </c>
      <c r="AM1441" s="4">
        <f t="shared" si="182"/>
        <v>329.32</v>
      </c>
      <c r="AN1441" s="4">
        <f t="shared" si="183"/>
        <v>538.35</v>
      </c>
      <c r="AO1441" s="4">
        <f t="shared" si="184"/>
        <v>598.10685000000001</v>
      </c>
      <c r="AP1441" s="4">
        <f t="shared" si="185"/>
        <v>872.07316500000002</v>
      </c>
      <c r="AQ1441" s="10">
        <f t="shared" si="178"/>
        <v>572.72041200000001</v>
      </c>
      <c r="AR1441" s="10">
        <f t="shared" si="179"/>
        <v>636.34964977319999</v>
      </c>
      <c r="AS1441" s="10">
        <f t="shared" si="180"/>
        <v>891.61113740159999</v>
      </c>
    </row>
    <row r="1442" spans="1:45" x14ac:dyDescent="0.3">
      <c r="A1442">
        <v>2025</v>
      </c>
      <c r="B1442">
        <v>5</v>
      </c>
      <c r="C1442" t="s">
        <v>55</v>
      </c>
      <c r="D1442">
        <v>10</v>
      </c>
      <c r="E1442" t="s">
        <v>36</v>
      </c>
      <c r="F1442" t="s">
        <v>37</v>
      </c>
      <c r="G1442" t="s">
        <v>38</v>
      </c>
      <c r="H1442" t="s">
        <v>83</v>
      </c>
      <c r="I1442" t="s">
        <v>190</v>
      </c>
      <c r="J1442" t="s">
        <v>58</v>
      </c>
      <c r="K1442" t="s">
        <v>59</v>
      </c>
      <c r="M1442" t="s">
        <v>682</v>
      </c>
      <c r="N1442" t="s">
        <v>384</v>
      </c>
      <c r="O1442" t="s">
        <v>36</v>
      </c>
      <c r="Q1442" t="s">
        <v>62</v>
      </c>
      <c r="R1442" t="s">
        <v>683</v>
      </c>
      <c r="S1442" t="s">
        <v>683</v>
      </c>
      <c r="T1442" t="s">
        <v>47</v>
      </c>
      <c r="U1442" t="s">
        <v>149</v>
      </c>
      <c r="V1442" t="s">
        <v>49</v>
      </c>
      <c r="W1442" t="s">
        <v>150</v>
      </c>
      <c r="X1442" t="s">
        <v>686</v>
      </c>
      <c r="Y1442" t="s">
        <v>1399</v>
      </c>
      <c r="Z1442" t="s">
        <v>1399</v>
      </c>
      <c r="AA1442" t="s">
        <v>1400</v>
      </c>
      <c r="AB1442" s="3">
        <f t="shared" si="181"/>
        <v>1</v>
      </c>
      <c r="AC1442">
        <v>29.87</v>
      </c>
      <c r="AD1442" s="2">
        <v>29.87</v>
      </c>
      <c r="AE1442" s="2">
        <v>2.14</v>
      </c>
      <c r="AF1442" s="2">
        <v>0.19</v>
      </c>
      <c r="AG1442" s="2">
        <v>32.200000000000003</v>
      </c>
      <c r="AH1442">
        <v>0</v>
      </c>
      <c r="AI1442">
        <v>32.200000000000003</v>
      </c>
      <c r="AJ1442">
        <v>0.161</v>
      </c>
      <c r="AK1442" t="s">
        <v>54</v>
      </c>
      <c r="AL1442">
        <v>0.25</v>
      </c>
      <c r="AM1442" s="4">
        <f t="shared" si="182"/>
        <v>32.200000000000003</v>
      </c>
      <c r="AN1442" s="4">
        <f t="shared" si="183"/>
        <v>56.006250000000001</v>
      </c>
      <c r="AO1442" s="4">
        <f t="shared" si="184"/>
        <v>62.222943749999999</v>
      </c>
      <c r="AP1442" s="4">
        <f t="shared" si="185"/>
        <v>90.724524375000001</v>
      </c>
      <c r="AQ1442" s="10">
        <f t="shared" ref="AQ1442:AQ1505" si="186">SUM(AM1442)*1.7391</f>
        <v>55.999020000000009</v>
      </c>
      <c r="AR1442" s="10">
        <f t="shared" ref="AR1442:AR1505" si="187">SUM(AQ1442)*1.1111</f>
        <v>62.220511122000005</v>
      </c>
      <c r="AS1442" s="10">
        <f t="shared" ref="AS1442:AS1505" si="188">SUM(AQ1442)*1.5568</f>
        <v>87.179274336000006</v>
      </c>
    </row>
    <row r="1443" spans="1:45" x14ac:dyDescent="0.3">
      <c r="A1443">
        <v>2025</v>
      </c>
      <c r="B1443">
        <v>8</v>
      </c>
      <c r="C1443" t="s">
        <v>55</v>
      </c>
      <c r="D1443">
        <v>10</v>
      </c>
      <c r="E1443" t="s">
        <v>36</v>
      </c>
      <c r="F1443" t="s">
        <v>37</v>
      </c>
      <c r="G1443" t="s">
        <v>38</v>
      </c>
      <c r="H1443" t="s">
        <v>83</v>
      </c>
      <c r="I1443" t="s">
        <v>190</v>
      </c>
      <c r="J1443" t="s">
        <v>58</v>
      </c>
      <c r="K1443" t="s">
        <v>59</v>
      </c>
      <c r="L1443" t="s">
        <v>1194</v>
      </c>
      <c r="M1443" t="s">
        <v>1195</v>
      </c>
      <c r="N1443" t="s">
        <v>1196</v>
      </c>
      <c r="O1443" t="s">
        <v>1197</v>
      </c>
      <c r="Q1443" t="s">
        <v>62</v>
      </c>
      <c r="R1443" t="s">
        <v>1198</v>
      </c>
      <c r="S1443" t="s">
        <v>1198</v>
      </c>
      <c r="T1443" t="s">
        <v>47</v>
      </c>
      <c r="U1443" t="s">
        <v>149</v>
      </c>
      <c r="V1443" t="s">
        <v>49</v>
      </c>
      <c r="W1443" t="s">
        <v>150</v>
      </c>
      <c r="X1443" t="s">
        <v>388</v>
      </c>
      <c r="Y1443" t="s">
        <v>717</v>
      </c>
      <c r="Z1443" t="s">
        <v>717</v>
      </c>
      <c r="AA1443" t="s">
        <v>718</v>
      </c>
      <c r="AB1443" s="3">
        <f t="shared" si="181"/>
        <v>2</v>
      </c>
      <c r="AC1443">
        <v>90.9</v>
      </c>
      <c r="AD1443" s="2">
        <v>45.45</v>
      </c>
      <c r="AE1443" s="2">
        <v>189.64</v>
      </c>
      <c r="AF1443" s="2">
        <v>0.6</v>
      </c>
      <c r="AG1443" s="2">
        <v>280.33999999999997</v>
      </c>
      <c r="AH1443">
        <v>0</v>
      </c>
      <c r="AI1443">
        <v>140.16999999999999</v>
      </c>
      <c r="AJ1443">
        <v>1.4016999999999999</v>
      </c>
      <c r="AK1443" t="s">
        <v>54</v>
      </c>
      <c r="AL1443">
        <v>6.22</v>
      </c>
      <c r="AM1443" s="4">
        <f t="shared" si="182"/>
        <v>140.16999999999999</v>
      </c>
      <c r="AN1443" s="4">
        <f t="shared" si="183"/>
        <v>85.21875</v>
      </c>
      <c r="AO1443" s="4">
        <f t="shared" si="184"/>
        <v>94.678031250000004</v>
      </c>
      <c r="AP1443" s="4">
        <f t="shared" si="185"/>
        <v>138.04585312499998</v>
      </c>
      <c r="AQ1443" s="10">
        <f t="shared" si="186"/>
        <v>243.76964699999999</v>
      </c>
      <c r="AR1443" s="10">
        <f t="shared" si="187"/>
        <v>270.85245478169998</v>
      </c>
      <c r="AS1443" s="10">
        <f t="shared" si="188"/>
        <v>379.50058644959995</v>
      </c>
    </row>
    <row r="1444" spans="1:45" x14ac:dyDescent="0.3">
      <c r="A1444">
        <v>2025</v>
      </c>
      <c r="B1444">
        <v>9</v>
      </c>
      <c r="C1444" t="s">
        <v>55</v>
      </c>
      <c r="D1444">
        <v>10</v>
      </c>
      <c r="E1444" t="s">
        <v>36</v>
      </c>
      <c r="F1444" t="s">
        <v>37</v>
      </c>
      <c r="G1444" t="s">
        <v>38</v>
      </c>
      <c r="H1444" t="s">
        <v>83</v>
      </c>
      <c r="I1444" t="s">
        <v>375</v>
      </c>
      <c r="J1444" t="s">
        <v>376</v>
      </c>
      <c r="K1444" t="s">
        <v>59</v>
      </c>
      <c r="L1444" t="s">
        <v>1483</v>
      </c>
      <c r="M1444" t="s">
        <v>1484</v>
      </c>
      <c r="N1444" t="s">
        <v>1485</v>
      </c>
      <c r="O1444" t="s">
        <v>1197</v>
      </c>
      <c r="Q1444" t="s">
        <v>62</v>
      </c>
      <c r="R1444" t="s">
        <v>1486</v>
      </c>
      <c r="S1444" t="s">
        <v>1486</v>
      </c>
      <c r="T1444" t="s">
        <v>47</v>
      </c>
      <c r="U1444" t="s">
        <v>149</v>
      </c>
      <c r="V1444" t="s">
        <v>49</v>
      </c>
      <c r="W1444" t="s">
        <v>150</v>
      </c>
      <c r="X1444" t="s">
        <v>51</v>
      </c>
      <c r="Y1444" t="s">
        <v>1373</v>
      </c>
      <c r="Z1444" t="s">
        <v>1373</v>
      </c>
      <c r="AA1444" t="s">
        <v>718</v>
      </c>
      <c r="AB1444" s="3">
        <f t="shared" si="181"/>
        <v>10</v>
      </c>
      <c r="AC1444">
        <v>338.22</v>
      </c>
      <c r="AD1444" s="2">
        <v>33.822000000000003</v>
      </c>
      <c r="AE1444" s="2">
        <v>24.24</v>
      </c>
      <c r="AF1444" s="2">
        <v>2.19</v>
      </c>
      <c r="AG1444" s="2">
        <v>364.64</v>
      </c>
      <c r="AH1444">
        <v>0</v>
      </c>
      <c r="AI1444">
        <v>36.463999999999999</v>
      </c>
      <c r="AJ1444">
        <v>1.8231999999999999</v>
      </c>
      <c r="AK1444" t="s">
        <v>54</v>
      </c>
      <c r="AL1444">
        <v>2.85</v>
      </c>
      <c r="AM1444" s="4">
        <f t="shared" si="182"/>
        <v>36.463999999999999</v>
      </c>
      <c r="AN1444" s="4">
        <f t="shared" si="183"/>
        <v>63.416250000000005</v>
      </c>
      <c r="AO1444" s="4">
        <f t="shared" si="184"/>
        <v>70.455453750000004</v>
      </c>
      <c r="AP1444" s="4">
        <f t="shared" si="185"/>
        <v>102.72798337500001</v>
      </c>
      <c r="AQ1444" s="10">
        <f t="shared" si="186"/>
        <v>63.414542400000002</v>
      </c>
      <c r="AR1444" s="10">
        <f t="shared" si="187"/>
        <v>70.45989806064</v>
      </c>
      <c r="AS1444" s="10">
        <f t="shared" si="188"/>
        <v>98.723759608319995</v>
      </c>
    </row>
    <row r="1445" spans="1:45" x14ac:dyDescent="0.3">
      <c r="A1445">
        <v>2025</v>
      </c>
      <c r="B1445">
        <v>9</v>
      </c>
      <c r="C1445" t="s">
        <v>55</v>
      </c>
      <c r="D1445">
        <v>10</v>
      </c>
      <c r="E1445" t="s">
        <v>36</v>
      </c>
      <c r="F1445" t="s">
        <v>37</v>
      </c>
      <c r="G1445" t="s">
        <v>38</v>
      </c>
      <c r="H1445" t="s">
        <v>83</v>
      </c>
      <c r="I1445" t="s">
        <v>375</v>
      </c>
      <c r="J1445" t="s">
        <v>376</v>
      </c>
      <c r="K1445" t="s">
        <v>59</v>
      </c>
      <c r="L1445" t="s">
        <v>1483</v>
      </c>
      <c r="M1445" t="s">
        <v>1484</v>
      </c>
      <c r="N1445" t="s">
        <v>1485</v>
      </c>
      <c r="O1445" t="s">
        <v>1197</v>
      </c>
      <c r="Q1445" t="s">
        <v>62</v>
      </c>
      <c r="R1445" t="s">
        <v>1486</v>
      </c>
      <c r="S1445" t="s">
        <v>1486</v>
      </c>
      <c r="T1445" t="s">
        <v>47</v>
      </c>
      <c r="U1445" t="s">
        <v>149</v>
      </c>
      <c r="V1445" t="s">
        <v>49</v>
      </c>
      <c r="W1445" t="s">
        <v>150</v>
      </c>
      <c r="X1445" t="s">
        <v>51</v>
      </c>
      <c r="Y1445" t="s">
        <v>1373</v>
      </c>
      <c r="Z1445" t="s">
        <v>1373</v>
      </c>
      <c r="AA1445" t="s">
        <v>718</v>
      </c>
      <c r="AB1445" s="3">
        <f t="shared" si="181"/>
        <v>10</v>
      </c>
      <c r="AC1445">
        <v>332.9</v>
      </c>
      <c r="AD1445" s="2">
        <v>33.29</v>
      </c>
      <c r="AE1445" s="2">
        <v>51.48</v>
      </c>
      <c r="AF1445" s="2">
        <v>2.36</v>
      </c>
      <c r="AG1445" s="2">
        <v>386.74</v>
      </c>
      <c r="AH1445">
        <v>0</v>
      </c>
      <c r="AI1445">
        <v>38.673999999999999</v>
      </c>
      <c r="AJ1445">
        <v>1.9337</v>
      </c>
      <c r="AK1445" t="s">
        <v>54</v>
      </c>
      <c r="AL1445">
        <v>2.13</v>
      </c>
      <c r="AM1445" s="4">
        <f t="shared" si="182"/>
        <v>38.673999999999999</v>
      </c>
      <c r="AN1445" s="4">
        <f t="shared" si="183"/>
        <v>62.418749999999996</v>
      </c>
      <c r="AO1445" s="4">
        <f t="shared" si="184"/>
        <v>69.347231249999993</v>
      </c>
      <c r="AP1445" s="4">
        <f t="shared" si="185"/>
        <v>101.11213312499999</v>
      </c>
      <c r="AQ1445" s="10">
        <f t="shared" si="186"/>
        <v>67.257953400000005</v>
      </c>
      <c r="AR1445" s="10">
        <f t="shared" si="187"/>
        <v>74.730312022740009</v>
      </c>
      <c r="AS1445" s="10">
        <f t="shared" si="188"/>
        <v>104.70718185312001</v>
      </c>
    </row>
    <row r="1446" spans="1:45" x14ac:dyDescent="0.3">
      <c r="A1446">
        <v>2025</v>
      </c>
      <c r="B1446">
        <v>12</v>
      </c>
      <c r="C1446" t="s">
        <v>35</v>
      </c>
      <c r="D1446">
        <v>10</v>
      </c>
      <c r="E1446" t="s">
        <v>36</v>
      </c>
      <c r="F1446" t="s">
        <v>37</v>
      </c>
      <c r="G1446" t="s">
        <v>38</v>
      </c>
      <c r="H1446" t="s">
        <v>101</v>
      </c>
      <c r="K1446" t="s">
        <v>59</v>
      </c>
      <c r="L1446" t="s">
        <v>1829</v>
      </c>
      <c r="M1446">
        <v>464828</v>
      </c>
      <c r="N1446" t="s">
        <v>42</v>
      </c>
      <c r="O1446" t="s">
        <v>1197</v>
      </c>
      <c r="P1446" t="s">
        <v>191</v>
      </c>
      <c r="Q1446" t="s">
        <v>44</v>
      </c>
      <c r="R1446" t="s">
        <v>1830</v>
      </c>
      <c r="S1446" t="s">
        <v>1831</v>
      </c>
      <c r="T1446" t="s">
        <v>47</v>
      </c>
      <c r="U1446" t="s">
        <v>202</v>
      </c>
      <c r="V1446" t="s">
        <v>49</v>
      </c>
      <c r="W1446" t="s">
        <v>1303</v>
      </c>
      <c r="X1446" t="s">
        <v>388</v>
      </c>
      <c r="Y1446" t="s">
        <v>1373</v>
      </c>
      <c r="Z1446" t="s">
        <v>1373</v>
      </c>
      <c r="AA1446" t="s">
        <v>718</v>
      </c>
      <c r="AB1446" s="3">
        <f t="shared" si="181"/>
        <v>10</v>
      </c>
      <c r="AC1446">
        <v>332.9</v>
      </c>
      <c r="AD1446" s="2">
        <v>33.29</v>
      </c>
      <c r="AE1446" s="2">
        <v>51.48</v>
      </c>
      <c r="AF1446" s="2">
        <v>2.36</v>
      </c>
      <c r="AG1446" s="2">
        <v>386.74</v>
      </c>
      <c r="AH1446">
        <v>0</v>
      </c>
      <c r="AI1446">
        <v>38.673999999999999</v>
      </c>
      <c r="AJ1446">
        <v>1.9337</v>
      </c>
      <c r="AK1446" t="s">
        <v>54</v>
      </c>
      <c r="AL1446">
        <v>2.13</v>
      </c>
      <c r="AM1446" s="4">
        <f t="shared" si="182"/>
        <v>38.673999999999999</v>
      </c>
      <c r="AN1446" s="4">
        <f t="shared" si="183"/>
        <v>62.418749999999996</v>
      </c>
      <c r="AO1446" s="4">
        <f t="shared" si="184"/>
        <v>69.347231249999993</v>
      </c>
      <c r="AP1446" s="4">
        <f t="shared" si="185"/>
        <v>101.11213312499999</v>
      </c>
      <c r="AQ1446" s="10">
        <f t="shared" si="186"/>
        <v>67.257953400000005</v>
      </c>
      <c r="AR1446" s="10">
        <f t="shared" si="187"/>
        <v>74.730312022740009</v>
      </c>
      <c r="AS1446" s="10">
        <f t="shared" si="188"/>
        <v>104.70718185312001</v>
      </c>
    </row>
    <row r="1447" spans="1:45" x14ac:dyDescent="0.3">
      <c r="A1447">
        <v>2025</v>
      </c>
      <c r="B1447">
        <v>12</v>
      </c>
      <c r="C1447" t="s">
        <v>55</v>
      </c>
      <c r="D1447">
        <v>10</v>
      </c>
      <c r="E1447" t="s">
        <v>36</v>
      </c>
      <c r="F1447" t="s">
        <v>37</v>
      </c>
      <c r="G1447" t="s">
        <v>38</v>
      </c>
      <c r="H1447" t="s">
        <v>101</v>
      </c>
      <c r="I1447" t="s">
        <v>57</v>
      </c>
      <c r="J1447" t="s">
        <v>58</v>
      </c>
      <c r="K1447" t="s">
        <v>59</v>
      </c>
      <c r="L1447" t="s">
        <v>1769</v>
      </c>
      <c r="M1447" t="s">
        <v>1770</v>
      </c>
      <c r="N1447" t="s">
        <v>1771</v>
      </c>
      <c r="O1447" t="s">
        <v>1197</v>
      </c>
      <c r="Q1447" t="s">
        <v>62</v>
      </c>
      <c r="R1447" t="s">
        <v>1772</v>
      </c>
      <c r="S1447" t="s">
        <v>1772</v>
      </c>
      <c r="T1447" t="s">
        <v>47</v>
      </c>
      <c r="U1447" t="s">
        <v>202</v>
      </c>
      <c r="V1447" t="s">
        <v>49</v>
      </c>
      <c r="W1447" t="s">
        <v>1303</v>
      </c>
      <c r="X1447" t="s">
        <v>51</v>
      </c>
      <c r="Y1447" t="s">
        <v>204</v>
      </c>
      <c r="Z1447" t="s">
        <v>204</v>
      </c>
      <c r="AA1447" t="s">
        <v>1832</v>
      </c>
      <c r="AB1447" s="3">
        <f t="shared" si="181"/>
        <v>1</v>
      </c>
      <c r="AC1447">
        <v>4871</v>
      </c>
      <c r="AD1447" s="2">
        <v>4871</v>
      </c>
      <c r="AE1447" s="2">
        <v>1368.19</v>
      </c>
      <c r="AF1447" s="2">
        <v>36</v>
      </c>
      <c r="AG1447" s="2">
        <v>6275.19</v>
      </c>
      <c r="AH1447">
        <v>0</v>
      </c>
      <c r="AI1447">
        <v>6275.19</v>
      </c>
      <c r="AJ1447">
        <v>31.37595</v>
      </c>
      <c r="AK1447" t="s">
        <v>54</v>
      </c>
      <c r="AL1447">
        <v>120</v>
      </c>
      <c r="AM1447" s="4">
        <f t="shared" si="182"/>
        <v>6275.19</v>
      </c>
      <c r="AN1447" s="4">
        <f t="shared" si="183"/>
        <v>9133.125</v>
      </c>
      <c r="AO1447" s="4">
        <f t="shared" si="184"/>
        <v>10146.901875</v>
      </c>
      <c r="AP1447" s="4">
        <f t="shared" si="185"/>
        <v>14794.7491875</v>
      </c>
      <c r="AQ1447" s="10">
        <f t="shared" si="186"/>
        <v>10913.182929000001</v>
      </c>
      <c r="AR1447" s="10">
        <f t="shared" si="187"/>
        <v>12125.637552411901</v>
      </c>
      <c r="AS1447" s="10">
        <f t="shared" si="188"/>
        <v>16989.6431838672</v>
      </c>
    </row>
    <row r="1448" spans="1:45" x14ac:dyDescent="0.3">
      <c r="A1448">
        <v>2025</v>
      </c>
      <c r="B1448">
        <v>6</v>
      </c>
      <c r="C1448" t="s">
        <v>35</v>
      </c>
      <c r="D1448">
        <v>10</v>
      </c>
      <c r="E1448" t="s">
        <v>36</v>
      </c>
      <c r="F1448" t="s">
        <v>37</v>
      </c>
      <c r="G1448" t="s">
        <v>38</v>
      </c>
      <c r="H1448" t="s">
        <v>101</v>
      </c>
      <c r="I1448" t="s">
        <v>190</v>
      </c>
      <c r="J1448" t="s">
        <v>40</v>
      </c>
      <c r="K1448" t="s">
        <v>59</v>
      </c>
      <c r="M1448">
        <v>447389</v>
      </c>
      <c r="N1448" t="s">
        <v>42</v>
      </c>
      <c r="O1448" t="s">
        <v>43</v>
      </c>
      <c r="Q1448" t="s">
        <v>44</v>
      </c>
      <c r="R1448" t="s">
        <v>772</v>
      </c>
      <c r="S1448" t="s">
        <v>773</v>
      </c>
      <c r="T1448" t="s">
        <v>47</v>
      </c>
      <c r="U1448" t="s">
        <v>774</v>
      </c>
      <c r="V1448" t="s">
        <v>49</v>
      </c>
      <c r="W1448" t="s">
        <v>775</v>
      </c>
      <c r="X1448" t="s">
        <v>51</v>
      </c>
      <c r="Y1448" t="s">
        <v>1833</v>
      </c>
      <c r="Z1448" t="s">
        <v>1833</v>
      </c>
      <c r="AA1448" t="s">
        <v>1834</v>
      </c>
      <c r="AB1448" s="3">
        <f t="shared" si="181"/>
        <v>1</v>
      </c>
      <c r="AC1448">
        <v>1249.8</v>
      </c>
      <c r="AD1448" s="2">
        <v>1249.8</v>
      </c>
      <c r="AE1448" s="2">
        <v>370.81</v>
      </c>
      <c r="AF1448" s="2">
        <v>9.3800000000000008</v>
      </c>
      <c r="AG1448" s="2">
        <v>1629.26</v>
      </c>
      <c r="AH1448">
        <v>0</v>
      </c>
      <c r="AI1448">
        <v>1629.26</v>
      </c>
      <c r="AJ1448">
        <v>8.1463000000000001</v>
      </c>
      <c r="AK1448" t="s">
        <v>54</v>
      </c>
      <c r="AL1448">
        <v>9.2799999999999994</v>
      </c>
      <c r="AM1448" s="4">
        <f t="shared" si="182"/>
        <v>1629.26</v>
      </c>
      <c r="AN1448" s="4">
        <f t="shared" si="183"/>
        <v>2343.375</v>
      </c>
      <c r="AO1448" s="4">
        <f t="shared" si="184"/>
        <v>2603.4896250000002</v>
      </c>
      <c r="AP1448" s="4">
        <f t="shared" si="185"/>
        <v>3796.0331624999999</v>
      </c>
      <c r="AQ1448" s="10">
        <f t="shared" si="186"/>
        <v>2833.446066</v>
      </c>
      <c r="AR1448" s="10">
        <f t="shared" si="187"/>
        <v>3148.2419239326</v>
      </c>
      <c r="AS1448" s="10">
        <f t="shared" si="188"/>
        <v>4411.1088355488</v>
      </c>
    </row>
    <row r="1449" spans="1:45" x14ac:dyDescent="0.3">
      <c r="A1449">
        <v>2025</v>
      </c>
      <c r="B1449">
        <v>6</v>
      </c>
      <c r="C1449" t="s">
        <v>35</v>
      </c>
      <c r="D1449">
        <v>10</v>
      </c>
      <c r="E1449" t="s">
        <v>36</v>
      </c>
      <c r="F1449" t="s">
        <v>37</v>
      </c>
      <c r="G1449" t="s">
        <v>38</v>
      </c>
      <c r="H1449" t="s">
        <v>101</v>
      </c>
      <c r="I1449" t="s">
        <v>190</v>
      </c>
      <c r="J1449" t="s">
        <v>40</v>
      </c>
      <c r="K1449" t="s">
        <v>59</v>
      </c>
      <c r="M1449">
        <v>447389</v>
      </c>
      <c r="N1449" t="s">
        <v>42</v>
      </c>
      <c r="O1449" t="s">
        <v>43</v>
      </c>
      <c r="Q1449" t="s">
        <v>44</v>
      </c>
      <c r="R1449" t="s">
        <v>772</v>
      </c>
      <c r="S1449" t="s">
        <v>773</v>
      </c>
      <c r="T1449" t="s">
        <v>47</v>
      </c>
      <c r="U1449" t="s">
        <v>774</v>
      </c>
      <c r="V1449" t="s">
        <v>49</v>
      </c>
      <c r="W1449" t="s">
        <v>775</v>
      </c>
      <c r="X1449" t="s">
        <v>51</v>
      </c>
      <c r="Y1449" t="s">
        <v>776</v>
      </c>
      <c r="Z1449" t="s">
        <v>776</v>
      </c>
      <c r="AA1449" t="s">
        <v>777</v>
      </c>
      <c r="AB1449" s="3">
        <f t="shared" si="181"/>
        <v>1</v>
      </c>
      <c r="AC1449">
        <v>890.32</v>
      </c>
      <c r="AD1449" s="2">
        <v>890.32</v>
      </c>
      <c r="AE1449" s="2">
        <v>151.33000000000001</v>
      </c>
      <c r="AF1449" s="2">
        <v>6.35</v>
      </c>
      <c r="AG1449" s="2">
        <v>1047.99</v>
      </c>
      <c r="AH1449">
        <v>0</v>
      </c>
      <c r="AI1449">
        <v>1047.99</v>
      </c>
      <c r="AJ1449">
        <v>5.2399500000000003</v>
      </c>
      <c r="AK1449" t="s">
        <v>54</v>
      </c>
      <c r="AL1449">
        <v>160</v>
      </c>
      <c r="AM1449" s="4">
        <f t="shared" si="182"/>
        <v>1047.99</v>
      </c>
      <c r="AN1449" s="4">
        <f t="shared" si="183"/>
        <v>1669.3500000000001</v>
      </c>
      <c r="AO1449" s="4">
        <f t="shared" si="184"/>
        <v>1854.6478500000001</v>
      </c>
      <c r="AP1449" s="4">
        <f t="shared" si="185"/>
        <v>2704.180065</v>
      </c>
      <c r="AQ1449" s="10">
        <f t="shared" si="186"/>
        <v>1822.5594090000002</v>
      </c>
      <c r="AR1449" s="10">
        <f t="shared" si="187"/>
        <v>2025.0457593399001</v>
      </c>
      <c r="AS1449" s="10">
        <f t="shared" si="188"/>
        <v>2837.3604879312002</v>
      </c>
    </row>
    <row r="1450" spans="1:45" x14ac:dyDescent="0.3">
      <c r="A1450">
        <v>2025</v>
      </c>
      <c r="B1450">
        <v>12</v>
      </c>
      <c r="C1450" t="s">
        <v>35</v>
      </c>
      <c r="D1450">
        <v>10</v>
      </c>
      <c r="E1450" t="s">
        <v>36</v>
      </c>
      <c r="F1450" t="s">
        <v>37</v>
      </c>
      <c r="G1450" t="s">
        <v>38</v>
      </c>
      <c r="H1450" t="s">
        <v>101</v>
      </c>
      <c r="K1450" t="s">
        <v>59</v>
      </c>
      <c r="L1450" t="s">
        <v>1793</v>
      </c>
      <c r="M1450">
        <v>463645</v>
      </c>
      <c r="N1450" t="s">
        <v>42</v>
      </c>
      <c r="O1450" t="s">
        <v>1197</v>
      </c>
      <c r="P1450" t="s">
        <v>191</v>
      </c>
      <c r="Q1450" t="s">
        <v>44</v>
      </c>
      <c r="R1450" t="s">
        <v>1626</v>
      </c>
      <c r="S1450" t="s">
        <v>1794</v>
      </c>
      <c r="T1450" t="s">
        <v>47</v>
      </c>
      <c r="U1450" t="s">
        <v>774</v>
      </c>
      <c r="V1450" t="s">
        <v>49</v>
      </c>
      <c r="W1450" t="s">
        <v>775</v>
      </c>
      <c r="X1450" t="s">
        <v>388</v>
      </c>
      <c r="Y1450" t="s">
        <v>776</v>
      </c>
      <c r="Z1450" t="s">
        <v>776</v>
      </c>
      <c r="AA1450" t="s">
        <v>778</v>
      </c>
      <c r="AB1450" s="3">
        <f t="shared" si="181"/>
        <v>1</v>
      </c>
      <c r="AC1450">
        <v>1851.11</v>
      </c>
      <c r="AD1450" s="2">
        <v>1851.11</v>
      </c>
      <c r="AE1450" s="2">
        <v>314.64</v>
      </c>
      <c r="AF1450" s="2">
        <v>13.2</v>
      </c>
      <c r="AG1450" s="2">
        <v>2178.9499999999998</v>
      </c>
      <c r="AH1450">
        <v>0</v>
      </c>
      <c r="AI1450">
        <v>2178.9499999999998</v>
      </c>
      <c r="AJ1450">
        <v>10.89475</v>
      </c>
      <c r="AK1450" t="s">
        <v>54</v>
      </c>
      <c r="AL1450">
        <v>224.1</v>
      </c>
      <c r="AM1450" s="4">
        <f t="shared" si="182"/>
        <v>2178.9499999999998</v>
      </c>
      <c r="AN1450" s="4">
        <f t="shared" si="183"/>
        <v>3470.8312499999997</v>
      </c>
      <c r="AO1450" s="4">
        <f t="shared" si="184"/>
        <v>3856.0935187499995</v>
      </c>
      <c r="AP1450" s="4">
        <f t="shared" si="185"/>
        <v>5622.3995418749992</v>
      </c>
      <c r="AQ1450" s="10">
        <f t="shared" si="186"/>
        <v>3789.4119449999998</v>
      </c>
      <c r="AR1450" s="10">
        <f t="shared" si="187"/>
        <v>4210.4156120894995</v>
      </c>
      <c r="AS1450" s="10">
        <f t="shared" si="188"/>
        <v>5899.3565159759992</v>
      </c>
    </row>
    <row r="1451" spans="1:45" x14ac:dyDescent="0.3">
      <c r="A1451">
        <v>2025</v>
      </c>
      <c r="B1451">
        <v>12</v>
      </c>
      <c r="C1451" t="s">
        <v>35</v>
      </c>
      <c r="D1451">
        <v>10</v>
      </c>
      <c r="E1451" t="s">
        <v>36</v>
      </c>
      <c r="F1451" t="s">
        <v>37</v>
      </c>
      <c r="G1451" t="s">
        <v>38</v>
      </c>
      <c r="H1451" t="s">
        <v>101</v>
      </c>
      <c r="K1451" t="s">
        <v>59</v>
      </c>
      <c r="L1451" t="s">
        <v>1793</v>
      </c>
      <c r="M1451">
        <v>463645</v>
      </c>
      <c r="N1451" t="s">
        <v>42</v>
      </c>
      <c r="O1451" t="s">
        <v>1197</v>
      </c>
      <c r="P1451" t="s">
        <v>191</v>
      </c>
      <c r="Q1451" t="s">
        <v>44</v>
      </c>
      <c r="R1451" t="s">
        <v>1626</v>
      </c>
      <c r="S1451" t="s">
        <v>1794</v>
      </c>
      <c r="T1451" t="s">
        <v>47</v>
      </c>
      <c r="U1451" t="s">
        <v>774</v>
      </c>
      <c r="V1451" t="s">
        <v>49</v>
      </c>
      <c r="W1451" t="s">
        <v>775</v>
      </c>
      <c r="X1451" t="s">
        <v>388</v>
      </c>
      <c r="Y1451" t="s">
        <v>1653</v>
      </c>
      <c r="Z1451" t="s">
        <v>1653</v>
      </c>
      <c r="AA1451" t="s">
        <v>778</v>
      </c>
      <c r="AB1451" s="3">
        <f t="shared" si="181"/>
        <v>1</v>
      </c>
      <c r="AC1451">
        <v>1800.18</v>
      </c>
      <c r="AD1451" s="2">
        <v>1800.18</v>
      </c>
      <c r="AE1451" s="2">
        <v>820.87</v>
      </c>
      <c r="AF1451" s="2">
        <v>16.82</v>
      </c>
      <c r="AG1451" s="2">
        <v>2637.86</v>
      </c>
      <c r="AH1451">
        <v>0</v>
      </c>
      <c r="AI1451">
        <v>2637.86</v>
      </c>
      <c r="AJ1451">
        <v>13.189299999999999</v>
      </c>
      <c r="AK1451" t="s">
        <v>54</v>
      </c>
      <c r="AL1451">
        <v>114.6</v>
      </c>
      <c r="AM1451" s="4">
        <f t="shared" si="182"/>
        <v>2637.86</v>
      </c>
      <c r="AN1451" s="4">
        <f t="shared" si="183"/>
        <v>3375.3375000000001</v>
      </c>
      <c r="AO1451" s="4">
        <f t="shared" si="184"/>
        <v>3749.9999625</v>
      </c>
      <c r="AP1451" s="4">
        <f t="shared" si="185"/>
        <v>5467.7092162499994</v>
      </c>
      <c r="AQ1451" s="10">
        <f t="shared" si="186"/>
        <v>4587.5023260000007</v>
      </c>
      <c r="AR1451" s="10">
        <f t="shared" si="187"/>
        <v>5097.1738344186006</v>
      </c>
      <c r="AS1451" s="10">
        <f t="shared" si="188"/>
        <v>7141.8236211168005</v>
      </c>
    </row>
    <row r="1452" spans="1:45" x14ac:dyDescent="0.3">
      <c r="A1452">
        <v>2025</v>
      </c>
      <c r="B1452">
        <v>12</v>
      </c>
      <c r="C1452" t="s">
        <v>35</v>
      </c>
      <c r="D1452">
        <v>10</v>
      </c>
      <c r="E1452" t="s">
        <v>36</v>
      </c>
      <c r="F1452" t="s">
        <v>37</v>
      </c>
      <c r="G1452" t="s">
        <v>38</v>
      </c>
      <c r="H1452" t="s">
        <v>101</v>
      </c>
      <c r="K1452" t="s">
        <v>59</v>
      </c>
      <c r="L1452" t="s">
        <v>1793</v>
      </c>
      <c r="M1452">
        <v>463645</v>
      </c>
      <c r="N1452" t="s">
        <v>42</v>
      </c>
      <c r="O1452" t="s">
        <v>1197</v>
      </c>
      <c r="P1452" t="s">
        <v>191</v>
      </c>
      <c r="Q1452" t="s">
        <v>44</v>
      </c>
      <c r="R1452" t="s">
        <v>1626</v>
      </c>
      <c r="S1452" t="s">
        <v>1794</v>
      </c>
      <c r="T1452" t="s">
        <v>47</v>
      </c>
      <c r="U1452" t="s">
        <v>774</v>
      </c>
      <c r="V1452" t="s">
        <v>49</v>
      </c>
      <c r="W1452" t="s">
        <v>775</v>
      </c>
      <c r="X1452" t="s">
        <v>388</v>
      </c>
      <c r="Y1452" t="s">
        <v>1653</v>
      </c>
      <c r="Z1452" t="s">
        <v>1653</v>
      </c>
      <c r="AA1452" t="s">
        <v>778</v>
      </c>
      <c r="AB1452" s="3">
        <f t="shared" si="181"/>
        <v>1</v>
      </c>
      <c r="AC1452">
        <v>1800.18</v>
      </c>
      <c r="AD1452" s="2">
        <v>1800.18</v>
      </c>
      <c r="AE1452" s="2">
        <v>820.87</v>
      </c>
      <c r="AF1452" s="2">
        <v>16.82</v>
      </c>
      <c r="AG1452" s="2">
        <v>2637.86</v>
      </c>
      <c r="AH1452">
        <v>0</v>
      </c>
      <c r="AI1452">
        <v>2637.86</v>
      </c>
      <c r="AJ1452">
        <v>13.189299999999999</v>
      </c>
      <c r="AK1452" t="s">
        <v>54</v>
      </c>
      <c r="AL1452">
        <v>114.6</v>
      </c>
      <c r="AM1452" s="4">
        <f t="shared" si="182"/>
        <v>2637.86</v>
      </c>
      <c r="AN1452" s="4">
        <f t="shared" si="183"/>
        <v>3375.3375000000001</v>
      </c>
      <c r="AO1452" s="4">
        <f t="shared" si="184"/>
        <v>3749.9999625</v>
      </c>
      <c r="AP1452" s="4">
        <f t="shared" si="185"/>
        <v>5467.7092162499994</v>
      </c>
      <c r="AQ1452" s="10">
        <f t="shared" si="186"/>
        <v>4587.5023260000007</v>
      </c>
      <c r="AR1452" s="10">
        <f t="shared" si="187"/>
        <v>5097.1738344186006</v>
      </c>
      <c r="AS1452" s="10">
        <f t="shared" si="188"/>
        <v>7141.8236211168005</v>
      </c>
    </row>
    <row r="1453" spans="1:45" x14ac:dyDescent="0.3">
      <c r="A1453">
        <v>2025</v>
      </c>
      <c r="B1453">
        <v>12</v>
      </c>
      <c r="C1453" t="s">
        <v>35</v>
      </c>
      <c r="D1453">
        <v>10</v>
      </c>
      <c r="E1453" t="s">
        <v>36</v>
      </c>
      <c r="F1453" t="s">
        <v>37</v>
      </c>
      <c r="G1453" t="s">
        <v>38</v>
      </c>
      <c r="H1453" t="s">
        <v>101</v>
      </c>
      <c r="K1453" t="s">
        <v>59</v>
      </c>
      <c r="L1453" t="s">
        <v>1793</v>
      </c>
      <c r="M1453">
        <v>463645</v>
      </c>
      <c r="N1453" t="s">
        <v>42</v>
      </c>
      <c r="O1453" t="s">
        <v>1197</v>
      </c>
      <c r="P1453" t="s">
        <v>191</v>
      </c>
      <c r="Q1453" t="s">
        <v>44</v>
      </c>
      <c r="R1453" t="s">
        <v>1626</v>
      </c>
      <c r="S1453" t="s">
        <v>1794</v>
      </c>
      <c r="T1453" t="s">
        <v>47</v>
      </c>
      <c r="U1453" t="s">
        <v>774</v>
      </c>
      <c r="V1453" t="s">
        <v>49</v>
      </c>
      <c r="W1453" t="s">
        <v>775</v>
      </c>
      <c r="X1453" t="s">
        <v>388</v>
      </c>
      <c r="Y1453" t="s">
        <v>1653</v>
      </c>
      <c r="Z1453" t="s">
        <v>1653</v>
      </c>
      <c r="AA1453" t="s">
        <v>778</v>
      </c>
      <c r="AB1453" s="3">
        <f t="shared" si="181"/>
        <v>1</v>
      </c>
      <c r="AC1453">
        <v>1800.18</v>
      </c>
      <c r="AD1453" s="2">
        <v>1800.18</v>
      </c>
      <c r="AE1453" s="2">
        <v>820.87</v>
      </c>
      <c r="AF1453" s="2">
        <v>16.82</v>
      </c>
      <c r="AG1453" s="2">
        <v>2637.86</v>
      </c>
      <c r="AH1453">
        <v>0</v>
      </c>
      <c r="AI1453">
        <v>2637.86</v>
      </c>
      <c r="AJ1453">
        <v>13.189299999999999</v>
      </c>
      <c r="AK1453" t="s">
        <v>54</v>
      </c>
      <c r="AL1453">
        <v>114.6</v>
      </c>
      <c r="AM1453" s="4">
        <f t="shared" si="182"/>
        <v>2637.86</v>
      </c>
      <c r="AN1453" s="4">
        <f t="shared" si="183"/>
        <v>3375.3375000000001</v>
      </c>
      <c r="AO1453" s="4">
        <f t="shared" si="184"/>
        <v>3749.9999625</v>
      </c>
      <c r="AP1453" s="4">
        <f t="shared" si="185"/>
        <v>5467.7092162499994</v>
      </c>
      <c r="AQ1453" s="10">
        <f t="shared" si="186"/>
        <v>4587.5023260000007</v>
      </c>
      <c r="AR1453" s="10">
        <f t="shared" si="187"/>
        <v>5097.1738344186006</v>
      </c>
      <c r="AS1453" s="10">
        <f t="shared" si="188"/>
        <v>7141.8236211168005</v>
      </c>
    </row>
    <row r="1454" spans="1:45" x14ac:dyDescent="0.3">
      <c r="A1454">
        <v>2025</v>
      </c>
      <c r="B1454">
        <v>6</v>
      </c>
      <c r="C1454" t="s">
        <v>35</v>
      </c>
      <c r="D1454">
        <v>10</v>
      </c>
      <c r="E1454" t="s">
        <v>36</v>
      </c>
      <c r="F1454" t="s">
        <v>37</v>
      </c>
      <c r="G1454" t="s">
        <v>38</v>
      </c>
      <c r="H1454" t="s">
        <v>101</v>
      </c>
      <c r="I1454" t="s">
        <v>190</v>
      </c>
      <c r="J1454" t="s">
        <v>40</v>
      </c>
      <c r="K1454" t="s">
        <v>59</v>
      </c>
      <c r="M1454">
        <v>447389</v>
      </c>
      <c r="N1454" t="s">
        <v>42</v>
      </c>
      <c r="O1454" t="s">
        <v>43</v>
      </c>
      <c r="Q1454" t="s">
        <v>44</v>
      </c>
      <c r="R1454" t="s">
        <v>772</v>
      </c>
      <c r="S1454" t="s">
        <v>773</v>
      </c>
      <c r="T1454" t="s">
        <v>47</v>
      </c>
      <c r="U1454" t="s">
        <v>774</v>
      </c>
      <c r="V1454" t="s">
        <v>49</v>
      </c>
      <c r="W1454" t="s">
        <v>775</v>
      </c>
      <c r="X1454" t="s">
        <v>51</v>
      </c>
      <c r="Y1454" t="s">
        <v>1653</v>
      </c>
      <c r="Z1454" t="s">
        <v>1653</v>
      </c>
      <c r="AA1454" t="s">
        <v>778</v>
      </c>
      <c r="AB1454" s="3">
        <f t="shared" si="181"/>
        <v>1</v>
      </c>
      <c r="AC1454">
        <v>1800.18</v>
      </c>
      <c r="AD1454" s="2">
        <v>1800.18</v>
      </c>
      <c r="AE1454" s="2">
        <v>820.87</v>
      </c>
      <c r="AF1454" s="2">
        <v>16.82</v>
      </c>
      <c r="AG1454" s="2">
        <v>2637.86</v>
      </c>
      <c r="AH1454">
        <v>0</v>
      </c>
      <c r="AI1454">
        <v>2637.86</v>
      </c>
      <c r="AJ1454">
        <v>13.189299999999999</v>
      </c>
      <c r="AK1454" t="s">
        <v>54</v>
      </c>
      <c r="AL1454">
        <v>114.6</v>
      </c>
      <c r="AM1454" s="4">
        <f t="shared" si="182"/>
        <v>2637.86</v>
      </c>
      <c r="AN1454" s="4">
        <f t="shared" si="183"/>
        <v>3375.3375000000001</v>
      </c>
      <c r="AO1454" s="4">
        <f t="shared" si="184"/>
        <v>3749.9999625</v>
      </c>
      <c r="AP1454" s="4">
        <f t="shared" si="185"/>
        <v>5467.7092162499994</v>
      </c>
      <c r="AQ1454" s="10">
        <f t="shared" si="186"/>
        <v>4587.5023260000007</v>
      </c>
      <c r="AR1454" s="10">
        <f t="shared" si="187"/>
        <v>5097.1738344186006</v>
      </c>
      <c r="AS1454" s="10">
        <f t="shared" si="188"/>
        <v>7141.8236211168005</v>
      </c>
    </row>
    <row r="1455" spans="1:45" x14ac:dyDescent="0.3">
      <c r="A1455">
        <v>2025</v>
      </c>
      <c r="B1455">
        <v>6</v>
      </c>
      <c r="C1455" t="s">
        <v>55</v>
      </c>
      <c r="D1455">
        <v>10</v>
      </c>
      <c r="E1455" t="s">
        <v>36</v>
      </c>
      <c r="F1455" t="s">
        <v>37</v>
      </c>
      <c r="G1455" t="s">
        <v>38</v>
      </c>
      <c r="H1455" t="s">
        <v>206</v>
      </c>
      <c r="I1455" t="s">
        <v>190</v>
      </c>
      <c r="J1455" t="s">
        <v>58</v>
      </c>
      <c r="K1455" t="s">
        <v>59</v>
      </c>
      <c r="M1455" t="s">
        <v>730</v>
      </c>
      <c r="N1455" t="s">
        <v>731</v>
      </c>
      <c r="O1455" t="s">
        <v>36</v>
      </c>
      <c r="Q1455" t="s">
        <v>62</v>
      </c>
      <c r="R1455" t="s">
        <v>732</v>
      </c>
      <c r="S1455" t="s">
        <v>732</v>
      </c>
      <c r="T1455" t="s">
        <v>47</v>
      </c>
      <c r="U1455" t="s">
        <v>476</v>
      </c>
      <c r="V1455" t="s">
        <v>49</v>
      </c>
      <c r="W1455" t="s">
        <v>708</v>
      </c>
      <c r="X1455" t="s">
        <v>686</v>
      </c>
      <c r="Y1455" t="s">
        <v>776</v>
      </c>
      <c r="Z1455" t="s">
        <v>776</v>
      </c>
      <c r="AA1455" t="s">
        <v>779</v>
      </c>
      <c r="AB1455" s="3">
        <f t="shared" si="181"/>
        <v>1</v>
      </c>
      <c r="AC1455">
        <v>3044.21</v>
      </c>
      <c r="AD1455" s="2">
        <v>3044.21</v>
      </c>
      <c r="AE1455" s="2">
        <v>517.42999999999995</v>
      </c>
      <c r="AF1455" s="2">
        <v>21.71</v>
      </c>
      <c r="AG1455" s="2">
        <v>3583.36</v>
      </c>
      <c r="AH1455">
        <v>0</v>
      </c>
      <c r="AI1455">
        <v>3583.36</v>
      </c>
      <c r="AJ1455">
        <v>17.916799999999999</v>
      </c>
      <c r="AK1455" t="s">
        <v>54</v>
      </c>
      <c r="AL1455">
        <v>668</v>
      </c>
      <c r="AM1455" s="4">
        <f t="shared" si="182"/>
        <v>3583.36</v>
      </c>
      <c r="AN1455" s="4">
        <f t="shared" si="183"/>
        <v>5707.8937500000002</v>
      </c>
      <c r="AO1455" s="4">
        <f t="shared" si="184"/>
        <v>6341.46995625</v>
      </c>
      <c r="AP1455" s="4">
        <f t="shared" si="185"/>
        <v>9246.2170856249995</v>
      </c>
      <c r="AQ1455" s="10">
        <f t="shared" si="186"/>
        <v>6231.8213760000008</v>
      </c>
      <c r="AR1455" s="10">
        <f t="shared" si="187"/>
        <v>6924.1767308736007</v>
      </c>
      <c r="AS1455" s="10">
        <f t="shared" si="188"/>
        <v>9701.6995181568018</v>
      </c>
    </row>
    <row r="1456" spans="1:45" x14ac:dyDescent="0.3">
      <c r="A1456">
        <v>2025</v>
      </c>
      <c r="B1456">
        <v>6</v>
      </c>
      <c r="C1456" t="s">
        <v>55</v>
      </c>
      <c r="D1456">
        <v>10</v>
      </c>
      <c r="E1456" t="s">
        <v>36</v>
      </c>
      <c r="F1456" t="s">
        <v>37</v>
      </c>
      <c r="G1456" t="s">
        <v>38</v>
      </c>
      <c r="H1456" t="s">
        <v>206</v>
      </c>
      <c r="I1456" t="s">
        <v>190</v>
      </c>
      <c r="J1456" t="s">
        <v>58</v>
      </c>
      <c r="K1456" t="s">
        <v>59</v>
      </c>
      <c r="M1456" t="s">
        <v>730</v>
      </c>
      <c r="N1456" t="s">
        <v>731</v>
      </c>
      <c r="O1456" t="s">
        <v>36</v>
      </c>
      <c r="Q1456" t="s">
        <v>62</v>
      </c>
      <c r="R1456" t="s">
        <v>732</v>
      </c>
      <c r="S1456" t="s">
        <v>732</v>
      </c>
      <c r="T1456" t="s">
        <v>47</v>
      </c>
      <c r="U1456" t="s">
        <v>476</v>
      </c>
      <c r="V1456" t="s">
        <v>49</v>
      </c>
      <c r="W1456" t="s">
        <v>708</v>
      </c>
      <c r="X1456" t="s">
        <v>686</v>
      </c>
      <c r="Y1456" t="s">
        <v>207</v>
      </c>
      <c r="Z1456" t="s">
        <v>207</v>
      </c>
      <c r="AA1456" t="s">
        <v>811</v>
      </c>
      <c r="AB1456" s="3">
        <f t="shared" si="181"/>
        <v>1</v>
      </c>
      <c r="AC1456">
        <v>177.43</v>
      </c>
      <c r="AD1456" s="2">
        <v>177.43</v>
      </c>
      <c r="AE1456" s="2">
        <v>33.43</v>
      </c>
      <c r="AF1456" s="2">
        <v>1.17</v>
      </c>
      <c r="AG1456" s="2">
        <v>212.4</v>
      </c>
      <c r="AH1456">
        <v>0</v>
      </c>
      <c r="AI1456">
        <v>212.4</v>
      </c>
      <c r="AJ1456">
        <v>1.0620000000000001</v>
      </c>
      <c r="AK1456" t="s">
        <v>54</v>
      </c>
      <c r="AL1456">
        <v>1.27</v>
      </c>
      <c r="AM1456" s="4">
        <f t="shared" si="182"/>
        <v>212.4</v>
      </c>
      <c r="AN1456" s="4">
        <f t="shared" si="183"/>
        <v>332.68125000000003</v>
      </c>
      <c r="AO1456" s="4">
        <f t="shared" si="184"/>
        <v>369.60886875000006</v>
      </c>
      <c r="AP1456" s="4">
        <f t="shared" si="185"/>
        <v>538.91035687500005</v>
      </c>
      <c r="AQ1456" s="10">
        <f t="shared" si="186"/>
        <v>369.38484000000005</v>
      </c>
      <c r="AR1456" s="10">
        <f t="shared" si="187"/>
        <v>410.42349572400008</v>
      </c>
      <c r="AS1456" s="10">
        <f t="shared" si="188"/>
        <v>575.05831891200012</v>
      </c>
    </row>
    <row r="1457" spans="1:45" x14ac:dyDescent="0.3">
      <c r="A1457">
        <v>2025</v>
      </c>
      <c r="B1457">
        <v>6</v>
      </c>
      <c r="C1457" t="s">
        <v>55</v>
      </c>
      <c r="D1457">
        <v>10</v>
      </c>
      <c r="E1457" t="s">
        <v>36</v>
      </c>
      <c r="F1457" t="s">
        <v>37</v>
      </c>
      <c r="G1457" t="s">
        <v>38</v>
      </c>
      <c r="H1457" t="s">
        <v>206</v>
      </c>
      <c r="I1457" t="s">
        <v>190</v>
      </c>
      <c r="J1457" t="s">
        <v>58</v>
      </c>
      <c r="K1457" t="s">
        <v>59</v>
      </c>
      <c r="M1457" t="s">
        <v>730</v>
      </c>
      <c r="N1457" t="s">
        <v>731</v>
      </c>
      <c r="O1457" t="s">
        <v>36</v>
      </c>
      <c r="Q1457" t="s">
        <v>62</v>
      </c>
      <c r="R1457" t="s">
        <v>732</v>
      </c>
      <c r="S1457" t="s">
        <v>732</v>
      </c>
      <c r="T1457" t="s">
        <v>47</v>
      </c>
      <c r="U1457" t="s">
        <v>476</v>
      </c>
      <c r="V1457" t="s">
        <v>49</v>
      </c>
      <c r="W1457" t="s">
        <v>708</v>
      </c>
      <c r="X1457" t="s">
        <v>686</v>
      </c>
      <c r="Y1457" t="s">
        <v>207</v>
      </c>
      <c r="Z1457" t="s">
        <v>207</v>
      </c>
      <c r="AA1457" t="s">
        <v>811</v>
      </c>
      <c r="AB1457" s="3">
        <f t="shared" si="181"/>
        <v>1</v>
      </c>
      <c r="AC1457">
        <v>177.43</v>
      </c>
      <c r="AD1457" s="2">
        <v>177.43</v>
      </c>
      <c r="AE1457" s="2">
        <v>33.43</v>
      </c>
      <c r="AF1457" s="2">
        <v>1.17</v>
      </c>
      <c r="AG1457" s="2">
        <v>212.4</v>
      </c>
      <c r="AH1457">
        <v>0</v>
      </c>
      <c r="AI1457">
        <v>212.4</v>
      </c>
      <c r="AJ1457">
        <v>1.0620000000000001</v>
      </c>
      <c r="AK1457" t="s">
        <v>54</v>
      </c>
      <c r="AL1457">
        <v>1.27</v>
      </c>
      <c r="AM1457" s="4">
        <f t="shared" si="182"/>
        <v>212.4</v>
      </c>
      <c r="AN1457" s="4">
        <f t="shared" si="183"/>
        <v>332.68125000000003</v>
      </c>
      <c r="AO1457" s="4">
        <f t="shared" si="184"/>
        <v>369.60886875000006</v>
      </c>
      <c r="AP1457" s="4">
        <f t="shared" si="185"/>
        <v>538.91035687500005</v>
      </c>
      <c r="AQ1457" s="10">
        <f t="shared" si="186"/>
        <v>369.38484000000005</v>
      </c>
      <c r="AR1457" s="10">
        <f t="shared" si="187"/>
        <v>410.42349572400008</v>
      </c>
      <c r="AS1457" s="10">
        <f t="shared" si="188"/>
        <v>575.05831891200012</v>
      </c>
    </row>
    <row r="1458" spans="1:45" x14ac:dyDescent="0.3">
      <c r="A1458">
        <v>2025</v>
      </c>
      <c r="B1458">
        <v>6</v>
      </c>
      <c r="C1458" t="s">
        <v>55</v>
      </c>
      <c r="D1458">
        <v>10</v>
      </c>
      <c r="E1458" t="s">
        <v>36</v>
      </c>
      <c r="F1458" t="s">
        <v>37</v>
      </c>
      <c r="G1458" t="s">
        <v>38</v>
      </c>
      <c r="H1458" t="s">
        <v>206</v>
      </c>
      <c r="I1458" t="s">
        <v>190</v>
      </c>
      <c r="J1458" t="s">
        <v>58</v>
      </c>
      <c r="K1458" t="s">
        <v>59</v>
      </c>
      <c r="M1458" t="s">
        <v>730</v>
      </c>
      <c r="N1458" t="s">
        <v>731</v>
      </c>
      <c r="O1458" t="s">
        <v>36</v>
      </c>
      <c r="Q1458" t="s">
        <v>62</v>
      </c>
      <c r="R1458" t="s">
        <v>732</v>
      </c>
      <c r="S1458" t="s">
        <v>732</v>
      </c>
      <c r="T1458" t="s">
        <v>47</v>
      </c>
      <c r="U1458" t="s">
        <v>476</v>
      </c>
      <c r="V1458" t="s">
        <v>49</v>
      </c>
      <c r="W1458" t="s">
        <v>708</v>
      </c>
      <c r="X1458" t="s">
        <v>686</v>
      </c>
      <c r="Y1458" t="s">
        <v>207</v>
      </c>
      <c r="Z1458" t="s">
        <v>207</v>
      </c>
      <c r="AA1458" t="s">
        <v>811</v>
      </c>
      <c r="AB1458" s="3">
        <f t="shared" si="181"/>
        <v>1</v>
      </c>
      <c r="AC1458">
        <v>177.43</v>
      </c>
      <c r="AD1458" s="2">
        <v>177.43</v>
      </c>
      <c r="AE1458" s="2">
        <v>33.43</v>
      </c>
      <c r="AF1458" s="2">
        <v>1.17</v>
      </c>
      <c r="AG1458" s="2">
        <v>212.4</v>
      </c>
      <c r="AH1458">
        <v>0</v>
      </c>
      <c r="AI1458">
        <v>212.4</v>
      </c>
      <c r="AJ1458">
        <v>1.0620000000000001</v>
      </c>
      <c r="AK1458" t="s">
        <v>54</v>
      </c>
      <c r="AL1458">
        <v>1.27</v>
      </c>
      <c r="AM1458" s="4">
        <f t="shared" si="182"/>
        <v>212.4</v>
      </c>
      <c r="AN1458" s="4">
        <f t="shared" si="183"/>
        <v>332.68125000000003</v>
      </c>
      <c r="AO1458" s="4">
        <f t="shared" si="184"/>
        <v>369.60886875000006</v>
      </c>
      <c r="AP1458" s="4">
        <f t="shared" si="185"/>
        <v>538.91035687500005</v>
      </c>
      <c r="AQ1458" s="10">
        <f t="shared" si="186"/>
        <v>369.38484000000005</v>
      </c>
      <c r="AR1458" s="10">
        <f t="shared" si="187"/>
        <v>410.42349572400008</v>
      </c>
      <c r="AS1458" s="10">
        <f t="shared" si="188"/>
        <v>575.05831891200012</v>
      </c>
    </row>
    <row r="1459" spans="1:45" x14ac:dyDescent="0.3">
      <c r="A1459">
        <v>2025</v>
      </c>
      <c r="B1459">
        <v>6</v>
      </c>
      <c r="C1459" t="s">
        <v>55</v>
      </c>
      <c r="D1459">
        <v>10</v>
      </c>
      <c r="E1459" t="s">
        <v>36</v>
      </c>
      <c r="F1459" t="s">
        <v>37</v>
      </c>
      <c r="G1459" t="s">
        <v>38</v>
      </c>
      <c r="H1459" t="s">
        <v>206</v>
      </c>
      <c r="I1459" t="s">
        <v>190</v>
      </c>
      <c r="J1459" t="s">
        <v>58</v>
      </c>
      <c r="K1459" t="s">
        <v>59</v>
      </c>
      <c r="M1459" t="s">
        <v>730</v>
      </c>
      <c r="N1459" t="s">
        <v>731</v>
      </c>
      <c r="O1459" t="s">
        <v>36</v>
      </c>
      <c r="Q1459" t="s">
        <v>62</v>
      </c>
      <c r="R1459" t="s">
        <v>732</v>
      </c>
      <c r="S1459" t="s">
        <v>732</v>
      </c>
      <c r="T1459" t="s">
        <v>47</v>
      </c>
      <c r="U1459" t="s">
        <v>476</v>
      </c>
      <c r="V1459" t="s">
        <v>49</v>
      </c>
      <c r="W1459" t="s">
        <v>708</v>
      </c>
      <c r="X1459" t="s">
        <v>686</v>
      </c>
      <c r="Y1459" t="s">
        <v>207</v>
      </c>
      <c r="Z1459" t="s">
        <v>207</v>
      </c>
      <c r="AA1459" t="s">
        <v>811</v>
      </c>
      <c r="AB1459" s="3">
        <f t="shared" si="181"/>
        <v>1</v>
      </c>
      <c r="AC1459">
        <v>177.43</v>
      </c>
      <c r="AD1459" s="2">
        <v>177.43</v>
      </c>
      <c r="AE1459" s="2">
        <v>33.43</v>
      </c>
      <c r="AF1459" s="2">
        <v>1.17</v>
      </c>
      <c r="AG1459" s="2">
        <v>212.4</v>
      </c>
      <c r="AH1459">
        <v>0</v>
      </c>
      <c r="AI1459">
        <v>212.4</v>
      </c>
      <c r="AJ1459">
        <v>1.0620000000000001</v>
      </c>
      <c r="AK1459" t="s">
        <v>54</v>
      </c>
      <c r="AL1459">
        <v>1.27</v>
      </c>
      <c r="AM1459" s="4">
        <f t="shared" si="182"/>
        <v>212.4</v>
      </c>
      <c r="AN1459" s="4">
        <f t="shared" si="183"/>
        <v>332.68125000000003</v>
      </c>
      <c r="AO1459" s="4">
        <f t="shared" si="184"/>
        <v>369.60886875000006</v>
      </c>
      <c r="AP1459" s="4">
        <f t="shared" si="185"/>
        <v>538.91035687500005</v>
      </c>
      <c r="AQ1459" s="10">
        <f t="shared" si="186"/>
        <v>369.38484000000005</v>
      </c>
      <c r="AR1459" s="10">
        <f t="shared" si="187"/>
        <v>410.42349572400008</v>
      </c>
      <c r="AS1459" s="10">
        <f t="shared" si="188"/>
        <v>575.05831891200012</v>
      </c>
    </row>
    <row r="1460" spans="1:45" x14ac:dyDescent="0.3">
      <c r="A1460">
        <v>2025</v>
      </c>
      <c r="B1460">
        <v>6</v>
      </c>
      <c r="C1460" t="s">
        <v>55</v>
      </c>
      <c r="D1460">
        <v>10</v>
      </c>
      <c r="E1460" t="s">
        <v>36</v>
      </c>
      <c r="F1460" t="s">
        <v>37</v>
      </c>
      <c r="G1460" t="s">
        <v>38</v>
      </c>
      <c r="H1460" t="s">
        <v>206</v>
      </c>
      <c r="I1460" t="s">
        <v>190</v>
      </c>
      <c r="J1460" t="s">
        <v>58</v>
      </c>
      <c r="K1460" t="s">
        <v>59</v>
      </c>
      <c r="M1460" t="s">
        <v>730</v>
      </c>
      <c r="N1460" t="s">
        <v>731</v>
      </c>
      <c r="O1460" t="s">
        <v>36</v>
      </c>
      <c r="Q1460" t="s">
        <v>62</v>
      </c>
      <c r="R1460" t="s">
        <v>732</v>
      </c>
      <c r="S1460" t="s">
        <v>732</v>
      </c>
      <c r="T1460" t="s">
        <v>47</v>
      </c>
      <c r="U1460" t="s">
        <v>476</v>
      </c>
      <c r="V1460" t="s">
        <v>49</v>
      </c>
      <c r="W1460" t="s">
        <v>708</v>
      </c>
      <c r="X1460" t="s">
        <v>686</v>
      </c>
      <c r="Y1460" t="s">
        <v>207</v>
      </c>
      <c r="Z1460" t="s">
        <v>207</v>
      </c>
      <c r="AA1460" t="s">
        <v>811</v>
      </c>
      <c r="AB1460" s="3">
        <f t="shared" si="181"/>
        <v>1</v>
      </c>
      <c r="AC1460">
        <v>177.37</v>
      </c>
      <c r="AD1460" s="2">
        <v>177.37</v>
      </c>
      <c r="AE1460" s="2">
        <v>33.43</v>
      </c>
      <c r="AF1460" s="2">
        <v>1.17</v>
      </c>
      <c r="AG1460" s="2">
        <v>211.98</v>
      </c>
      <c r="AH1460">
        <v>0</v>
      </c>
      <c r="AI1460">
        <v>211.98</v>
      </c>
      <c r="AJ1460">
        <v>1.0599000000000001</v>
      </c>
      <c r="AK1460" t="s">
        <v>54</v>
      </c>
      <c r="AL1460">
        <v>1.27</v>
      </c>
      <c r="AM1460" s="4">
        <f t="shared" si="182"/>
        <v>211.98</v>
      </c>
      <c r="AN1460" s="4">
        <f t="shared" si="183"/>
        <v>332.56875000000002</v>
      </c>
      <c r="AO1460" s="4">
        <f t="shared" si="184"/>
        <v>369.48388125000002</v>
      </c>
      <c r="AP1460" s="4">
        <f t="shared" si="185"/>
        <v>538.72811812500004</v>
      </c>
      <c r="AQ1460" s="10">
        <f t="shared" si="186"/>
        <v>368.65441800000002</v>
      </c>
      <c r="AR1460" s="10">
        <f t="shared" si="187"/>
        <v>409.6119238398</v>
      </c>
      <c r="AS1460" s="10">
        <f t="shared" si="188"/>
        <v>573.9211979424</v>
      </c>
    </row>
    <row r="1461" spans="1:45" x14ac:dyDescent="0.3">
      <c r="A1461">
        <v>2025</v>
      </c>
      <c r="B1461">
        <v>6</v>
      </c>
      <c r="C1461" t="s">
        <v>55</v>
      </c>
      <c r="D1461">
        <v>10</v>
      </c>
      <c r="E1461" t="s">
        <v>36</v>
      </c>
      <c r="F1461" t="s">
        <v>37</v>
      </c>
      <c r="G1461" t="s">
        <v>38</v>
      </c>
      <c r="H1461" t="s">
        <v>206</v>
      </c>
      <c r="I1461" t="s">
        <v>190</v>
      </c>
      <c r="J1461" t="s">
        <v>58</v>
      </c>
      <c r="K1461" t="s">
        <v>59</v>
      </c>
      <c r="M1461" t="s">
        <v>730</v>
      </c>
      <c r="N1461" t="s">
        <v>731</v>
      </c>
      <c r="O1461" t="s">
        <v>36</v>
      </c>
      <c r="Q1461" t="s">
        <v>62</v>
      </c>
      <c r="R1461" t="s">
        <v>732</v>
      </c>
      <c r="S1461" t="s">
        <v>732</v>
      </c>
      <c r="T1461" t="s">
        <v>47</v>
      </c>
      <c r="U1461" t="s">
        <v>476</v>
      </c>
      <c r="V1461" t="s">
        <v>49</v>
      </c>
      <c r="W1461" t="s">
        <v>708</v>
      </c>
      <c r="X1461" t="s">
        <v>686</v>
      </c>
      <c r="Y1461" t="s">
        <v>207</v>
      </c>
      <c r="Z1461" t="s">
        <v>207</v>
      </c>
      <c r="AA1461" t="s">
        <v>811</v>
      </c>
      <c r="AB1461" s="3">
        <f t="shared" si="181"/>
        <v>1</v>
      </c>
      <c r="AC1461">
        <v>177.43</v>
      </c>
      <c r="AD1461" s="2">
        <v>177.43</v>
      </c>
      <c r="AE1461" s="2">
        <v>33.43</v>
      </c>
      <c r="AF1461" s="2">
        <v>1.17</v>
      </c>
      <c r="AG1461" s="2">
        <v>212.4</v>
      </c>
      <c r="AH1461">
        <v>0</v>
      </c>
      <c r="AI1461">
        <v>212.4</v>
      </c>
      <c r="AJ1461">
        <v>1.0620000000000001</v>
      </c>
      <c r="AK1461" t="s">
        <v>54</v>
      </c>
      <c r="AL1461">
        <v>1.27</v>
      </c>
      <c r="AM1461" s="4">
        <f t="shared" si="182"/>
        <v>212.4</v>
      </c>
      <c r="AN1461" s="4">
        <f t="shared" si="183"/>
        <v>332.68125000000003</v>
      </c>
      <c r="AO1461" s="4">
        <f t="shared" si="184"/>
        <v>369.60886875000006</v>
      </c>
      <c r="AP1461" s="4">
        <f t="shared" si="185"/>
        <v>538.91035687500005</v>
      </c>
      <c r="AQ1461" s="10">
        <f t="shared" si="186"/>
        <v>369.38484000000005</v>
      </c>
      <c r="AR1461" s="10">
        <f t="shared" si="187"/>
        <v>410.42349572400008</v>
      </c>
      <c r="AS1461" s="10">
        <f t="shared" si="188"/>
        <v>575.05831891200012</v>
      </c>
    </row>
    <row r="1462" spans="1:45" x14ac:dyDescent="0.3">
      <c r="A1462">
        <v>2025</v>
      </c>
      <c r="B1462">
        <v>6</v>
      </c>
      <c r="C1462" t="s">
        <v>55</v>
      </c>
      <c r="D1462">
        <v>10</v>
      </c>
      <c r="E1462" t="s">
        <v>36</v>
      </c>
      <c r="F1462" t="s">
        <v>37</v>
      </c>
      <c r="G1462" t="s">
        <v>38</v>
      </c>
      <c r="H1462" t="s">
        <v>206</v>
      </c>
      <c r="I1462" t="s">
        <v>190</v>
      </c>
      <c r="J1462" t="s">
        <v>58</v>
      </c>
      <c r="K1462" t="s">
        <v>59</v>
      </c>
      <c r="M1462" t="s">
        <v>730</v>
      </c>
      <c r="N1462" t="s">
        <v>731</v>
      </c>
      <c r="O1462" t="s">
        <v>36</v>
      </c>
      <c r="Q1462" t="s">
        <v>62</v>
      </c>
      <c r="R1462" t="s">
        <v>732</v>
      </c>
      <c r="S1462" t="s">
        <v>732</v>
      </c>
      <c r="T1462" t="s">
        <v>47</v>
      </c>
      <c r="U1462" t="s">
        <v>476</v>
      </c>
      <c r="V1462" t="s">
        <v>49</v>
      </c>
      <c r="W1462" t="s">
        <v>708</v>
      </c>
      <c r="X1462" t="s">
        <v>686</v>
      </c>
      <c r="Y1462" t="s">
        <v>207</v>
      </c>
      <c r="Z1462" t="s">
        <v>207</v>
      </c>
      <c r="AA1462" t="s">
        <v>811</v>
      </c>
      <c r="AB1462" s="3">
        <f t="shared" si="181"/>
        <v>1</v>
      </c>
      <c r="AC1462">
        <v>177.42</v>
      </c>
      <c r="AD1462" s="2">
        <v>177.42</v>
      </c>
      <c r="AE1462" s="2">
        <v>33.43</v>
      </c>
      <c r="AF1462" s="2">
        <v>1.17</v>
      </c>
      <c r="AG1462" s="2">
        <v>212.3</v>
      </c>
      <c r="AH1462">
        <v>0</v>
      </c>
      <c r="AI1462">
        <v>212.3</v>
      </c>
      <c r="AJ1462">
        <v>1.0615000000000001</v>
      </c>
      <c r="AK1462" t="s">
        <v>54</v>
      </c>
      <c r="AL1462">
        <v>1.27</v>
      </c>
      <c r="AM1462" s="4">
        <f t="shared" si="182"/>
        <v>212.3</v>
      </c>
      <c r="AN1462" s="4">
        <f t="shared" si="183"/>
        <v>332.66249999999997</v>
      </c>
      <c r="AO1462" s="4">
        <f t="shared" si="184"/>
        <v>369.58803749999998</v>
      </c>
      <c r="AP1462" s="4">
        <f t="shared" si="185"/>
        <v>538.87998374999995</v>
      </c>
      <c r="AQ1462" s="10">
        <f t="shared" si="186"/>
        <v>369.21093000000002</v>
      </c>
      <c r="AR1462" s="10">
        <f t="shared" si="187"/>
        <v>410.23026432300003</v>
      </c>
      <c r="AS1462" s="10">
        <f t="shared" si="188"/>
        <v>574.78757582399999</v>
      </c>
    </row>
    <row r="1463" spans="1:45" x14ac:dyDescent="0.3">
      <c r="A1463">
        <v>2025</v>
      </c>
      <c r="B1463">
        <v>6</v>
      </c>
      <c r="C1463" t="s">
        <v>55</v>
      </c>
      <c r="D1463">
        <v>10</v>
      </c>
      <c r="E1463" t="s">
        <v>36</v>
      </c>
      <c r="F1463" t="s">
        <v>37</v>
      </c>
      <c r="G1463" t="s">
        <v>38</v>
      </c>
      <c r="H1463" t="s">
        <v>206</v>
      </c>
      <c r="I1463" t="s">
        <v>190</v>
      </c>
      <c r="J1463" t="s">
        <v>58</v>
      </c>
      <c r="K1463" t="s">
        <v>59</v>
      </c>
      <c r="M1463" t="s">
        <v>730</v>
      </c>
      <c r="N1463" t="s">
        <v>731</v>
      </c>
      <c r="O1463" t="s">
        <v>36</v>
      </c>
      <c r="Q1463" t="s">
        <v>62</v>
      </c>
      <c r="R1463" t="s">
        <v>732</v>
      </c>
      <c r="S1463" t="s">
        <v>732</v>
      </c>
      <c r="T1463" t="s">
        <v>47</v>
      </c>
      <c r="U1463" t="s">
        <v>476</v>
      </c>
      <c r="V1463" t="s">
        <v>49</v>
      </c>
      <c r="W1463" t="s">
        <v>708</v>
      </c>
      <c r="X1463" t="s">
        <v>686</v>
      </c>
      <c r="Y1463" t="s">
        <v>207</v>
      </c>
      <c r="Z1463" t="s">
        <v>207</v>
      </c>
      <c r="AA1463" t="s">
        <v>811</v>
      </c>
      <c r="AB1463" s="3">
        <f t="shared" si="181"/>
        <v>1</v>
      </c>
      <c r="AC1463">
        <v>177.43</v>
      </c>
      <c r="AD1463" s="2">
        <v>177.43</v>
      </c>
      <c r="AE1463" s="2">
        <v>33.43</v>
      </c>
      <c r="AF1463" s="2">
        <v>1.17</v>
      </c>
      <c r="AG1463" s="2">
        <v>212.4</v>
      </c>
      <c r="AH1463">
        <v>0</v>
      </c>
      <c r="AI1463">
        <v>212.4</v>
      </c>
      <c r="AJ1463">
        <v>1.0620000000000001</v>
      </c>
      <c r="AK1463" t="s">
        <v>54</v>
      </c>
      <c r="AL1463">
        <v>1.27</v>
      </c>
      <c r="AM1463" s="4">
        <f t="shared" si="182"/>
        <v>212.4</v>
      </c>
      <c r="AN1463" s="4">
        <f t="shared" si="183"/>
        <v>332.68125000000003</v>
      </c>
      <c r="AO1463" s="4">
        <f t="shared" si="184"/>
        <v>369.60886875000006</v>
      </c>
      <c r="AP1463" s="4">
        <f t="shared" si="185"/>
        <v>538.91035687500005</v>
      </c>
      <c r="AQ1463" s="10">
        <f t="shared" si="186"/>
        <v>369.38484000000005</v>
      </c>
      <c r="AR1463" s="10">
        <f t="shared" si="187"/>
        <v>410.42349572400008</v>
      </c>
      <c r="AS1463" s="10">
        <f t="shared" si="188"/>
        <v>575.05831891200012</v>
      </c>
    </row>
    <row r="1464" spans="1:45" x14ac:dyDescent="0.3">
      <c r="A1464">
        <v>2025</v>
      </c>
      <c r="B1464">
        <v>6</v>
      </c>
      <c r="C1464" t="s">
        <v>55</v>
      </c>
      <c r="D1464">
        <v>10</v>
      </c>
      <c r="E1464" t="s">
        <v>36</v>
      </c>
      <c r="F1464" t="s">
        <v>37</v>
      </c>
      <c r="G1464" t="s">
        <v>38</v>
      </c>
      <c r="H1464" t="s">
        <v>206</v>
      </c>
      <c r="I1464" t="s">
        <v>190</v>
      </c>
      <c r="J1464" t="s">
        <v>58</v>
      </c>
      <c r="K1464" t="s">
        <v>59</v>
      </c>
      <c r="M1464" t="s">
        <v>730</v>
      </c>
      <c r="N1464" t="s">
        <v>731</v>
      </c>
      <c r="O1464" t="s">
        <v>36</v>
      </c>
      <c r="Q1464" t="s">
        <v>62</v>
      </c>
      <c r="R1464" t="s">
        <v>732</v>
      </c>
      <c r="S1464" t="s">
        <v>732</v>
      </c>
      <c r="T1464" t="s">
        <v>47</v>
      </c>
      <c r="U1464" t="s">
        <v>476</v>
      </c>
      <c r="V1464" t="s">
        <v>49</v>
      </c>
      <c r="W1464" t="s">
        <v>708</v>
      </c>
      <c r="X1464" t="s">
        <v>686</v>
      </c>
      <c r="Y1464" t="s">
        <v>207</v>
      </c>
      <c r="Z1464" t="s">
        <v>207</v>
      </c>
      <c r="AA1464" t="s">
        <v>811</v>
      </c>
      <c r="AB1464" s="3">
        <f t="shared" si="181"/>
        <v>1</v>
      </c>
      <c r="AC1464">
        <v>177.43</v>
      </c>
      <c r="AD1464" s="2">
        <v>177.43</v>
      </c>
      <c r="AE1464" s="2">
        <v>33.43</v>
      </c>
      <c r="AF1464" s="2">
        <v>1.1599999999999999</v>
      </c>
      <c r="AG1464" s="2">
        <v>212.2</v>
      </c>
      <c r="AH1464">
        <v>0</v>
      </c>
      <c r="AI1464">
        <v>212.2</v>
      </c>
      <c r="AJ1464">
        <v>1.0609999999999999</v>
      </c>
      <c r="AK1464" t="s">
        <v>54</v>
      </c>
      <c r="AL1464">
        <v>1.27</v>
      </c>
      <c r="AM1464" s="4">
        <f t="shared" si="182"/>
        <v>212.2</v>
      </c>
      <c r="AN1464" s="4">
        <f t="shared" si="183"/>
        <v>332.68125000000003</v>
      </c>
      <c r="AO1464" s="4">
        <f t="shared" si="184"/>
        <v>369.60886875000006</v>
      </c>
      <c r="AP1464" s="4">
        <f t="shared" si="185"/>
        <v>538.91035687500005</v>
      </c>
      <c r="AQ1464" s="10">
        <f t="shared" si="186"/>
        <v>369.03701999999998</v>
      </c>
      <c r="AR1464" s="10">
        <f t="shared" si="187"/>
        <v>410.03703292199998</v>
      </c>
      <c r="AS1464" s="10">
        <f t="shared" si="188"/>
        <v>574.51683273599997</v>
      </c>
    </row>
    <row r="1465" spans="1:45" x14ac:dyDescent="0.3">
      <c r="A1465">
        <v>2025</v>
      </c>
      <c r="B1465">
        <v>6</v>
      </c>
      <c r="C1465" t="s">
        <v>55</v>
      </c>
      <c r="D1465">
        <v>10</v>
      </c>
      <c r="E1465" t="s">
        <v>36</v>
      </c>
      <c r="F1465" t="s">
        <v>37</v>
      </c>
      <c r="G1465" t="s">
        <v>38</v>
      </c>
      <c r="H1465" t="s">
        <v>206</v>
      </c>
      <c r="I1465" t="s">
        <v>190</v>
      </c>
      <c r="J1465" t="s">
        <v>58</v>
      </c>
      <c r="K1465" t="s">
        <v>59</v>
      </c>
      <c r="M1465" t="s">
        <v>730</v>
      </c>
      <c r="N1465" t="s">
        <v>731</v>
      </c>
      <c r="O1465" t="s">
        <v>36</v>
      </c>
      <c r="Q1465" t="s">
        <v>62</v>
      </c>
      <c r="R1465" t="s">
        <v>732</v>
      </c>
      <c r="S1465" t="s">
        <v>732</v>
      </c>
      <c r="T1465" t="s">
        <v>47</v>
      </c>
      <c r="U1465" t="s">
        <v>476</v>
      </c>
      <c r="V1465" t="s">
        <v>49</v>
      </c>
      <c r="W1465" t="s">
        <v>708</v>
      </c>
      <c r="X1465" t="s">
        <v>686</v>
      </c>
      <c r="Y1465" t="s">
        <v>207</v>
      </c>
      <c r="Z1465" t="s">
        <v>207</v>
      </c>
      <c r="AA1465" t="s">
        <v>811</v>
      </c>
      <c r="AB1465" s="3">
        <f t="shared" si="181"/>
        <v>1</v>
      </c>
      <c r="AC1465">
        <v>177.43</v>
      </c>
      <c r="AD1465" s="2">
        <v>177.43</v>
      </c>
      <c r="AE1465" s="2">
        <v>33.43</v>
      </c>
      <c r="AF1465" s="2">
        <v>1.17</v>
      </c>
      <c r="AG1465" s="2">
        <v>212.4</v>
      </c>
      <c r="AH1465">
        <v>0</v>
      </c>
      <c r="AI1465">
        <v>212.4</v>
      </c>
      <c r="AJ1465">
        <v>1.0620000000000001</v>
      </c>
      <c r="AK1465" t="s">
        <v>54</v>
      </c>
      <c r="AL1465">
        <v>1.27</v>
      </c>
      <c r="AM1465" s="4">
        <f t="shared" si="182"/>
        <v>212.4</v>
      </c>
      <c r="AN1465" s="4">
        <f t="shared" si="183"/>
        <v>332.68125000000003</v>
      </c>
      <c r="AO1465" s="4">
        <f t="shared" si="184"/>
        <v>369.60886875000006</v>
      </c>
      <c r="AP1465" s="4">
        <f t="shared" si="185"/>
        <v>538.91035687500005</v>
      </c>
      <c r="AQ1465" s="10">
        <f t="shared" si="186"/>
        <v>369.38484000000005</v>
      </c>
      <c r="AR1465" s="10">
        <f t="shared" si="187"/>
        <v>410.42349572400008</v>
      </c>
      <c r="AS1465" s="10">
        <f t="shared" si="188"/>
        <v>575.05831891200012</v>
      </c>
    </row>
    <row r="1466" spans="1:45" x14ac:dyDescent="0.3">
      <c r="A1466">
        <v>2025</v>
      </c>
      <c r="B1466">
        <v>6</v>
      </c>
      <c r="C1466" t="s">
        <v>55</v>
      </c>
      <c r="D1466">
        <v>10</v>
      </c>
      <c r="E1466" t="s">
        <v>36</v>
      </c>
      <c r="F1466" t="s">
        <v>37</v>
      </c>
      <c r="G1466" t="s">
        <v>38</v>
      </c>
      <c r="H1466" t="s">
        <v>206</v>
      </c>
      <c r="I1466" t="s">
        <v>190</v>
      </c>
      <c r="J1466" t="s">
        <v>58</v>
      </c>
      <c r="K1466" t="s">
        <v>59</v>
      </c>
      <c r="M1466" t="s">
        <v>730</v>
      </c>
      <c r="N1466" t="s">
        <v>731</v>
      </c>
      <c r="O1466" t="s">
        <v>36</v>
      </c>
      <c r="Q1466" t="s">
        <v>62</v>
      </c>
      <c r="R1466" t="s">
        <v>732</v>
      </c>
      <c r="S1466" t="s">
        <v>732</v>
      </c>
      <c r="T1466" t="s">
        <v>47</v>
      </c>
      <c r="U1466" t="s">
        <v>476</v>
      </c>
      <c r="V1466" t="s">
        <v>49</v>
      </c>
      <c r="W1466" t="s">
        <v>708</v>
      </c>
      <c r="X1466" t="s">
        <v>686</v>
      </c>
      <c r="Y1466" t="s">
        <v>207</v>
      </c>
      <c r="Z1466" t="s">
        <v>207</v>
      </c>
      <c r="AA1466" t="s">
        <v>811</v>
      </c>
      <c r="AB1466" s="3">
        <f t="shared" si="181"/>
        <v>1</v>
      </c>
      <c r="AC1466">
        <v>177.43</v>
      </c>
      <c r="AD1466" s="2">
        <v>177.43</v>
      </c>
      <c r="AE1466" s="2">
        <v>33.43</v>
      </c>
      <c r="AF1466" s="2">
        <v>1.17</v>
      </c>
      <c r="AG1466" s="2">
        <v>212.4</v>
      </c>
      <c r="AH1466">
        <v>0</v>
      </c>
      <c r="AI1466">
        <v>212.4</v>
      </c>
      <c r="AJ1466">
        <v>1.0620000000000001</v>
      </c>
      <c r="AK1466" t="s">
        <v>54</v>
      </c>
      <c r="AL1466">
        <v>1.27</v>
      </c>
      <c r="AM1466" s="4">
        <f t="shared" si="182"/>
        <v>212.4</v>
      </c>
      <c r="AN1466" s="4">
        <f t="shared" si="183"/>
        <v>332.68125000000003</v>
      </c>
      <c r="AO1466" s="4">
        <f t="shared" si="184"/>
        <v>369.60886875000006</v>
      </c>
      <c r="AP1466" s="4">
        <f t="shared" si="185"/>
        <v>538.91035687500005</v>
      </c>
      <c r="AQ1466" s="10">
        <f t="shared" si="186"/>
        <v>369.38484000000005</v>
      </c>
      <c r="AR1466" s="10">
        <f t="shared" si="187"/>
        <v>410.42349572400008</v>
      </c>
      <c r="AS1466" s="10">
        <f t="shared" si="188"/>
        <v>575.05831891200012</v>
      </c>
    </row>
    <row r="1467" spans="1:45" x14ac:dyDescent="0.3">
      <c r="A1467">
        <v>2025</v>
      </c>
      <c r="B1467">
        <v>6</v>
      </c>
      <c r="C1467" t="s">
        <v>55</v>
      </c>
      <c r="D1467">
        <v>10</v>
      </c>
      <c r="E1467" t="s">
        <v>36</v>
      </c>
      <c r="F1467" t="s">
        <v>37</v>
      </c>
      <c r="G1467" t="s">
        <v>38</v>
      </c>
      <c r="H1467" t="s">
        <v>206</v>
      </c>
      <c r="I1467" t="s">
        <v>190</v>
      </c>
      <c r="J1467" t="s">
        <v>58</v>
      </c>
      <c r="K1467" t="s">
        <v>59</v>
      </c>
      <c r="M1467" t="s">
        <v>730</v>
      </c>
      <c r="N1467" t="s">
        <v>731</v>
      </c>
      <c r="O1467" t="s">
        <v>36</v>
      </c>
      <c r="Q1467" t="s">
        <v>62</v>
      </c>
      <c r="R1467" t="s">
        <v>732</v>
      </c>
      <c r="S1467" t="s">
        <v>732</v>
      </c>
      <c r="T1467" t="s">
        <v>47</v>
      </c>
      <c r="U1467" t="s">
        <v>476</v>
      </c>
      <c r="V1467" t="s">
        <v>49</v>
      </c>
      <c r="W1467" t="s">
        <v>708</v>
      </c>
      <c r="X1467" t="s">
        <v>686</v>
      </c>
      <c r="Y1467" t="s">
        <v>207</v>
      </c>
      <c r="Z1467" t="s">
        <v>207</v>
      </c>
      <c r="AA1467" t="s">
        <v>811</v>
      </c>
      <c r="AB1467" s="3">
        <f t="shared" si="181"/>
        <v>1</v>
      </c>
      <c r="AC1467">
        <v>177.43</v>
      </c>
      <c r="AD1467" s="2">
        <v>177.43</v>
      </c>
      <c r="AE1467" s="2">
        <v>33.43</v>
      </c>
      <c r="AF1467" s="2">
        <v>1.17</v>
      </c>
      <c r="AG1467" s="2">
        <v>212.4</v>
      </c>
      <c r="AH1467">
        <v>0</v>
      </c>
      <c r="AI1467">
        <v>212.4</v>
      </c>
      <c r="AJ1467">
        <v>1.0620000000000001</v>
      </c>
      <c r="AK1467" t="s">
        <v>54</v>
      </c>
      <c r="AL1467">
        <v>1.27</v>
      </c>
      <c r="AM1467" s="4">
        <f t="shared" si="182"/>
        <v>212.4</v>
      </c>
      <c r="AN1467" s="4">
        <f t="shared" si="183"/>
        <v>332.68125000000003</v>
      </c>
      <c r="AO1467" s="4">
        <f t="shared" si="184"/>
        <v>369.60886875000006</v>
      </c>
      <c r="AP1467" s="4">
        <f t="shared" si="185"/>
        <v>538.91035687500005</v>
      </c>
      <c r="AQ1467" s="10">
        <f t="shared" si="186"/>
        <v>369.38484000000005</v>
      </c>
      <c r="AR1467" s="10">
        <f t="shared" si="187"/>
        <v>410.42349572400008</v>
      </c>
      <c r="AS1467" s="10">
        <f t="shared" si="188"/>
        <v>575.05831891200012</v>
      </c>
    </row>
    <row r="1468" spans="1:45" x14ac:dyDescent="0.3">
      <c r="A1468">
        <v>2025</v>
      </c>
      <c r="B1468">
        <v>6</v>
      </c>
      <c r="C1468" t="s">
        <v>55</v>
      </c>
      <c r="D1468">
        <v>10</v>
      </c>
      <c r="E1468" t="s">
        <v>36</v>
      </c>
      <c r="F1468" t="s">
        <v>37</v>
      </c>
      <c r="G1468" t="s">
        <v>38</v>
      </c>
      <c r="H1468" t="s">
        <v>206</v>
      </c>
      <c r="I1468" t="s">
        <v>190</v>
      </c>
      <c r="J1468" t="s">
        <v>58</v>
      </c>
      <c r="K1468" t="s">
        <v>59</v>
      </c>
      <c r="M1468" t="s">
        <v>730</v>
      </c>
      <c r="N1468" t="s">
        <v>731</v>
      </c>
      <c r="O1468" t="s">
        <v>36</v>
      </c>
      <c r="Q1468" t="s">
        <v>62</v>
      </c>
      <c r="R1468" t="s">
        <v>732</v>
      </c>
      <c r="S1468" t="s">
        <v>732</v>
      </c>
      <c r="T1468" t="s">
        <v>47</v>
      </c>
      <c r="U1468" t="s">
        <v>476</v>
      </c>
      <c r="V1468" t="s">
        <v>49</v>
      </c>
      <c r="W1468" t="s">
        <v>708</v>
      </c>
      <c r="X1468" t="s">
        <v>686</v>
      </c>
      <c r="Y1468" t="s">
        <v>207</v>
      </c>
      <c r="Z1468" t="s">
        <v>207</v>
      </c>
      <c r="AA1468" t="s">
        <v>811</v>
      </c>
      <c r="AB1468" s="3">
        <f t="shared" si="181"/>
        <v>1</v>
      </c>
      <c r="AC1468">
        <v>177.43</v>
      </c>
      <c r="AD1468" s="2">
        <v>177.43</v>
      </c>
      <c r="AE1468" s="2">
        <v>33.43</v>
      </c>
      <c r="AF1468" s="2">
        <v>1.17</v>
      </c>
      <c r="AG1468" s="2">
        <v>212.4</v>
      </c>
      <c r="AH1468">
        <v>0</v>
      </c>
      <c r="AI1468">
        <v>212.4</v>
      </c>
      <c r="AJ1468">
        <v>1.0620000000000001</v>
      </c>
      <c r="AK1468" t="s">
        <v>54</v>
      </c>
      <c r="AL1468">
        <v>1.27</v>
      </c>
      <c r="AM1468" s="4">
        <f t="shared" si="182"/>
        <v>212.4</v>
      </c>
      <c r="AN1468" s="4">
        <f t="shared" si="183"/>
        <v>332.68125000000003</v>
      </c>
      <c r="AO1468" s="4">
        <f t="shared" si="184"/>
        <v>369.60886875000006</v>
      </c>
      <c r="AP1468" s="4">
        <f t="shared" si="185"/>
        <v>538.91035687500005</v>
      </c>
      <c r="AQ1468" s="10">
        <f t="shared" si="186"/>
        <v>369.38484000000005</v>
      </c>
      <c r="AR1468" s="10">
        <f t="shared" si="187"/>
        <v>410.42349572400008</v>
      </c>
      <c r="AS1468" s="10">
        <f t="shared" si="188"/>
        <v>575.05831891200012</v>
      </c>
    </row>
    <row r="1469" spans="1:45" x14ac:dyDescent="0.3">
      <c r="A1469">
        <v>2025</v>
      </c>
      <c r="B1469">
        <v>1</v>
      </c>
      <c r="C1469" t="s">
        <v>55</v>
      </c>
      <c r="D1469">
        <v>10</v>
      </c>
      <c r="E1469" t="s">
        <v>36</v>
      </c>
      <c r="F1469" t="s">
        <v>37</v>
      </c>
      <c r="G1469" t="s">
        <v>38</v>
      </c>
      <c r="H1469" t="s">
        <v>101</v>
      </c>
      <c r="I1469" t="s">
        <v>57</v>
      </c>
      <c r="J1469" t="s">
        <v>58</v>
      </c>
      <c r="K1469" t="s">
        <v>59</v>
      </c>
      <c r="M1469" t="s">
        <v>60</v>
      </c>
      <c r="N1469" t="s">
        <v>61</v>
      </c>
      <c r="O1469" t="s">
        <v>43</v>
      </c>
      <c r="Q1469" t="s">
        <v>62</v>
      </c>
      <c r="R1469" t="s">
        <v>63</v>
      </c>
      <c r="S1469" t="s">
        <v>63</v>
      </c>
      <c r="T1469" t="s">
        <v>47</v>
      </c>
      <c r="U1469" t="s">
        <v>157</v>
      </c>
      <c r="V1469" t="s">
        <v>49</v>
      </c>
      <c r="W1469" t="s">
        <v>158</v>
      </c>
      <c r="X1469" t="s">
        <v>51</v>
      </c>
      <c r="Y1469" t="s">
        <v>207</v>
      </c>
      <c r="Z1469" t="s">
        <v>207</v>
      </c>
      <c r="AA1469" t="s">
        <v>811</v>
      </c>
      <c r="AB1469" s="3">
        <f t="shared" si="181"/>
        <v>1</v>
      </c>
      <c r="AC1469">
        <v>177.43</v>
      </c>
      <c r="AD1469" s="2">
        <v>177.43</v>
      </c>
      <c r="AE1469" s="2">
        <v>33.43</v>
      </c>
      <c r="AF1469" s="2">
        <v>1.17</v>
      </c>
      <c r="AG1469" s="2">
        <v>212.4</v>
      </c>
      <c r="AH1469">
        <v>0</v>
      </c>
      <c r="AI1469">
        <v>212.4</v>
      </c>
      <c r="AJ1469">
        <v>1.0620000000000001</v>
      </c>
      <c r="AK1469" t="s">
        <v>54</v>
      </c>
      <c r="AL1469">
        <v>1.27</v>
      </c>
      <c r="AM1469" s="4">
        <f t="shared" si="182"/>
        <v>212.4</v>
      </c>
      <c r="AN1469" s="4">
        <f t="shared" si="183"/>
        <v>332.68125000000003</v>
      </c>
      <c r="AO1469" s="4">
        <f t="shared" si="184"/>
        <v>369.60886875000006</v>
      </c>
      <c r="AP1469" s="4">
        <f t="shared" si="185"/>
        <v>538.91035687500005</v>
      </c>
      <c r="AQ1469" s="10">
        <f t="shared" si="186"/>
        <v>369.38484000000005</v>
      </c>
      <c r="AR1469" s="10">
        <f t="shared" si="187"/>
        <v>410.42349572400008</v>
      </c>
      <c r="AS1469" s="10">
        <f t="shared" si="188"/>
        <v>575.05831891200012</v>
      </c>
    </row>
    <row r="1470" spans="1:45" x14ac:dyDescent="0.3">
      <c r="A1470">
        <v>2025</v>
      </c>
      <c r="B1470">
        <v>5</v>
      </c>
      <c r="C1470" t="s">
        <v>35</v>
      </c>
      <c r="D1470">
        <v>10</v>
      </c>
      <c r="E1470" t="s">
        <v>36</v>
      </c>
      <c r="F1470" t="s">
        <v>37</v>
      </c>
      <c r="G1470" t="s">
        <v>38</v>
      </c>
      <c r="H1470" t="s">
        <v>101</v>
      </c>
      <c r="I1470" t="s">
        <v>190</v>
      </c>
      <c r="J1470" t="s">
        <v>40</v>
      </c>
      <c r="K1470" t="s">
        <v>59</v>
      </c>
      <c r="M1470">
        <v>442514</v>
      </c>
      <c r="N1470" t="s">
        <v>693</v>
      </c>
      <c r="O1470" t="s">
        <v>36</v>
      </c>
      <c r="P1470" t="s">
        <v>694</v>
      </c>
      <c r="Q1470" t="s">
        <v>44</v>
      </c>
      <c r="R1470" t="s">
        <v>695</v>
      </c>
      <c r="S1470" t="s">
        <v>696</v>
      </c>
      <c r="T1470" t="s">
        <v>47</v>
      </c>
      <c r="U1470" t="s">
        <v>258</v>
      </c>
      <c r="V1470" t="s">
        <v>49</v>
      </c>
      <c r="W1470" t="s">
        <v>705</v>
      </c>
      <c r="X1470" t="s">
        <v>51</v>
      </c>
      <c r="Y1470" t="s">
        <v>161</v>
      </c>
      <c r="Z1470" t="s">
        <v>64</v>
      </c>
      <c r="AA1470" t="s">
        <v>162</v>
      </c>
      <c r="AB1470" s="3">
        <f t="shared" si="181"/>
        <v>1</v>
      </c>
      <c r="AC1470">
        <v>189.14</v>
      </c>
      <c r="AD1470" s="2">
        <v>189.14</v>
      </c>
      <c r="AE1470" s="2">
        <v>45.44</v>
      </c>
      <c r="AF1470" s="2">
        <v>1.31</v>
      </c>
      <c r="AG1470" s="2">
        <v>235.89</v>
      </c>
      <c r="AH1470">
        <v>0</v>
      </c>
      <c r="AI1470">
        <v>235.89</v>
      </c>
      <c r="AJ1470">
        <v>1.1794500000000001</v>
      </c>
      <c r="AK1470" t="s">
        <v>54</v>
      </c>
      <c r="AL1470">
        <v>3.01</v>
      </c>
      <c r="AM1470" s="4">
        <f t="shared" si="182"/>
        <v>235.89</v>
      </c>
      <c r="AN1470" s="4">
        <f t="shared" si="183"/>
        <v>354.63749999999999</v>
      </c>
      <c r="AO1470" s="4">
        <f t="shared" si="184"/>
        <v>394.00226249999997</v>
      </c>
      <c r="AP1470" s="4">
        <f t="shared" si="185"/>
        <v>574.47728624999991</v>
      </c>
      <c r="AQ1470" s="10">
        <f t="shared" si="186"/>
        <v>410.23629899999997</v>
      </c>
      <c r="AR1470" s="10">
        <f t="shared" si="187"/>
        <v>455.81355181889995</v>
      </c>
      <c r="AS1470" s="10">
        <f t="shared" si="188"/>
        <v>638.65587028319999</v>
      </c>
    </row>
    <row r="1471" spans="1:45" x14ac:dyDescent="0.3">
      <c r="A1471">
        <v>2025</v>
      </c>
      <c r="B1471">
        <v>8</v>
      </c>
      <c r="C1471" t="s">
        <v>35</v>
      </c>
      <c r="D1471">
        <v>10</v>
      </c>
      <c r="E1471" t="s">
        <v>36</v>
      </c>
      <c r="F1471" t="s">
        <v>37</v>
      </c>
      <c r="G1471" t="s">
        <v>38</v>
      </c>
      <c r="H1471" t="s">
        <v>101</v>
      </c>
      <c r="I1471" t="s">
        <v>190</v>
      </c>
      <c r="J1471" t="s">
        <v>40</v>
      </c>
      <c r="K1471" t="s">
        <v>59</v>
      </c>
      <c r="L1471" t="s">
        <v>1292</v>
      </c>
      <c r="M1471">
        <v>454450</v>
      </c>
      <c r="N1471" t="s">
        <v>42</v>
      </c>
      <c r="O1471" t="s">
        <v>1197</v>
      </c>
      <c r="P1471" t="s">
        <v>191</v>
      </c>
      <c r="Q1471" t="s">
        <v>44</v>
      </c>
      <c r="R1471" t="s">
        <v>1035</v>
      </c>
      <c r="S1471" t="s">
        <v>1198</v>
      </c>
      <c r="T1471" t="s">
        <v>47</v>
      </c>
      <c r="U1471" t="s">
        <v>202</v>
      </c>
      <c r="V1471" t="s">
        <v>49</v>
      </c>
      <c r="W1471" t="s">
        <v>1303</v>
      </c>
      <c r="X1471" t="s">
        <v>388</v>
      </c>
      <c r="Y1471" t="s">
        <v>706</v>
      </c>
      <c r="Z1471" t="s">
        <v>706</v>
      </c>
      <c r="AA1471" t="s">
        <v>707</v>
      </c>
      <c r="AB1471" s="3">
        <f t="shared" si="181"/>
        <v>14.000000000000131</v>
      </c>
      <c r="AC1471">
        <v>2138.13</v>
      </c>
      <c r="AD1471" s="2">
        <v>152.72357142857001</v>
      </c>
      <c r="AE1471" s="2">
        <v>225.64</v>
      </c>
      <c r="AF1471" s="2">
        <v>13.7</v>
      </c>
      <c r="AG1471" s="2">
        <v>2376.84</v>
      </c>
      <c r="AH1471">
        <v>0</v>
      </c>
      <c r="AI1471">
        <v>169.77428571428999</v>
      </c>
      <c r="AJ1471">
        <v>11.8842</v>
      </c>
      <c r="AK1471" t="s">
        <v>54</v>
      </c>
      <c r="AL1471">
        <v>618.29</v>
      </c>
      <c r="AM1471" s="4">
        <f t="shared" si="182"/>
        <v>169.77428571428413</v>
      </c>
      <c r="AN1471" s="4">
        <f t="shared" si="183"/>
        <v>286.3566964285688</v>
      </c>
      <c r="AO1471" s="4">
        <f t="shared" si="184"/>
        <v>318.14228973213994</v>
      </c>
      <c r="AP1471" s="4">
        <f t="shared" si="185"/>
        <v>463.86921254463857</v>
      </c>
      <c r="AQ1471" s="10">
        <f t="shared" si="186"/>
        <v>295.25446028571156</v>
      </c>
      <c r="AR1471" s="10">
        <f t="shared" si="187"/>
        <v>328.05723082345412</v>
      </c>
      <c r="AS1471" s="10">
        <f t="shared" si="188"/>
        <v>459.65214377279574</v>
      </c>
    </row>
    <row r="1472" spans="1:45" x14ac:dyDescent="0.3">
      <c r="A1472">
        <v>2025</v>
      </c>
      <c r="B1472">
        <v>2</v>
      </c>
      <c r="C1472" t="s">
        <v>35</v>
      </c>
      <c r="D1472">
        <v>10</v>
      </c>
      <c r="E1472" t="s">
        <v>36</v>
      </c>
      <c r="F1472" t="s">
        <v>37</v>
      </c>
      <c r="G1472" t="s">
        <v>38</v>
      </c>
      <c r="H1472" t="s">
        <v>101</v>
      </c>
      <c r="I1472" t="s">
        <v>190</v>
      </c>
      <c r="J1472" t="s">
        <v>40</v>
      </c>
      <c r="K1472" t="s">
        <v>59</v>
      </c>
      <c r="M1472">
        <v>434264</v>
      </c>
      <c r="N1472" t="s">
        <v>42</v>
      </c>
      <c r="O1472" t="s">
        <v>43</v>
      </c>
      <c r="P1472" t="s">
        <v>191</v>
      </c>
      <c r="Q1472" t="s">
        <v>44</v>
      </c>
      <c r="R1472" t="s">
        <v>192</v>
      </c>
      <c r="S1472" t="s">
        <v>193</v>
      </c>
      <c r="T1472" t="s">
        <v>47</v>
      </c>
      <c r="U1472" t="s">
        <v>202</v>
      </c>
      <c r="V1472" t="s">
        <v>49</v>
      </c>
      <c r="W1472" t="s">
        <v>203</v>
      </c>
      <c r="X1472" t="s">
        <v>51</v>
      </c>
      <c r="Y1472" t="s">
        <v>204</v>
      </c>
      <c r="Z1472" t="s">
        <v>204</v>
      </c>
      <c r="AA1472" t="s">
        <v>1305</v>
      </c>
      <c r="AB1472" s="3">
        <f t="shared" si="181"/>
        <v>1</v>
      </c>
      <c r="AC1472">
        <v>4794.1000000000004</v>
      </c>
      <c r="AD1472" s="2">
        <v>4794.1000000000004</v>
      </c>
      <c r="AE1472" s="2">
        <v>790.66</v>
      </c>
      <c r="AF1472" s="2">
        <v>33.93</v>
      </c>
      <c r="AG1472" s="2">
        <v>5618.61</v>
      </c>
      <c r="AH1472">
        <v>0</v>
      </c>
      <c r="AI1472">
        <v>5618.61</v>
      </c>
      <c r="AJ1472">
        <v>28.093050000000002</v>
      </c>
      <c r="AK1472" t="s">
        <v>54</v>
      </c>
      <c r="AL1472">
        <v>155.66999999999999</v>
      </c>
      <c r="AM1472" s="4">
        <f t="shared" si="182"/>
        <v>5618.61</v>
      </c>
      <c r="AN1472" s="4">
        <f t="shared" si="183"/>
        <v>8988.9375</v>
      </c>
      <c r="AO1472" s="4">
        <f t="shared" si="184"/>
        <v>9986.7095625000002</v>
      </c>
      <c r="AP1472" s="4">
        <f t="shared" si="185"/>
        <v>14561.179856249999</v>
      </c>
      <c r="AQ1472" s="10">
        <f t="shared" si="186"/>
        <v>9771.3246510000008</v>
      </c>
      <c r="AR1472" s="10">
        <f t="shared" si="187"/>
        <v>10856.918819726101</v>
      </c>
      <c r="AS1472" s="10">
        <f t="shared" si="188"/>
        <v>15211.9982166768</v>
      </c>
    </row>
    <row r="1473" spans="1:45" x14ac:dyDescent="0.3">
      <c r="A1473">
        <v>2025</v>
      </c>
      <c r="B1473">
        <v>8</v>
      </c>
      <c r="C1473" t="s">
        <v>35</v>
      </c>
      <c r="D1473">
        <v>10</v>
      </c>
      <c r="E1473" t="s">
        <v>36</v>
      </c>
      <c r="F1473" t="s">
        <v>37</v>
      </c>
      <c r="G1473" t="s">
        <v>38</v>
      </c>
      <c r="H1473" t="s">
        <v>101</v>
      </c>
      <c r="I1473" t="s">
        <v>190</v>
      </c>
      <c r="J1473" t="s">
        <v>40</v>
      </c>
      <c r="K1473" t="s">
        <v>59</v>
      </c>
      <c r="L1473" t="s">
        <v>1292</v>
      </c>
      <c r="M1473">
        <v>454450</v>
      </c>
      <c r="N1473" t="s">
        <v>42</v>
      </c>
      <c r="O1473" t="s">
        <v>1197</v>
      </c>
      <c r="P1473" t="s">
        <v>191</v>
      </c>
      <c r="Q1473" t="s">
        <v>44</v>
      </c>
      <c r="R1473" t="s">
        <v>1035</v>
      </c>
      <c r="S1473" t="s">
        <v>1198</v>
      </c>
      <c r="T1473" t="s">
        <v>47</v>
      </c>
      <c r="U1473" t="s">
        <v>202</v>
      </c>
      <c r="V1473" t="s">
        <v>49</v>
      </c>
      <c r="W1473" t="s">
        <v>1303</v>
      </c>
      <c r="X1473" t="s">
        <v>388</v>
      </c>
      <c r="Y1473" t="s">
        <v>204</v>
      </c>
      <c r="Z1473" t="s">
        <v>204</v>
      </c>
      <c r="AA1473" t="s">
        <v>205</v>
      </c>
      <c r="AB1473" s="3">
        <f t="shared" si="181"/>
        <v>1</v>
      </c>
      <c r="AC1473">
        <v>1089.92</v>
      </c>
      <c r="AD1473" s="2">
        <v>1089.92</v>
      </c>
      <c r="AE1473" s="2">
        <v>56.98</v>
      </c>
      <c r="AF1473" s="2">
        <v>7.22</v>
      </c>
      <c r="AG1473" s="2">
        <v>1154.1199999999999</v>
      </c>
      <c r="AH1473">
        <v>0</v>
      </c>
      <c r="AI1473">
        <v>1154.1199999999999</v>
      </c>
      <c r="AJ1473">
        <v>5.7706</v>
      </c>
      <c r="AK1473" t="s">
        <v>54</v>
      </c>
      <c r="AL1473">
        <v>39</v>
      </c>
      <c r="AM1473" s="4">
        <f t="shared" si="182"/>
        <v>1154.1199999999999</v>
      </c>
      <c r="AN1473" s="4">
        <f t="shared" si="183"/>
        <v>2043.6000000000001</v>
      </c>
      <c r="AO1473" s="4">
        <f t="shared" si="184"/>
        <v>2270.4396000000002</v>
      </c>
      <c r="AP1473" s="4">
        <f t="shared" si="185"/>
        <v>3310.4276399999999</v>
      </c>
      <c r="AQ1473" s="10">
        <f t="shared" si="186"/>
        <v>2007.1300919999999</v>
      </c>
      <c r="AR1473" s="10">
        <f t="shared" si="187"/>
        <v>2230.1222452211996</v>
      </c>
      <c r="AS1473" s="10">
        <f t="shared" si="188"/>
        <v>3124.7001272255998</v>
      </c>
    </row>
    <row r="1474" spans="1:45" x14ac:dyDescent="0.3">
      <c r="A1474">
        <v>2025</v>
      </c>
      <c r="B1474">
        <v>12</v>
      </c>
      <c r="C1474" t="s">
        <v>55</v>
      </c>
      <c r="D1474">
        <v>10</v>
      </c>
      <c r="E1474" t="s">
        <v>36</v>
      </c>
      <c r="F1474" t="s">
        <v>37</v>
      </c>
      <c r="G1474" t="s">
        <v>38</v>
      </c>
      <c r="H1474" t="s">
        <v>1042</v>
      </c>
      <c r="I1474" t="s">
        <v>1835</v>
      </c>
      <c r="J1474" t="s">
        <v>1836</v>
      </c>
      <c r="K1474" t="s">
        <v>1837</v>
      </c>
      <c r="L1474" t="s">
        <v>1838</v>
      </c>
      <c r="M1474" t="s">
        <v>1839</v>
      </c>
      <c r="N1474" t="s">
        <v>731</v>
      </c>
      <c r="O1474" t="s">
        <v>1197</v>
      </c>
      <c r="Q1474" t="s">
        <v>62</v>
      </c>
      <c r="R1474" t="s">
        <v>1840</v>
      </c>
      <c r="S1474" t="s">
        <v>1840</v>
      </c>
      <c r="T1474" t="s">
        <v>1841</v>
      </c>
      <c r="U1474" t="s">
        <v>202</v>
      </c>
      <c r="V1474" t="s">
        <v>49</v>
      </c>
      <c r="W1474" t="s">
        <v>1303</v>
      </c>
      <c r="X1474" t="s">
        <v>1045</v>
      </c>
      <c r="Y1474" t="s">
        <v>204</v>
      </c>
      <c r="Z1474" t="s">
        <v>204</v>
      </c>
      <c r="AA1474" t="s">
        <v>205</v>
      </c>
      <c r="AB1474" s="3">
        <f t="shared" si="181"/>
        <v>1</v>
      </c>
      <c r="AC1474">
        <v>1008.37</v>
      </c>
      <c r="AD1474" s="2">
        <v>1008.37</v>
      </c>
      <c r="AE1474" s="2">
        <v>166.31</v>
      </c>
      <c r="AF1474" s="2">
        <v>7.14</v>
      </c>
      <c r="AG1474" s="2">
        <v>1181.81</v>
      </c>
      <c r="AH1474">
        <v>0</v>
      </c>
      <c r="AI1474">
        <v>1181.81</v>
      </c>
      <c r="AJ1474">
        <v>5.9090499999999997</v>
      </c>
      <c r="AK1474" t="s">
        <v>54</v>
      </c>
      <c r="AL1474">
        <v>155.66999999999999</v>
      </c>
      <c r="AM1474" s="4">
        <f t="shared" si="182"/>
        <v>1181.81</v>
      </c>
      <c r="AN1474" s="4">
        <f t="shared" si="183"/>
        <v>1890.6937499999999</v>
      </c>
      <c r="AO1474" s="4">
        <f t="shared" si="184"/>
        <v>2100.5607562499999</v>
      </c>
      <c r="AP1474" s="4">
        <f t="shared" si="185"/>
        <v>3062.7348056249998</v>
      </c>
      <c r="AQ1474" s="10">
        <f t="shared" si="186"/>
        <v>2055.2857709999998</v>
      </c>
      <c r="AR1474" s="10">
        <f t="shared" si="187"/>
        <v>2283.6280201580998</v>
      </c>
      <c r="AS1474" s="10">
        <f t="shared" si="188"/>
        <v>3199.6688882927997</v>
      </c>
    </row>
    <row r="1475" spans="1:45" x14ac:dyDescent="0.3">
      <c r="A1475">
        <v>2025</v>
      </c>
      <c r="B1475">
        <v>8</v>
      </c>
      <c r="C1475" t="s">
        <v>35</v>
      </c>
      <c r="D1475">
        <v>10</v>
      </c>
      <c r="E1475" t="s">
        <v>36</v>
      </c>
      <c r="F1475" t="s">
        <v>37</v>
      </c>
      <c r="G1475" t="s">
        <v>38</v>
      </c>
      <c r="H1475" t="s">
        <v>101</v>
      </c>
      <c r="I1475" t="s">
        <v>190</v>
      </c>
      <c r="J1475" t="s">
        <v>40</v>
      </c>
      <c r="K1475" t="s">
        <v>59</v>
      </c>
      <c r="L1475" t="s">
        <v>1292</v>
      </c>
      <c r="M1475">
        <v>454450</v>
      </c>
      <c r="N1475" t="s">
        <v>42</v>
      </c>
      <c r="O1475" t="s">
        <v>1197</v>
      </c>
      <c r="P1475" t="s">
        <v>191</v>
      </c>
      <c r="Q1475" t="s">
        <v>44</v>
      </c>
      <c r="R1475" t="s">
        <v>1035</v>
      </c>
      <c r="S1475" t="s">
        <v>1198</v>
      </c>
      <c r="T1475" t="s">
        <v>47</v>
      </c>
      <c r="U1475" t="s">
        <v>202</v>
      </c>
      <c r="V1475" t="s">
        <v>49</v>
      </c>
      <c r="W1475" t="s">
        <v>1303</v>
      </c>
      <c r="X1475" t="s">
        <v>388</v>
      </c>
      <c r="Y1475" t="s">
        <v>1842</v>
      </c>
      <c r="Z1475" t="s">
        <v>1842</v>
      </c>
      <c r="AA1475" t="s">
        <v>1843</v>
      </c>
      <c r="AB1475" s="3">
        <f t="shared" ref="AB1475:AB1538" si="189">SUM(AC1475/AD1475)</f>
        <v>1</v>
      </c>
      <c r="AC1475">
        <v>1441.7</v>
      </c>
      <c r="AD1475" s="2">
        <v>1441.7</v>
      </c>
      <c r="AE1475" s="2">
        <v>443.19</v>
      </c>
      <c r="AF1475" s="2">
        <v>50</v>
      </c>
      <c r="AG1475" s="2">
        <v>1934.89</v>
      </c>
      <c r="AH1475">
        <v>0</v>
      </c>
      <c r="AI1475">
        <v>1934.89</v>
      </c>
      <c r="AJ1475">
        <v>9.6744500000000002</v>
      </c>
      <c r="AK1475" t="s">
        <v>54</v>
      </c>
      <c r="AL1475">
        <v>54</v>
      </c>
      <c r="AM1475" s="4">
        <f t="shared" ref="AM1475:AM1538" si="190">SUM(AG1475/AB1475)</f>
        <v>1934.89</v>
      </c>
      <c r="AN1475" s="4">
        <f t="shared" ref="AN1475:AN1538" si="191">SUM(AD1475*1.875)</f>
        <v>2703.1875</v>
      </c>
      <c r="AO1475" s="4">
        <f t="shared" si="184"/>
        <v>3003.2413124999998</v>
      </c>
      <c r="AP1475" s="4">
        <f t="shared" si="185"/>
        <v>4378.8934312499996</v>
      </c>
      <c r="AQ1475" s="10">
        <f t="shared" si="186"/>
        <v>3364.9671990000002</v>
      </c>
      <c r="AR1475" s="10">
        <f t="shared" si="187"/>
        <v>3738.8150548089002</v>
      </c>
      <c r="AS1475" s="10">
        <f t="shared" si="188"/>
        <v>5238.5809354031999</v>
      </c>
    </row>
    <row r="1476" spans="1:45" x14ac:dyDescent="0.3">
      <c r="A1476">
        <v>2025</v>
      </c>
      <c r="B1476">
        <v>8</v>
      </c>
      <c r="C1476" t="s">
        <v>35</v>
      </c>
      <c r="D1476">
        <v>10</v>
      </c>
      <c r="E1476" t="s">
        <v>36</v>
      </c>
      <c r="F1476" t="s">
        <v>37</v>
      </c>
      <c r="G1476" t="s">
        <v>38</v>
      </c>
      <c r="H1476" t="s">
        <v>101</v>
      </c>
      <c r="I1476" t="s">
        <v>190</v>
      </c>
      <c r="J1476" t="s">
        <v>40</v>
      </c>
      <c r="K1476" t="s">
        <v>59</v>
      </c>
      <c r="L1476" t="s">
        <v>1292</v>
      </c>
      <c r="M1476">
        <v>454450</v>
      </c>
      <c r="N1476" t="s">
        <v>42</v>
      </c>
      <c r="O1476" t="s">
        <v>1197</v>
      </c>
      <c r="P1476" t="s">
        <v>191</v>
      </c>
      <c r="Q1476" t="s">
        <v>44</v>
      </c>
      <c r="R1476" t="s">
        <v>1035</v>
      </c>
      <c r="S1476" t="s">
        <v>1198</v>
      </c>
      <c r="T1476" t="s">
        <v>47</v>
      </c>
      <c r="U1476" t="s">
        <v>202</v>
      </c>
      <c r="V1476" t="s">
        <v>49</v>
      </c>
      <c r="W1476" t="s">
        <v>1303</v>
      </c>
      <c r="X1476" t="s">
        <v>388</v>
      </c>
      <c r="Y1476" t="s">
        <v>204</v>
      </c>
      <c r="Z1476" t="s">
        <v>204</v>
      </c>
      <c r="AA1476" t="s">
        <v>1304</v>
      </c>
      <c r="AB1476" s="3">
        <f t="shared" si="189"/>
        <v>1</v>
      </c>
      <c r="AC1476">
        <v>1123.73</v>
      </c>
      <c r="AD1476" s="2">
        <v>1123.73</v>
      </c>
      <c r="AE1476" s="2">
        <v>185.33</v>
      </c>
      <c r="AF1476" s="2">
        <v>7.95</v>
      </c>
      <c r="AG1476" s="2">
        <v>1317.2</v>
      </c>
      <c r="AH1476">
        <v>0</v>
      </c>
      <c r="AI1476">
        <v>1317.2</v>
      </c>
      <c r="AJ1476">
        <v>6.5860000000000003</v>
      </c>
      <c r="AK1476" t="s">
        <v>54</v>
      </c>
      <c r="AL1476">
        <v>155.66999999999999</v>
      </c>
      <c r="AM1476" s="4">
        <f t="shared" si="190"/>
        <v>1317.2</v>
      </c>
      <c r="AN1476" s="4">
        <f t="shared" si="191"/>
        <v>2106.9937500000001</v>
      </c>
      <c r="AO1476" s="4">
        <f t="shared" ref="AO1476:AO1539" si="192">SUM(AN1476)*1.111</f>
        <v>2340.8700562500003</v>
      </c>
      <c r="AP1476" s="4">
        <f t="shared" ref="AP1476:AP1539" si="193">SUM(AN1476)*1.6199</f>
        <v>3413.119175625</v>
      </c>
      <c r="AQ1476" s="10">
        <f t="shared" si="186"/>
        <v>2290.7425200000002</v>
      </c>
      <c r="AR1476" s="10">
        <f t="shared" si="187"/>
        <v>2545.2440139720002</v>
      </c>
      <c r="AS1476" s="10">
        <f t="shared" si="188"/>
        <v>3566.2279551360002</v>
      </c>
    </row>
    <row r="1477" spans="1:45" x14ac:dyDescent="0.3">
      <c r="A1477">
        <v>2025</v>
      </c>
      <c r="B1477">
        <v>11</v>
      </c>
      <c r="C1477" t="s">
        <v>35</v>
      </c>
      <c r="D1477">
        <v>10</v>
      </c>
      <c r="E1477" t="s">
        <v>36</v>
      </c>
      <c r="F1477" t="s">
        <v>37</v>
      </c>
      <c r="G1477" t="s">
        <v>38</v>
      </c>
      <c r="H1477" t="s">
        <v>83</v>
      </c>
      <c r="I1477" t="s">
        <v>190</v>
      </c>
      <c r="K1477" t="s">
        <v>59</v>
      </c>
      <c r="L1477" t="s">
        <v>1695</v>
      </c>
      <c r="M1477">
        <v>461851</v>
      </c>
      <c r="N1477" t="s">
        <v>42</v>
      </c>
      <c r="O1477" t="s">
        <v>1197</v>
      </c>
      <c r="Q1477" t="s">
        <v>44</v>
      </c>
      <c r="R1477" t="s">
        <v>1619</v>
      </c>
      <c r="S1477" t="s">
        <v>1620</v>
      </c>
      <c r="T1477" t="s">
        <v>47</v>
      </c>
      <c r="U1477" t="s">
        <v>114</v>
      </c>
      <c r="V1477" t="s">
        <v>49</v>
      </c>
      <c r="W1477" t="s">
        <v>710</v>
      </c>
      <c r="X1477" t="s">
        <v>388</v>
      </c>
      <c r="Y1477" t="s">
        <v>204</v>
      </c>
      <c r="Z1477" t="s">
        <v>204</v>
      </c>
      <c r="AA1477" t="s">
        <v>1306</v>
      </c>
      <c r="AB1477" s="3">
        <f t="shared" si="189"/>
        <v>1</v>
      </c>
      <c r="AC1477">
        <v>1369.42</v>
      </c>
      <c r="AD1477" s="2">
        <v>1369.42</v>
      </c>
      <c r="AE1477" s="2">
        <v>225.85</v>
      </c>
      <c r="AF1477" s="2">
        <v>9.69</v>
      </c>
      <c r="AG1477" s="2">
        <v>1604.96</v>
      </c>
      <c r="AH1477">
        <v>0</v>
      </c>
      <c r="AI1477">
        <v>1604.96</v>
      </c>
      <c r="AJ1477">
        <v>8.0248000000000008</v>
      </c>
      <c r="AK1477" t="s">
        <v>54</v>
      </c>
      <c r="AL1477">
        <v>155.66999999999999</v>
      </c>
      <c r="AM1477" s="4">
        <f t="shared" si="190"/>
        <v>1604.96</v>
      </c>
      <c r="AN1477" s="4">
        <f t="shared" si="191"/>
        <v>2567.6625000000004</v>
      </c>
      <c r="AO1477" s="4">
        <f t="shared" si="192"/>
        <v>2852.6730375000002</v>
      </c>
      <c r="AP1477" s="4">
        <f t="shared" si="193"/>
        <v>4159.3564837500007</v>
      </c>
      <c r="AQ1477" s="10">
        <f t="shared" si="186"/>
        <v>2791.1859360000003</v>
      </c>
      <c r="AR1477" s="10">
        <f t="shared" si="187"/>
        <v>3101.2866934896001</v>
      </c>
      <c r="AS1477" s="10">
        <f t="shared" si="188"/>
        <v>4345.3182651648003</v>
      </c>
    </row>
    <row r="1478" spans="1:45" x14ac:dyDescent="0.3">
      <c r="A1478">
        <v>2025</v>
      </c>
      <c r="B1478">
        <v>11</v>
      </c>
      <c r="C1478" t="s">
        <v>35</v>
      </c>
      <c r="D1478">
        <v>10</v>
      </c>
      <c r="E1478" t="s">
        <v>36</v>
      </c>
      <c r="F1478" t="s">
        <v>37</v>
      </c>
      <c r="G1478" t="s">
        <v>38</v>
      </c>
      <c r="H1478" t="s">
        <v>206</v>
      </c>
      <c r="I1478" t="s">
        <v>1694</v>
      </c>
      <c r="K1478" t="s">
        <v>59</v>
      </c>
      <c r="L1478" t="s">
        <v>1695</v>
      </c>
      <c r="M1478">
        <v>461851</v>
      </c>
      <c r="N1478" t="s">
        <v>42</v>
      </c>
      <c r="O1478" t="s">
        <v>1197</v>
      </c>
      <c r="Q1478" t="s">
        <v>44</v>
      </c>
      <c r="R1478" t="s">
        <v>1619</v>
      </c>
      <c r="S1478" t="s">
        <v>1620</v>
      </c>
      <c r="T1478" t="s">
        <v>47</v>
      </c>
      <c r="U1478" t="s">
        <v>114</v>
      </c>
      <c r="V1478" t="s">
        <v>49</v>
      </c>
      <c r="W1478" t="s">
        <v>710</v>
      </c>
      <c r="X1478" t="s">
        <v>388</v>
      </c>
      <c r="Y1478" t="s">
        <v>1074</v>
      </c>
      <c r="Z1478" t="s">
        <v>1075</v>
      </c>
      <c r="AA1478" t="s">
        <v>1697</v>
      </c>
      <c r="AB1478" s="3">
        <f t="shared" si="189"/>
        <v>1</v>
      </c>
      <c r="AC1478">
        <v>20095.88</v>
      </c>
      <c r="AD1478" s="2">
        <v>20095.88</v>
      </c>
      <c r="AE1478" s="2">
        <v>1605.45</v>
      </c>
      <c r="AF1478" s="2">
        <v>163.65</v>
      </c>
      <c r="AG1478" s="2">
        <v>21864.98</v>
      </c>
      <c r="AH1478">
        <v>0</v>
      </c>
      <c r="AI1478">
        <v>21864.98</v>
      </c>
      <c r="AJ1478">
        <v>109.3249</v>
      </c>
      <c r="AK1478" t="s">
        <v>54</v>
      </c>
      <c r="AL1478">
        <v>325</v>
      </c>
      <c r="AM1478" s="4">
        <f t="shared" si="190"/>
        <v>21864.98</v>
      </c>
      <c r="AN1478" s="4">
        <f t="shared" si="191"/>
        <v>37679.775000000001</v>
      </c>
      <c r="AO1478" s="4">
        <f t="shared" si="192"/>
        <v>41862.230025000004</v>
      </c>
      <c r="AP1478" s="4">
        <f t="shared" si="193"/>
        <v>61037.467522499996</v>
      </c>
      <c r="AQ1478" s="10">
        <f t="shared" si="186"/>
        <v>38025.386718000002</v>
      </c>
      <c r="AR1478" s="10">
        <f t="shared" si="187"/>
        <v>42250.007182369802</v>
      </c>
      <c r="AS1478" s="10">
        <f t="shared" si="188"/>
        <v>59197.922042582402</v>
      </c>
    </row>
    <row r="1479" spans="1:45" x14ac:dyDescent="0.3">
      <c r="A1479">
        <v>2025</v>
      </c>
      <c r="B1479">
        <v>5</v>
      </c>
      <c r="C1479" t="s">
        <v>35</v>
      </c>
      <c r="D1479">
        <v>10</v>
      </c>
      <c r="E1479" t="s">
        <v>36</v>
      </c>
      <c r="F1479" t="s">
        <v>37</v>
      </c>
      <c r="G1479" t="s">
        <v>38</v>
      </c>
      <c r="H1479" t="s">
        <v>206</v>
      </c>
      <c r="I1479" t="s">
        <v>190</v>
      </c>
      <c r="J1479" t="s">
        <v>40</v>
      </c>
      <c r="K1479" t="s">
        <v>59</v>
      </c>
      <c r="M1479">
        <v>442514</v>
      </c>
      <c r="N1479" t="s">
        <v>693</v>
      </c>
      <c r="O1479" t="s">
        <v>36</v>
      </c>
      <c r="P1479" t="s">
        <v>694</v>
      </c>
      <c r="Q1479" t="s">
        <v>44</v>
      </c>
      <c r="R1479" t="s">
        <v>695</v>
      </c>
      <c r="S1479" t="s">
        <v>696</v>
      </c>
      <c r="T1479" t="s">
        <v>47</v>
      </c>
      <c r="U1479" t="s">
        <v>476</v>
      </c>
      <c r="V1479" t="s">
        <v>49</v>
      </c>
      <c r="W1479" t="s">
        <v>708</v>
      </c>
      <c r="X1479" t="s">
        <v>51</v>
      </c>
      <c r="Y1479" t="s">
        <v>1074</v>
      </c>
      <c r="Z1479" t="s">
        <v>1075</v>
      </c>
      <c r="AA1479" t="s">
        <v>1696</v>
      </c>
      <c r="AB1479" s="3">
        <f t="shared" si="189"/>
        <v>1</v>
      </c>
      <c r="AC1479">
        <v>377.72</v>
      </c>
      <c r="AD1479" s="2">
        <v>377.72</v>
      </c>
      <c r="AE1479" s="2">
        <v>30.18</v>
      </c>
      <c r="AF1479" s="2">
        <v>3.8</v>
      </c>
      <c r="AG1479" s="2">
        <v>410.97</v>
      </c>
      <c r="AH1479">
        <v>0</v>
      </c>
      <c r="AI1479">
        <v>410.97</v>
      </c>
      <c r="AJ1479">
        <v>2.0548500000000001</v>
      </c>
      <c r="AK1479" t="s">
        <v>54</v>
      </c>
      <c r="AL1479">
        <v>2.74</v>
      </c>
      <c r="AM1479" s="4">
        <f t="shared" si="190"/>
        <v>410.97</v>
      </c>
      <c r="AN1479" s="4">
        <f t="shared" si="191"/>
        <v>708.22500000000002</v>
      </c>
      <c r="AO1479" s="4">
        <f t="shared" si="192"/>
        <v>786.83797500000003</v>
      </c>
      <c r="AP1479" s="4">
        <f t="shared" si="193"/>
        <v>1147.2536774999999</v>
      </c>
      <c r="AQ1479" s="10">
        <f t="shared" si="186"/>
        <v>714.71792700000003</v>
      </c>
      <c r="AR1479" s="10">
        <f t="shared" si="187"/>
        <v>794.12308868970001</v>
      </c>
      <c r="AS1479" s="10">
        <f t="shared" si="188"/>
        <v>1112.6728687535999</v>
      </c>
    </row>
    <row r="1480" spans="1:45" x14ac:dyDescent="0.3">
      <c r="A1480">
        <v>2025</v>
      </c>
      <c r="B1480">
        <v>5</v>
      </c>
      <c r="C1480" t="s">
        <v>35</v>
      </c>
      <c r="D1480">
        <v>10</v>
      </c>
      <c r="E1480" t="s">
        <v>36</v>
      </c>
      <c r="F1480" t="s">
        <v>37</v>
      </c>
      <c r="G1480" t="s">
        <v>38</v>
      </c>
      <c r="H1480" t="s">
        <v>206</v>
      </c>
      <c r="I1480" t="s">
        <v>190</v>
      </c>
      <c r="J1480" t="s">
        <v>40</v>
      </c>
      <c r="K1480" t="s">
        <v>59</v>
      </c>
      <c r="M1480">
        <v>442514</v>
      </c>
      <c r="N1480" t="s">
        <v>693</v>
      </c>
      <c r="O1480" t="s">
        <v>36</v>
      </c>
      <c r="P1480" t="s">
        <v>694</v>
      </c>
      <c r="Q1480" t="s">
        <v>44</v>
      </c>
      <c r="R1480" t="s">
        <v>695</v>
      </c>
      <c r="S1480" t="s">
        <v>696</v>
      </c>
      <c r="T1480" t="s">
        <v>47</v>
      </c>
      <c r="U1480" t="s">
        <v>476</v>
      </c>
      <c r="V1480" t="s">
        <v>49</v>
      </c>
      <c r="W1480" t="s">
        <v>708</v>
      </c>
      <c r="X1480" t="s">
        <v>51</v>
      </c>
      <c r="Y1480" t="s">
        <v>207</v>
      </c>
      <c r="Z1480" t="s">
        <v>207</v>
      </c>
      <c r="AA1480" t="s">
        <v>712</v>
      </c>
      <c r="AB1480" s="3">
        <f t="shared" si="189"/>
        <v>1</v>
      </c>
      <c r="AC1480">
        <v>219.72</v>
      </c>
      <c r="AD1480" s="2">
        <v>219.72</v>
      </c>
      <c r="AE1480" s="2">
        <v>23.19</v>
      </c>
      <c r="AF1480" s="2">
        <v>1.57</v>
      </c>
      <c r="AG1480" s="2">
        <v>244.48</v>
      </c>
      <c r="AH1480">
        <v>0</v>
      </c>
      <c r="AI1480">
        <v>244.48</v>
      </c>
      <c r="AJ1480">
        <v>1.2223999999999999</v>
      </c>
      <c r="AK1480" t="s">
        <v>54</v>
      </c>
      <c r="AL1480">
        <v>44.16</v>
      </c>
      <c r="AM1480" s="4">
        <f t="shared" si="190"/>
        <v>244.48</v>
      </c>
      <c r="AN1480" s="4">
        <f t="shared" si="191"/>
        <v>411.97500000000002</v>
      </c>
      <c r="AO1480" s="4">
        <f t="shared" si="192"/>
        <v>457.70422500000001</v>
      </c>
      <c r="AP1480" s="4">
        <f t="shared" si="193"/>
        <v>667.35830250000004</v>
      </c>
      <c r="AQ1480" s="10">
        <f t="shared" si="186"/>
        <v>425.17516799999999</v>
      </c>
      <c r="AR1480" s="10">
        <f t="shared" si="187"/>
        <v>472.41212916479998</v>
      </c>
      <c r="AS1480" s="10">
        <f t="shared" si="188"/>
        <v>661.91270154239999</v>
      </c>
    </row>
    <row r="1481" spans="1:45" x14ac:dyDescent="0.3">
      <c r="A1481">
        <v>2025</v>
      </c>
      <c r="B1481">
        <v>5</v>
      </c>
      <c r="C1481" t="s">
        <v>35</v>
      </c>
      <c r="D1481">
        <v>10</v>
      </c>
      <c r="E1481" t="s">
        <v>36</v>
      </c>
      <c r="F1481" t="s">
        <v>37</v>
      </c>
      <c r="G1481" t="s">
        <v>38</v>
      </c>
      <c r="H1481" t="s">
        <v>206</v>
      </c>
      <c r="I1481" t="s">
        <v>190</v>
      </c>
      <c r="J1481" t="s">
        <v>40</v>
      </c>
      <c r="K1481" t="s">
        <v>59</v>
      </c>
      <c r="M1481">
        <v>442514</v>
      </c>
      <c r="N1481" t="s">
        <v>693</v>
      </c>
      <c r="O1481" t="s">
        <v>36</v>
      </c>
      <c r="P1481" t="s">
        <v>694</v>
      </c>
      <c r="Q1481" t="s">
        <v>44</v>
      </c>
      <c r="R1481" t="s">
        <v>695</v>
      </c>
      <c r="S1481" t="s">
        <v>696</v>
      </c>
      <c r="T1481" t="s">
        <v>47</v>
      </c>
      <c r="U1481" t="s">
        <v>476</v>
      </c>
      <c r="V1481" t="s">
        <v>49</v>
      </c>
      <c r="W1481" t="s">
        <v>708</v>
      </c>
      <c r="X1481" t="s">
        <v>51</v>
      </c>
      <c r="Y1481" t="s">
        <v>207</v>
      </c>
      <c r="Z1481" t="s">
        <v>207</v>
      </c>
      <c r="AA1481" t="s">
        <v>712</v>
      </c>
      <c r="AB1481" s="3">
        <f t="shared" si="189"/>
        <v>1</v>
      </c>
      <c r="AC1481">
        <v>219.72</v>
      </c>
      <c r="AD1481" s="2">
        <v>219.72</v>
      </c>
      <c r="AE1481" s="2">
        <v>23.19</v>
      </c>
      <c r="AF1481" s="2">
        <v>1.57</v>
      </c>
      <c r="AG1481" s="2">
        <v>244.48</v>
      </c>
      <c r="AH1481">
        <v>0</v>
      </c>
      <c r="AI1481">
        <v>244.48</v>
      </c>
      <c r="AJ1481">
        <v>1.2223999999999999</v>
      </c>
      <c r="AK1481" t="s">
        <v>54</v>
      </c>
      <c r="AL1481">
        <v>44.16</v>
      </c>
      <c r="AM1481" s="4">
        <f t="shared" si="190"/>
        <v>244.48</v>
      </c>
      <c r="AN1481" s="4">
        <f t="shared" si="191"/>
        <v>411.97500000000002</v>
      </c>
      <c r="AO1481" s="4">
        <f t="shared" si="192"/>
        <v>457.70422500000001</v>
      </c>
      <c r="AP1481" s="4">
        <f t="shared" si="193"/>
        <v>667.35830250000004</v>
      </c>
      <c r="AQ1481" s="10">
        <f t="shared" si="186"/>
        <v>425.17516799999999</v>
      </c>
      <c r="AR1481" s="10">
        <f t="shared" si="187"/>
        <v>472.41212916479998</v>
      </c>
      <c r="AS1481" s="10">
        <f t="shared" si="188"/>
        <v>661.91270154239999</v>
      </c>
    </row>
    <row r="1482" spans="1:45" x14ac:dyDescent="0.3">
      <c r="A1482">
        <v>2025</v>
      </c>
      <c r="B1482">
        <v>5</v>
      </c>
      <c r="C1482" t="s">
        <v>35</v>
      </c>
      <c r="D1482">
        <v>10</v>
      </c>
      <c r="E1482" t="s">
        <v>36</v>
      </c>
      <c r="F1482" t="s">
        <v>37</v>
      </c>
      <c r="G1482" t="s">
        <v>38</v>
      </c>
      <c r="H1482" t="s">
        <v>206</v>
      </c>
      <c r="I1482" t="s">
        <v>190</v>
      </c>
      <c r="J1482" t="s">
        <v>40</v>
      </c>
      <c r="K1482" t="s">
        <v>59</v>
      </c>
      <c r="M1482">
        <v>442514</v>
      </c>
      <c r="N1482" t="s">
        <v>693</v>
      </c>
      <c r="O1482" t="s">
        <v>36</v>
      </c>
      <c r="P1482" t="s">
        <v>694</v>
      </c>
      <c r="Q1482" t="s">
        <v>44</v>
      </c>
      <c r="R1482" t="s">
        <v>695</v>
      </c>
      <c r="S1482" t="s">
        <v>696</v>
      </c>
      <c r="T1482" t="s">
        <v>47</v>
      </c>
      <c r="U1482" t="s">
        <v>476</v>
      </c>
      <c r="V1482" t="s">
        <v>49</v>
      </c>
      <c r="W1482" t="s">
        <v>708</v>
      </c>
      <c r="X1482" t="s">
        <v>51</v>
      </c>
      <c r="Y1482" t="s">
        <v>207</v>
      </c>
      <c r="Z1482" t="s">
        <v>207</v>
      </c>
      <c r="AA1482" t="s">
        <v>712</v>
      </c>
      <c r="AB1482" s="3">
        <f t="shared" si="189"/>
        <v>1</v>
      </c>
      <c r="AC1482">
        <v>219.72</v>
      </c>
      <c r="AD1482" s="2">
        <v>219.72</v>
      </c>
      <c r="AE1482" s="2">
        <v>23.19</v>
      </c>
      <c r="AF1482" s="2">
        <v>1.57</v>
      </c>
      <c r="AG1482" s="2">
        <v>244.48</v>
      </c>
      <c r="AH1482">
        <v>0</v>
      </c>
      <c r="AI1482">
        <v>244.48</v>
      </c>
      <c r="AJ1482">
        <v>1.2223999999999999</v>
      </c>
      <c r="AK1482" t="s">
        <v>54</v>
      </c>
      <c r="AL1482">
        <v>44.16</v>
      </c>
      <c r="AM1482" s="4">
        <f t="shared" si="190"/>
        <v>244.48</v>
      </c>
      <c r="AN1482" s="4">
        <f t="shared" si="191"/>
        <v>411.97500000000002</v>
      </c>
      <c r="AO1482" s="4">
        <f t="shared" si="192"/>
        <v>457.70422500000001</v>
      </c>
      <c r="AP1482" s="4">
        <f t="shared" si="193"/>
        <v>667.35830250000004</v>
      </c>
      <c r="AQ1482" s="10">
        <f t="shared" si="186"/>
        <v>425.17516799999999</v>
      </c>
      <c r="AR1482" s="10">
        <f t="shared" si="187"/>
        <v>472.41212916479998</v>
      </c>
      <c r="AS1482" s="10">
        <f t="shared" si="188"/>
        <v>661.91270154239999</v>
      </c>
    </row>
    <row r="1483" spans="1:45" x14ac:dyDescent="0.3">
      <c r="A1483">
        <v>2025</v>
      </c>
      <c r="B1483">
        <v>5</v>
      </c>
      <c r="C1483" t="s">
        <v>35</v>
      </c>
      <c r="D1483">
        <v>10</v>
      </c>
      <c r="E1483" t="s">
        <v>36</v>
      </c>
      <c r="F1483" t="s">
        <v>37</v>
      </c>
      <c r="G1483" t="s">
        <v>38</v>
      </c>
      <c r="H1483" t="s">
        <v>206</v>
      </c>
      <c r="I1483" t="s">
        <v>190</v>
      </c>
      <c r="J1483" t="s">
        <v>40</v>
      </c>
      <c r="K1483" t="s">
        <v>59</v>
      </c>
      <c r="M1483">
        <v>442514</v>
      </c>
      <c r="N1483" t="s">
        <v>693</v>
      </c>
      <c r="O1483" t="s">
        <v>36</v>
      </c>
      <c r="P1483" t="s">
        <v>694</v>
      </c>
      <c r="Q1483" t="s">
        <v>44</v>
      </c>
      <c r="R1483" t="s">
        <v>695</v>
      </c>
      <c r="S1483" t="s">
        <v>696</v>
      </c>
      <c r="T1483" t="s">
        <v>47</v>
      </c>
      <c r="U1483" t="s">
        <v>476</v>
      </c>
      <c r="V1483" t="s">
        <v>49</v>
      </c>
      <c r="W1483" t="s">
        <v>708</v>
      </c>
      <c r="X1483" t="s">
        <v>51</v>
      </c>
      <c r="Y1483" t="s">
        <v>207</v>
      </c>
      <c r="Z1483" t="s">
        <v>207</v>
      </c>
      <c r="AA1483" t="s">
        <v>712</v>
      </c>
      <c r="AB1483" s="3">
        <f t="shared" si="189"/>
        <v>1</v>
      </c>
      <c r="AC1483">
        <v>219.72</v>
      </c>
      <c r="AD1483" s="2">
        <v>219.72</v>
      </c>
      <c r="AE1483" s="2">
        <v>23.19</v>
      </c>
      <c r="AF1483" s="2">
        <v>1.57</v>
      </c>
      <c r="AG1483" s="2">
        <v>244.48</v>
      </c>
      <c r="AH1483">
        <v>0</v>
      </c>
      <c r="AI1483">
        <v>244.48</v>
      </c>
      <c r="AJ1483">
        <v>1.2223999999999999</v>
      </c>
      <c r="AK1483" t="s">
        <v>54</v>
      </c>
      <c r="AL1483">
        <v>44.16</v>
      </c>
      <c r="AM1483" s="4">
        <f t="shared" si="190"/>
        <v>244.48</v>
      </c>
      <c r="AN1483" s="4">
        <f t="shared" si="191"/>
        <v>411.97500000000002</v>
      </c>
      <c r="AO1483" s="4">
        <f t="shared" si="192"/>
        <v>457.70422500000001</v>
      </c>
      <c r="AP1483" s="4">
        <f t="shared" si="193"/>
        <v>667.35830250000004</v>
      </c>
      <c r="AQ1483" s="10">
        <f t="shared" si="186"/>
        <v>425.17516799999999</v>
      </c>
      <c r="AR1483" s="10">
        <f t="shared" si="187"/>
        <v>472.41212916479998</v>
      </c>
      <c r="AS1483" s="10">
        <f t="shared" si="188"/>
        <v>661.91270154239999</v>
      </c>
    </row>
    <row r="1484" spans="1:45" x14ac:dyDescent="0.3">
      <c r="A1484">
        <v>2025</v>
      </c>
      <c r="B1484">
        <v>5</v>
      </c>
      <c r="C1484" t="s">
        <v>35</v>
      </c>
      <c r="D1484">
        <v>10</v>
      </c>
      <c r="E1484" t="s">
        <v>36</v>
      </c>
      <c r="F1484" t="s">
        <v>37</v>
      </c>
      <c r="G1484" t="s">
        <v>38</v>
      </c>
      <c r="H1484" t="s">
        <v>206</v>
      </c>
      <c r="I1484" t="s">
        <v>190</v>
      </c>
      <c r="J1484" t="s">
        <v>40</v>
      </c>
      <c r="K1484" t="s">
        <v>59</v>
      </c>
      <c r="M1484">
        <v>442514</v>
      </c>
      <c r="N1484" t="s">
        <v>693</v>
      </c>
      <c r="O1484" t="s">
        <v>36</v>
      </c>
      <c r="P1484" t="s">
        <v>694</v>
      </c>
      <c r="Q1484" t="s">
        <v>44</v>
      </c>
      <c r="R1484" t="s">
        <v>695</v>
      </c>
      <c r="S1484" t="s">
        <v>696</v>
      </c>
      <c r="T1484" t="s">
        <v>47</v>
      </c>
      <c r="U1484" t="s">
        <v>476</v>
      </c>
      <c r="V1484" t="s">
        <v>49</v>
      </c>
      <c r="W1484" t="s">
        <v>708</v>
      </c>
      <c r="X1484" t="s">
        <v>51</v>
      </c>
      <c r="Y1484" t="s">
        <v>207</v>
      </c>
      <c r="Z1484" t="s">
        <v>207</v>
      </c>
      <c r="AA1484" t="s">
        <v>712</v>
      </c>
      <c r="AB1484" s="3">
        <f t="shared" si="189"/>
        <v>1</v>
      </c>
      <c r="AC1484">
        <v>219.72</v>
      </c>
      <c r="AD1484" s="2">
        <v>219.72</v>
      </c>
      <c r="AE1484" s="2">
        <v>23.19</v>
      </c>
      <c r="AF1484" s="2">
        <v>1.57</v>
      </c>
      <c r="AG1484" s="2">
        <v>244.48</v>
      </c>
      <c r="AH1484">
        <v>0</v>
      </c>
      <c r="AI1484">
        <v>244.48</v>
      </c>
      <c r="AJ1484">
        <v>1.2223999999999999</v>
      </c>
      <c r="AK1484" t="s">
        <v>54</v>
      </c>
      <c r="AL1484">
        <v>44.16</v>
      </c>
      <c r="AM1484" s="4">
        <f t="shared" si="190"/>
        <v>244.48</v>
      </c>
      <c r="AN1484" s="4">
        <f t="shared" si="191"/>
        <v>411.97500000000002</v>
      </c>
      <c r="AO1484" s="4">
        <f t="shared" si="192"/>
        <v>457.70422500000001</v>
      </c>
      <c r="AP1484" s="4">
        <f t="shared" si="193"/>
        <v>667.35830250000004</v>
      </c>
      <c r="AQ1484" s="10">
        <f t="shared" si="186"/>
        <v>425.17516799999999</v>
      </c>
      <c r="AR1484" s="10">
        <f t="shared" si="187"/>
        <v>472.41212916479998</v>
      </c>
      <c r="AS1484" s="10">
        <f t="shared" si="188"/>
        <v>661.91270154239999</v>
      </c>
    </row>
    <row r="1485" spans="1:45" x14ac:dyDescent="0.3">
      <c r="A1485">
        <v>2025</v>
      </c>
      <c r="B1485">
        <v>5</v>
      </c>
      <c r="C1485" t="s">
        <v>35</v>
      </c>
      <c r="D1485">
        <v>10</v>
      </c>
      <c r="E1485" t="s">
        <v>36</v>
      </c>
      <c r="F1485" t="s">
        <v>37</v>
      </c>
      <c r="G1485" t="s">
        <v>38</v>
      </c>
      <c r="H1485" t="s">
        <v>206</v>
      </c>
      <c r="I1485" t="s">
        <v>190</v>
      </c>
      <c r="J1485" t="s">
        <v>40</v>
      </c>
      <c r="K1485" t="s">
        <v>59</v>
      </c>
      <c r="M1485">
        <v>442514</v>
      </c>
      <c r="N1485" t="s">
        <v>693</v>
      </c>
      <c r="O1485" t="s">
        <v>36</v>
      </c>
      <c r="P1485" t="s">
        <v>694</v>
      </c>
      <c r="Q1485" t="s">
        <v>44</v>
      </c>
      <c r="R1485" t="s">
        <v>695</v>
      </c>
      <c r="S1485" t="s">
        <v>696</v>
      </c>
      <c r="T1485" t="s">
        <v>47</v>
      </c>
      <c r="U1485" t="s">
        <v>476</v>
      </c>
      <c r="V1485" t="s">
        <v>49</v>
      </c>
      <c r="W1485" t="s">
        <v>708</v>
      </c>
      <c r="X1485" t="s">
        <v>51</v>
      </c>
      <c r="Y1485" t="s">
        <v>207</v>
      </c>
      <c r="Z1485" t="s">
        <v>207</v>
      </c>
      <c r="AA1485" t="s">
        <v>712</v>
      </c>
      <c r="AB1485" s="3">
        <f t="shared" si="189"/>
        <v>1</v>
      </c>
      <c r="AC1485">
        <v>219.72</v>
      </c>
      <c r="AD1485" s="2">
        <v>219.72</v>
      </c>
      <c r="AE1485" s="2">
        <v>23.19</v>
      </c>
      <c r="AF1485" s="2">
        <v>1.57</v>
      </c>
      <c r="AG1485" s="2">
        <v>244.48</v>
      </c>
      <c r="AH1485">
        <v>0</v>
      </c>
      <c r="AI1485">
        <v>244.48</v>
      </c>
      <c r="AJ1485">
        <v>1.2223999999999999</v>
      </c>
      <c r="AK1485" t="s">
        <v>54</v>
      </c>
      <c r="AL1485">
        <v>44.16</v>
      </c>
      <c r="AM1485" s="4">
        <f t="shared" si="190"/>
        <v>244.48</v>
      </c>
      <c r="AN1485" s="4">
        <f t="shared" si="191"/>
        <v>411.97500000000002</v>
      </c>
      <c r="AO1485" s="4">
        <f t="shared" si="192"/>
        <v>457.70422500000001</v>
      </c>
      <c r="AP1485" s="4">
        <f t="shared" si="193"/>
        <v>667.35830250000004</v>
      </c>
      <c r="AQ1485" s="10">
        <f t="shared" si="186"/>
        <v>425.17516799999999</v>
      </c>
      <c r="AR1485" s="10">
        <f t="shared" si="187"/>
        <v>472.41212916479998</v>
      </c>
      <c r="AS1485" s="10">
        <f t="shared" si="188"/>
        <v>661.91270154239999</v>
      </c>
    </row>
    <row r="1486" spans="1:45" x14ac:dyDescent="0.3">
      <c r="A1486">
        <v>2025</v>
      </c>
      <c r="B1486">
        <v>5</v>
      </c>
      <c r="C1486" t="s">
        <v>35</v>
      </c>
      <c r="D1486">
        <v>10</v>
      </c>
      <c r="E1486" t="s">
        <v>36</v>
      </c>
      <c r="F1486" t="s">
        <v>37</v>
      </c>
      <c r="G1486" t="s">
        <v>38</v>
      </c>
      <c r="H1486" t="s">
        <v>206</v>
      </c>
      <c r="I1486" t="s">
        <v>190</v>
      </c>
      <c r="J1486" t="s">
        <v>40</v>
      </c>
      <c r="K1486" t="s">
        <v>59</v>
      </c>
      <c r="M1486">
        <v>442514</v>
      </c>
      <c r="N1486" t="s">
        <v>693</v>
      </c>
      <c r="O1486" t="s">
        <v>36</v>
      </c>
      <c r="P1486" t="s">
        <v>694</v>
      </c>
      <c r="Q1486" t="s">
        <v>44</v>
      </c>
      <c r="R1486" t="s">
        <v>695</v>
      </c>
      <c r="S1486" t="s">
        <v>696</v>
      </c>
      <c r="T1486" t="s">
        <v>47</v>
      </c>
      <c r="U1486" t="s">
        <v>476</v>
      </c>
      <c r="V1486" t="s">
        <v>49</v>
      </c>
      <c r="W1486" t="s">
        <v>708</v>
      </c>
      <c r="X1486" t="s">
        <v>51</v>
      </c>
      <c r="Y1486" t="s">
        <v>207</v>
      </c>
      <c r="Z1486" t="s">
        <v>207</v>
      </c>
      <c r="AA1486" t="s">
        <v>712</v>
      </c>
      <c r="AB1486" s="3">
        <f t="shared" si="189"/>
        <v>1</v>
      </c>
      <c r="AC1486">
        <v>219.72</v>
      </c>
      <c r="AD1486" s="2">
        <v>219.72</v>
      </c>
      <c r="AE1486" s="2">
        <v>23.19</v>
      </c>
      <c r="AF1486" s="2">
        <v>1.57</v>
      </c>
      <c r="AG1486" s="2">
        <v>244.48</v>
      </c>
      <c r="AH1486">
        <v>0</v>
      </c>
      <c r="AI1486">
        <v>244.48</v>
      </c>
      <c r="AJ1486">
        <v>1.2223999999999999</v>
      </c>
      <c r="AK1486" t="s">
        <v>54</v>
      </c>
      <c r="AL1486">
        <v>44.16</v>
      </c>
      <c r="AM1486" s="4">
        <f t="shared" si="190"/>
        <v>244.48</v>
      </c>
      <c r="AN1486" s="4">
        <f t="shared" si="191"/>
        <v>411.97500000000002</v>
      </c>
      <c r="AO1486" s="4">
        <f t="shared" si="192"/>
        <v>457.70422500000001</v>
      </c>
      <c r="AP1486" s="4">
        <f t="shared" si="193"/>
        <v>667.35830250000004</v>
      </c>
      <c r="AQ1486" s="10">
        <f t="shared" si="186"/>
        <v>425.17516799999999</v>
      </c>
      <c r="AR1486" s="10">
        <f t="shared" si="187"/>
        <v>472.41212916479998</v>
      </c>
      <c r="AS1486" s="10">
        <f t="shared" si="188"/>
        <v>661.91270154239999</v>
      </c>
    </row>
    <row r="1487" spans="1:45" x14ac:dyDescent="0.3">
      <c r="A1487">
        <v>2025</v>
      </c>
      <c r="B1487">
        <v>5</v>
      </c>
      <c r="C1487" t="s">
        <v>35</v>
      </c>
      <c r="D1487">
        <v>10</v>
      </c>
      <c r="E1487" t="s">
        <v>36</v>
      </c>
      <c r="F1487" t="s">
        <v>37</v>
      </c>
      <c r="G1487" t="s">
        <v>38</v>
      </c>
      <c r="H1487" t="s">
        <v>206</v>
      </c>
      <c r="I1487" t="s">
        <v>190</v>
      </c>
      <c r="J1487" t="s">
        <v>40</v>
      </c>
      <c r="K1487" t="s">
        <v>59</v>
      </c>
      <c r="M1487">
        <v>442514</v>
      </c>
      <c r="N1487" t="s">
        <v>693</v>
      </c>
      <c r="O1487" t="s">
        <v>36</v>
      </c>
      <c r="P1487" t="s">
        <v>694</v>
      </c>
      <c r="Q1487" t="s">
        <v>44</v>
      </c>
      <c r="R1487" t="s">
        <v>695</v>
      </c>
      <c r="S1487" t="s">
        <v>696</v>
      </c>
      <c r="T1487" t="s">
        <v>47</v>
      </c>
      <c r="U1487" t="s">
        <v>476</v>
      </c>
      <c r="V1487" t="s">
        <v>49</v>
      </c>
      <c r="W1487" t="s">
        <v>708</v>
      </c>
      <c r="X1487" t="s">
        <v>51</v>
      </c>
      <c r="Y1487" t="s">
        <v>207</v>
      </c>
      <c r="Z1487" t="s">
        <v>207</v>
      </c>
      <c r="AA1487" t="s">
        <v>712</v>
      </c>
      <c r="AB1487" s="3">
        <f t="shared" si="189"/>
        <v>1</v>
      </c>
      <c r="AC1487">
        <v>219.72</v>
      </c>
      <c r="AD1487" s="2">
        <v>219.72</v>
      </c>
      <c r="AE1487" s="2">
        <v>23.19</v>
      </c>
      <c r="AF1487" s="2">
        <v>1.57</v>
      </c>
      <c r="AG1487" s="2">
        <v>244.48</v>
      </c>
      <c r="AH1487">
        <v>0</v>
      </c>
      <c r="AI1487">
        <v>244.48</v>
      </c>
      <c r="AJ1487">
        <v>1.2223999999999999</v>
      </c>
      <c r="AK1487" t="s">
        <v>54</v>
      </c>
      <c r="AL1487">
        <v>44.16</v>
      </c>
      <c r="AM1487" s="4">
        <f t="shared" si="190"/>
        <v>244.48</v>
      </c>
      <c r="AN1487" s="4">
        <f t="shared" si="191"/>
        <v>411.97500000000002</v>
      </c>
      <c r="AO1487" s="4">
        <f t="shared" si="192"/>
        <v>457.70422500000001</v>
      </c>
      <c r="AP1487" s="4">
        <f t="shared" si="193"/>
        <v>667.35830250000004</v>
      </c>
      <c r="AQ1487" s="10">
        <f t="shared" si="186"/>
        <v>425.17516799999999</v>
      </c>
      <c r="AR1487" s="10">
        <f t="shared" si="187"/>
        <v>472.41212916479998</v>
      </c>
      <c r="AS1487" s="10">
        <f t="shared" si="188"/>
        <v>661.91270154239999</v>
      </c>
    </row>
    <row r="1488" spans="1:45" x14ac:dyDescent="0.3">
      <c r="A1488">
        <v>2025</v>
      </c>
      <c r="B1488">
        <v>5</v>
      </c>
      <c r="C1488" t="s">
        <v>35</v>
      </c>
      <c r="D1488">
        <v>10</v>
      </c>
      <c r="E1488" t="s">
        <v>36</v>
      </c>
      <c r="F1488" t="s">
        <v>37</v>
      </c>
      <c r="G1488" t="s">
        <v>38</v>
      </c>
      <c r="H1488" t="s">
        <v>206</v>
      </c>
      <c r="I1488" t="s">
        <v>190</v>
      </c>
      <c r="J1488" t="s">
        <v>40</v>
      </c>
      <c r="K1488" t="s">
        <v>59</v>
      </c>
      <c r="M1488">
        <v>442514</v>
      </c>
      <c r="N1488" t="s">
        <v>693</v>
      </c>
      <c r="O1488" t="s">
        <v>36</v>
      </c>
      <c r="P1488" t="s">
        <v>694</v>
      </c>
      <c r="Q1488" t="s">
        <v>44</v>
      </c>
      <c r="R1488" t="s">
        <v>695</v>
      </c>
      <c r="S1488" t="s">
        <v>696</v>
      </c>
      <c r="T1488" t="s">
        <v>47</v>
      </c>
      <c r="U1488" t="s">
        <v>476</v>
      </c>
      <c r="V1488" t="s">
        <v>49</v>
      </c>
      <c r="W1488" t="s">
        <v>708</v>
      </c>
      <c r="X1488" t="s">
        <v>51</v>
      </c>
      <c r="Y1488" t="s">
        <v>207</v>
      </c>
      <c r="Z1488" t="s">
        <v>207</v>
      </c>
      <c r="AA1488" t="s">
        <v>712</v>
      </c>
      <c r="AB1488" s="3">
        <f t="shared" si="189"/>
        <v>1</v>
      </c>
      <c r="AC1488">
        <v>219.72</v>
      </c>
      <c r="AD1488" s="2">
        <v>219.72</v>
      </c>
      <c r="AE1488" s="2">
        <v>23.19</v>
      </c>
      <c r="AF1488" s="2">
        <v>1.57</v>
      </c>
      <c r="AG1488" s="2">
        <v>244.48</v>
      </c>
      <c r="AH1488">
        <v>0</v>
      </c>
      <c r="AI1488">
        <v>244.48</v>
      </c>
      <c r="AJ1488">
        <v>1.2223999999999999</v>
      </c>
      <c r="AK1488" t="s">
        <v>54</v>
      </c>
      <c r="AL1488">
        <v>44.16</v>
      </c>
      <c r="AM1488" s="4">
        <f t="shared" si="190"/>
        <v>244.48</v>
      </c>
      <c r="AN1488" s="4">
        <f t="shared" si="191"/>
        <v>411.97500000000002</v>
      </c>
      <c r="AO1488" s="4">
        <f t="shared" si="192"/>
        <v>457.70422500000001</v>
      </c>
      <c r="AP1488" s="4">
        <f t="shared" si="193"/>
        <v>667.35830250000004</v>
      </c>
      <c r="AQ1488" s="10">
        <f t="shared" si="186"/>
        <v>425.17516799999999</v>
      </c>
      <c r="AR1488" s="10">
        <f t="shared" si="187"/>
        <v>472.41212916479998</v>
      </c>
      <c r="AS1488" s="10">
        <f t="shared" si="188"/>
        <v>661.91270154239999</v>
      </c>
    </row>
    <row r="1489" spans="1:45" x14ac:dyDescent="0.3">
      <c r="A1489">
        <v>2025</v>
      </c>
      <c r="B1489">
        <v>5</v>
      </c>
      <c r="C1489" t="s">
        <v>35</v>
      </c>
      <c r="D1489">
        <v>10</v>
      </c>
      <c r="E1489" t="s">
        <v>36</v>
      </c>
      <c r="F1489" t="s">
        <v>37</v>
      </c>
      <c r="G1489" t="s">
        <v>38</v>
      </c>
      <c r="H1489" t="s">
        <v>206</v>
      </c>
      <c r="I1489" t="s">
        <v>190</v>
      </c>
      <c r="J1489" t="s">
        <v>40</v>
      </c>
      <c r="K1489" t="s">
        <v>59</v>
      </c>
      <c r="M1489">
        <v>442514</v>
      </c>
      <c r="N1489" t="s">
        <v>693</v>
      </c>
      <c r="O1489" t="s">
        <v>36</v>
      </c>
      <c r="P1489" t="s">
        <v>694</v>
      </c>
      <c r="Q1489" t="s">
        <v>44</v>
      </c>
      <c r="R1489" t="s">
        <v>695</v>
      </c>
      <c r="S1489" t="s">
        <v>696</v>
      </c>
      <c r="T1489" t="s">
        <v>47</v>
      </c>
      <c r="U1489" t="s">
        <v>476</v>
      </c>
      <c r="V1489" t="s">
        <v>49</v>
      </c>
      <c r="W1489" t="s">
        <v>708</v>
      </c>
      <c r="X1489" t="s">
        <v>51</v>
      </c>
      <c r="Y1489" t="s">
        <v>207</v>
      </c>
      <c r="Z1489" t="s">
        <v>207</v>
      </c>
      <c r="AA1489" t="s">
        <v>712</v>
      </c>
      <c r="AB1489" s="3">
        <f t="shared" si="189"/>
        <v>1</v>
      </c>
      <c r="AC1489">
        <v>219.72</v>
      </c>
      <c r="AD1489" s="2">
        <v>219.72</v>
      </c>
      <c r="AE1489" s="2">
        <v>23.19</v>
      </c>
      <c r="AF1489" s="2">
        <v>1.57</v>
      </c>
      <c r="AG1489" s="2">
        <v>244.48</v>
      </c>
      <c r="AH1489">
        <v>0</v>
      </c>
      <c r="AI1489">
        <v>244.48</v>
      </c>
      <c r="AJ1489">
        <v>1.2223999999999999</v>
      </c>
      <c r="AK1489" t="s">
        <v>54</v>
      </c>
      <c r="AL1489">
        <v>44.16</v>
      </c>
      <c r="AM1489" s="4">
        <f t="shared" si="190"/>
        <v>244.48</v>
      </c>
      <c r="AN1489" s="4">
        <f t="shared" si="191"/>
        <v>411.97500000000002</v>
      </c>
      <c r="AO1489" s="4">
        <f t="shared" si="192"/>
        <v>457.70422500000001</v>
      </c>
      <c r="AP1489" s="4">
        <f t="shared" si="193"/>
        <v>667.35830250000004</v>
      </c>
      <c r="AQ1489" s="10">
        <f t="shared" si="186"/>
        <v>425.17516799999999</v>
      </c>
      <c r="AR1489" s="10">
        <f t="shared" si="187"/>
        <v>472.41212916479998</v>
      </c>
      <c r="AS1489" s="10">
        <f t="shared" si="188"/>
        <v>661.91270154239999</v>
      </c>
    </row>
    <row r="1490" spans="1:45" x14ac:dyDescent="0.3">
      <c r="A1490">
        <v>2025</v>
      </c>
      <c r="B1490">
        <v>5</v>
      </c>
      <c r="C1490" t="s">
        <v>35</v>
      </c>
      <c r="D1490">
        <v>10</v>
      </c>
      <c r="E1490" t="s">
        <v>36</v>
      </c>
      <c r="F1490" t="s">
        <v>37</v>
      </c>
      <c r="G1490" t="s">
        <v>38</v>
      </c>
      <c r="H1490" t="s">
        <v>206</v>
      </c>
      <c r="I1490" t="s">
        <v>190</v>
      </c>
      <c r="J1490" t="s">
        <v>40</v>
      </c>
      <c r="K1490" t="s">
        <v>59</v>
      </c>
      <c r="M1490">
        <v>442514</v>
      </c>
      <c r="N1490" t="s">
        <v>693</v>
      </c>
      <c r="O1490" t="s">
        <v>36</v>
      </c>
      <c r="P1490" t="s">
        <v>694</v>
      </c>
      <c r="Q1490" t="s">
        <v>44</v>
      </c>
      <c r="R1490" t="s">
        <v>695</v>
      </c>
      <c r="S1490" t="s">
        <v>696</v>
      </c>
      <c r="T1490" t="s">
        <v>47</v>
      </c>
      <c r="U1490" t="s">
        <v>476</v>
      </c>
      <c r="V1490" t="s">
        <v>49</v>
      </c>
      <c r="W1490" t="s">
        <v>708</v>
      </c>
      <c r="X1490" t="s">
        <v>51</v>
      </c>
      <c r="Y1490" t="s">
        <v>207</v>
      </c>
      <c r="Z1490" t="s">
        <v>207</v>
      </c>
      <c r="AA1490" t="s">
        <v>712</v>
      </c>
      <c r="AB1490" s="3">
        <f t="shared" si="189"/>
        <v>1</v>
      </c>
      <c r="AC1490">
        <v>219.72</v>
      </c>
      <c r="AD1490" s="2">
        <v>219.72</v>
      </c>
      <c r="AE1490" s="2">
        <v>23.19</v>
      </c>
      <c r="AF1490" s="2">
        <v>1.57</v>
      </c>
      <c r="AG1490" s="2">
        <v>244.48</v>
      </c>
      <c r="AH1490">
        <v>0</v>
      </c>
      <c r="AI1490">
        <v>244.48</v>
      </c>
      <c r="AJ1490">
        <v>1.2223999999999999</v>
      </c>
      <c r="AK1490" t="s">
        <v>54</v>
      </c>
      <c r="AL1490">
        <v>44.16</v>
      </c>
      <c r="AM1490" s="4">
        <f t="shared" si="190"/>
        <v>244.48</v>
      </c>
      <c r="AN1490" s="4">
        <f t="shared" si="191"/>
        <v>411.97500000000002</v>
      </c>
      <c r="AO1490" s="4">
        <f t="shared" si="192"/>
        <v>457.70422500000001</v>
      </c>
      <c r="AP1490" s="4">
        <f t="shared" si="193"/>
        <v>667.35830250000004</v>
      </c>
      <c r="AQ1490" s="10">
        <f t="shared" si="186"/>
        <v>425.17516799999999</v>
      </c>
      <c r="AR1490" s="10">
        <f t="shared" si="187"/>
        <v>472.41212916479998</v>
      </c>
      <c r="AS1490" s="10">
        <f t="shared" si="188"/>
        <v>661.91270154239999</v>
      </c>
    </row>
    <row r="1491" spans="1:45" x14ac:dyDescent="0.3">
      <c r="A1491">
        <v>2025</v>
      </c>
      <c r="B1491">
        <v>5</v>
      </c>
      <c r="C1491" t="s">
        <v>35</v>
      </c>
      <c r="D1491">
        <v>10</v>
      </c>
      <c r="E1491" t="s">
        <v>36</v>
      </c>
      <c r="F1491" t="s">
        <v>37</v>
      </c>
      <c r="G1491" t="s">
        <v>38</v>
      </c>
      <c r="H1491" t="s">
        <v>206</v>
      </c>
      <c r="I1491" t="s">
        <v>190</v>
      </c>
      <c r="J1491" t="s">
        <v>40</v>
      </c>
      <c r="K1491" t="s">
        <v>59</v>
      </c>
      <c r="M1491">
        <v>442514</v>
      </c>
      <c r="N1491" t="s">
        <v>693</v>
      </c>
      <c r="O1491" t="s">
        <v>36</v>
      </c>
      <c r="P1491" t="s">
        <v>694</v>
      </c>
      <c r="Q1491" t="s">
        <v>44</v>
      </c>
      <c r="R1491" t="s">
        <v>695</v>
      </c>
      <c r="S1491" t="s">
        <v>696</v>
      </c>
      <c r="T1491" t="s">
        <v>47</v>
      </c>
      <c r="U1491" t="s">
        <v>476</v>
      </c>
      <c r="V1491" t="s">
        <v>49</v>
      </c>
      <c r="W1491" t="s">
        <v>708</v>
      </c>
      <c r="X1491" t="s">
        <v>51</v>
      </c>
      <c r="Y1491" t="s">
        <v>207</v>
      </c>
      <c r="Z1491" t="s">
        <v>207</v>
      </c>
      <c r="AA1491" t="s">
        <v>712</v>
      </c>
      <c r="AB1491" s="3">
        <f t="shared" si="189"/>
        <v>1</v>
      </c>
      <c r="AC1491">
        <v>219.72</v>
      </c>
      <c r="AD1491" s="2">
        <v>219.72</v>
      </c>
      <c r="AE1491" s="2">
        <v>23.19</v>
      </c>
      <c r="AF1491" s="2">
        <v>1.57</v>
      </c>
      <c r="AG1491" s="2">
        <v>244.48</v>
      </c>
      <c r="AH1491">
        <v>0</v>
      </c>
      <c r="AI1491">
        <v>244.48</v>
      </c>
      <c r="AJ1491">
        <v>1.2223999999999999</v>
      </c>
      <c r="AK1491" t="s">
        <v>54</v>
      </c>
      <c r="AL1491">
        <v>44.16</v>
      </c>
      <c r="AM1491" s="4">
        <f t="shared" si="190"/>
        <v>244.48</v>
      </c>
      <c r="AN1491" s="4">
        <f t="shared" si="191"/>
        <v>411.97500000000002</v>
      </c>
      <c r="AO1491" s="4">
        <f t="shared" si="192"/>
        <v>457.70422500000001</v>
      </c>
      <c r="AP1491" s="4">
        <f t="shared" si="193"/>
        <v>667.35830250000004</v>
      </c>
      <c r="AQ1491" s="10">
        <f t="shared" si="186"/>
        <v>425.17516799999999</v>
      </c>
      <c r="AR1491" s="10">
        <f t="shared" si="187"/>
        <v>472.41212916479998</v>
      </c>
      <c r="AS1491" s="10">
        <f t="shared" si="188"/>
        <v>661.91270154239999</v>
      </c>
    </row>
    <row r="1492" spans="1:45" x14ac:dyDescent="0.3">
      <c r="A1492">
        <v>2025</v>
      </c>
      <c r="B1492">
        <v>5</v>
      </c>
      <c r="C1492" t="s">
        <v>35</v>
      </c>
      <c r="D1492">
        <v>10</v>
      </c>
      <c r="E1492" t="s">
        <v>36</v>
      </c>
      <c r="F1492" t="s">
        <v>37</v>
      </c>
      <c r="G1492" t="s">
        <v>38</v>
      </c>
      <c r="H1492" t="s">
        <v>206</v>
      </c>
      <c r="I1492" t="s">
        <v>190</v>
      </c>
      <c r="J1492" t="s">
        <v>40</v>
      </c>
      <c r="K1492" t="s">
        <v>59</v>
      </c>
      <c r="M1492">
        <v>442514</v>
      </c>
      <c r="N1492" t="s">
        <v>693</v>
      </c>
      <c r="O1492" t="s">
        <v>36</v>
      </c>
      <c r="P1492" t="s">
        <v>694</v>
      </c>
      <c r="Q1492" t="s">
        <v>44</v>
      </c>
      <c r="R1492" t="s">
        <v>695</v>
      </c>
      <c r="S1492" t="s">
        <v>696</v>
      </c>
      <c r="T1492" t="s">
        <v>47</v>
      </c>
      <c r="U1492" t="s">
        <v>476</v>
      </c>
      <c r="V1492" t="s">
        <v>49</v>
      </c>
      <c r="W1492" t="s">
        <v>708</v>
      </c>
      <c r="X1492" t="s">
        <v>51</v>
      </c>
      <c r="Y1492" t="s">
        <v>207</v>
      </c>
      <c r="Z1492" t="s">
        <v>207</v>
      </c>
      <c r="AA1492" t="s">
        <v>712</v>
      </c>
      <c r="AB1492" s="3">
        <f t="shared" si="189"/>
        <v>1</v>
      </c>
      <c r="AC1492">
        <v>219.72</v>
      </c>
      <c r="AD1492" s="2">
        <v>219.72</v>
      </c>
      <c r="AE1492" s="2">
        <v>23.19</v>
      </c>
      <c r="AF1492" s="2">
        <v>1.57</v>
      </c>
      <c r="AG1492" s="2">
        <v>244.48</v>
      </c>
      <c r="AH1492">
        <v>0</v>
      </c>
      <c r="AI1492">
        <v>244.48</v>
      </c>
      <c r="AJ1492">
        <v>1.2223999999999999</v>
      </c>
      <c r="AK1492" t="s">
        <v>54</v>
      </c>
      <c r="AL1492">
        <v>44.16</v>
      </c>
      <c r="AM1492" s="4">
        <f t="shared" si="190"/>
        <v>244.48</v>
      </c>
      <c r="AN1492" s="4">
        <f t="shared" si="191"/>
        <v>411.97500000000002</v>
      </c>
      <c r="AO1492" s="4">
        <f t="shared" si="192"/>
        <v>457.70422500000001</v>
      </c>
      <c r="AP1492" s="4">
        <f t="shared" si="193"/>
        <v>667.35830250000004</v>
      </c>
      <c r="AQ1492" s="10">
        <f t="shared" si="186"/>
        <v>425.17516799999999</v>
      </c>
      <c r="AR1492" s="10">
        <f t="shared" si="187"/>
        <v>472.41212916479998</v>
      </c>
      <c r="AS1492" s="10">
        <f t="shared" si="188"/>
        <v>661.91270154239999</v>
      </c>
    </row>
    <row r="1493" spans="1:45" x14ac:dyDescent="0.3">
      <c r="A1493">
        <v>2025</v>
      </c>
      <c r="B1493">
        <v>11</v>
      </c>
      <c r="C1493" t="s">
        <v>55</v>
      </c>
      <c r="D1493">
        <v>10</v>
      </c>
      <c r="E1493" t="s">
        <v>36</v>
      </c>
      <c r="F1493" t="s">
        <v>37</v>
      </c>
      <c r="G1493" t="s">
        <v>38</v>
      </c>
      <c r="H1493" t="s">
        <v>206</v>
      </c>
      <c r="I1493" t="s">
        <v>375</v>
      </c>
      <c r="J1493" t="s">
        <v>376</v>
      </c>
      <c r="K1493" t="s">
        <v>51</v>
      </c>
      <c r="L1493" t="s">
        <v>1622</v>
      </c>
      <c r="M1493" t="s">
        <v>1623</v>
      </c>
      <c r="N1493" t="s">
        <v>1485</v>
      </c>
      <c r="O1493" t="s">
        <v>1197</v>
      </c>
      <c r="Q1493" t="s">
        <v>62</v>
      </c>
      <c r="R1493" t="s">
        <v>1624</v>
      </c>
      <c r="S1493" t="s">
        <v>1624</v>
      </c>
      <c r="T1493" t="s">
        <v>47</v>
      </c>
      <c r="U1493" t="s">
        <v>114</v>
      </c>
      <c r="V1493" t="s">
        <v>49</v>
      </c>
      <c r="W1493" t="s">
        <v>710</v>
      </c>
      <c r="X1493" t="s">
        <v>51</v>
      </c>
      <c r="Y1493" t="s">
        <v>207</v>
      </c>
      <c r="Z1493" t="s">
        <v>207</v>
      </c>
      <c r="AA1493" t="s">
        <v>712</v>
      </c>
      <c r="AB1493" s="3">
        <f t="shared" si="189"/>
        <v>1</v>
      </c>
      <c r="AC1493">
        <v>219.72</v>
      </c>
      <c r="AD1493" s="2">
        <v>219.72</v>
      </c>
      <c r="AE1493" s="2">
        <v>23.19</v>
      </c>
      <c r="AF1493" s="2">
        <v>1.57</v>
      </c>
      <c r="AG1493" s="2">
        <v>244.48</v>
      </c>
      <c r="AH1493">
        <v>0</v>
      </c>
      <c r="AI1493">
        <v>244.48</v>
      </c>
      <c r="AJ1493">
        <v>1.2223999999999999</v>
      </c>
      <c r="AK1493" t="s">
        <v>54</v>
      </c>
      <c r="AL1493">
        <v>44.16</v>
      </c>
      <c r="AM1493" s="4">
        <f t="shared" si="190"/>
        <v>244.48</v>
      </c>
      <c r="AN1493" s="4">
        <f t="shared" si="191"/>
        <v>411.97500000000002</v>
      </c>
      <c r="AO1493" s="4">
        <f t="shared" si="192"/>
        <v>457.70422500000001</v>
      </c>
      <c r="AP1493" s="4">
        <f t="shared" si="193"/>
        <v>667.35830250000004</v>
      </c>
      <c r="AQ1493" s="10">
        <f t="shared" si="186"/>
        <v>425.17516799999999</v>
      </c>
      <c r="AR1493" s="10">
        <f t="shared" si="187"/>
        <v>472.41212916479998</v>
      </c>
      <c r="AS1493" s="10">
        <f t="shared" si="188"/>
        <v>661.91270154239999</v>
      </c>
    </row>
    <row r="1494" spans="1:45" x14ac:dyDescent="0.3">
      <c r="A1494">
        <v>2025</v>
      </c>
      <c r="B1494">
        <v>11</v>
      </c>
      <c r="C1494" t="s">
        <v>35</v>
      </c>
      <c r="D1494">
        <v>10</v>
      </c>
      <c r="E1494" t="s">
        <v>36</v>
      </c>
      <c r="F1494" t="s">
        <v>37</v>
      </c>
      <c r="G1494" t="s">
        <v>38</v>
      </c>
      <c r="H1494" t="s">
        <v>206</v>
      </c>
      <c r="I1494" t="s">
        <v>1694</v>
      </c>
      <c r="K1494" t="s">
        <v>59</v>
      </c>
      <c r="L1494" t="s">
        <v>1695</v>
      </c>
      <c r="M1494">
        <v>461851</v>
      </c>
      <c r="N1494" t="s">
        <v>42</v>
      </c>
      <c r="O1494" t="s">
        <v>1197</v>
      </c>
      <c r="Q1494" t="s">
        <v>44</v>
      </c>
      <c r="R1494" t="s">
        <v>1619</v>
      </c>
      <c r="S1494" t="s">
        <v>1620</v>
      </c>
      <c r="T1494" t="s">
        <v>47</v>
      </c>
      <c r="U1494" t="s">
        <v>114</v>
      </c>
      <c r="V1494" t="s">
        <v>49</v>
      </c>
      <c r="W1494" t="s">
        <v>710</v>
      </c>
      <c r="X1494" t="s">
        <v>388</v>
      </c>
      <c r="Y1494" t="s">
        <v>1074</v>
      </c>
      <c r="Z1494" t="s">
        <v>1075</v>
      </c>
      <c r="AA1494" t="s">
        <v>1693</v>
      </c>
      <c r="AB1494" s="3">
        <f t="shared" si="189"/>
        <v>1</v>
      </c>
      <c r="AC1494">
        <v>358.97</v>
      </c>
      <c r="AD1494" s="2">
        <v>358.97</v>
      </c>
      <c r="AE1494" s="2">
        <v>50.26</v>
      </c>
      <c r="AF1494" s="2">
        <v>2.4900000000000002</v>
      </c>
      <c r="AG1494" s="2">
        <v>411.72</v>
      </c>
      <c r="AH1494">
        <v>0</v>
      </c>
      <c r="AI1494">
        <v>411.72</v>
      </c>
      <c r="AJ1494">
        <v>2.0586000000000002</v>
      </c>
      <c r="AK1494" t="s">
        <v>54</v>
      </c>
      <c r="AL1494">
        <v>1.89</v>
      </c>
      <c r="AM1494" s="4">
        <f t="shared" si="190"/>
        <v>411.72</v>
      </c>
      <c r="AN1494" s="4">
        <f t="shared" si="191"/>
        <v>673.06875000000002</v>
      </c>
      <c r="AO1494" s="4">
        <f t="shared" si="192"/>
        <v>747.77938125000003</v>
      </c>
      <c r="AP1494" s="4">
        <f t="shared" si="193"/>
        <v>1090.304068125</v>
      </c>
      <c r="AQ1494" s="10">
        <f t="shared" si="186"/>
        <v>716.02225200000009</v>
      </c>
      <c r="AR1494" s="10">
        <f t="shared" si="187"/>
        <v>795.57232419720003</v>
      </c>
      <c r="AS1494" s="10">
        <f t="shared" si="188"/>
        <v>1114.7034419136</v>
      </c>
    </row>
    <row r="1495" spans="1:45" x14ac:dyDescent="0.3">
      <c r="A1495">
        <v>2025</v>
      </c>
      <c r="B1495">
        <v>6</v>
      </c>
      <c r="C1495" t="s">
        <v>35</v>
      </c>
      <c r="D1495">
        <v>10</v>
      </c>
      <c r="E1495" t="s">
        <v>36</v>
      </c>
      <c r="F1495" t="s">
        <v>37</v>
      </c>
      <c r="G1495" t="s">
        <v>38</v>
      </c>
      <c r="H1495" t="s">
        <v>206</v>
      </c>
      <c r="I1495" t="s">
        <v>190</v>
      </c>
      <c r="J1495" t="s">
        <v>40</v>
      </c>
      <c r="K1495" t="s">
        <v>59</v>
      </c>
      <c r="M1495">
        <v>447389</v>
      </c>
      <c r="N1495" t="s">
        <v>42</v>
      </c>
      <c r="O1495" t="s">
        <v>43</v>
      </c>
      <c r="Q1495" t="s">
        <v>44</v>
      </c>
      <c r="R1495" t="s">
        <v>772</v>
      </c>
      <c r="S1495" t="s">
        <v>773</v>
      </c>
      <c r="T1495" t="s">
        <v>47</v>
      </c>
      <c r="U1495" t="s">
        <v>114</v>
      </c>
      <c r="V1495" t="s">
        <v>49</v>
      </c>
      <c r="W1495" t="s">
        <v>710</v>
      </c>
      <c r="X1495" t="s">
        <v>51</v>
      </c>
      <c r="Y1495" t="s">
        <v>1074</v>
      </c>
      <c r="Z1495" t="s">
        <v>1075</v>
      </c>
      <c r="AA1495" t="s">
        <v>1693</v>
      </c>
      <c r="AB1495" s="3">
        <f t="shared" si="189"/>
        <v>1</v>
      </c>
      <c r="AC1495">
        <v>377.72</v>
      </c>
      <c r="AD1495" s="2">
        <v>377.72</v>
      </c>
      <c r="AE1495" s="2">
        <v>30.18</v>
      </c>
      <c r="AF1495" s="2">
        <v>3.8</v>
      </c>
      <c r="AG1495" s="2">
        <v>410.97</v>
      </c>
      <c r="AH1495">
        <v>0</v>
      </c>
      <c r="AI1495">
        <v>410.97</v>
      </c>
      <c r="AJ1495">
        <v>2.0548500000000001</v>
      </c>
      <c r="AK1495" t="s">
        <v>54</v>
      </c>
      <c r="AL1495">
        <v>2.74</v>
      </c>
      <c r="AM1495" s="4">
        <f t="shared" si="190"/>
        <v>410.97</v>
      </c>
      <c r="AN1495" s="4">
        <f t="shared" si="191"/>
        <v>708.22500000000002</v>
      </c>
      <c r="AO1495" s="4">
        <f t="shared" si="192"/>
        <v>786.83797500000003</v>
      </c>
      <c r="AP1495" s="4">
        <f t="shared" si="193"/>
        <v>1147.2536774999999</v>
      </c>
      <c r="AQ1495" s="10">
        <f t="shared" si="186"/>
        <v>714.71792700000003</v>
      </c>
      <c r="AR1495" s="10">
        <f t="shared" si="187"/>
        <v>794.12308868970001</v>
      </c>
      <c r="AS1495" s="10">
        <f t="shared" si="188"/>
        <v>1112.6728687535999</v>
      </c>
    </row>
    <row r="1496" spans="1:45" x14ac:dyDescent="0.3">
      <c r="A1496">
        <v>2025</v>
      </c>
      <c r="B1496">
        <v>6</v>
      </c>
      <c r="C1496" t="s">
        <v>35</v>
      </c>
      <c r="D1496">
        <v>10</v>
      </c>
      <c r="E1496" t="s">
        <v>36</v>
      </c>
      <c r="F1496" t="s">
        <v>37</v>
      </c>
      <c r="G1496" t="s">
        <v>38</v>
      </c>
      <c r="H1496" t="s">
        <v>206</v>
      </c>
      <c r="I1496" t="s">
        <v>190</v>
      </c>
      <c r="J1496" t="s">
        <v>40</v>
      </c>
      <c r="K1496" t="s">
        <v>59</v>
      </c>
      <c r="M1496">
        <v>447389</v>
      </c>
      <c r="N1496" t="s">
        <v>42</v>
      </c>
      <c r="O1496" t="s">
        <v>43</v>
      </c>
      <c r="Q1496" t="s">
        <v>44</v>
      </c>
      <c r="R1496" t="s">
        <v>772</v>
      </c>
      <c r="S1496" t="s">
        <v>773</v>
      </c>
      <c r="T1496" t="s">
        <v>47</v>
      </c>
      <c r="U1496" t="s">
        <v>114</v>
      </c>
      <c r="V1496" t="s">
        <v>49</v>
      </c>
      <c r="W1496" t="s">
        <v>710</v>
      </c>
      <c r="X1496" t="s">
        <v>51</v>
      </c>
      <c r="Y1496" t="s">
        <v>207</v>
      </c>
      <c r="Z1496" t="s">
        <v>207</v>
      </c>
      <c r="AA1496" t="s">
        <v>810</v>
      </c>
      <c r="AB1496" s="3">
        <f t="shared" si="189"/>
        <v>1</v>
      </c>
      <c r="AC1496">
        <v>862.47</v>
      </c>
      <c r="AD1496" s="2">
        <v>862.47</v>
      </c>
      <c r="AE1496" s="2">
        <v>146.6</v>
      </c>
      <c r="AF1496" s="2">
        <v>6.15</v>
      </c>
      <c r="AG1496" s="2">
        <v>1015.22</v>
      </c>
      <c r="AH1496">
        <v>0</v>
      </c>
      <c r="AI1496">
        <v>1015.22</v>
      </c>
      <c r="AJ1496">
        <v>5.0761000000000003</v>
      </c>
      <c r="AK1496" t="s">
        <v>54</v>
      </c>
      <c r="AL1496">
        <v>10.26</v>
      </c>
      <c r="AM1496" s="4">
        <f t="shared" si="190"/>
        <v>1015.22</v>
      </c>
      <c r="AN1496" s="4">
        <f t="shared" si="191"/>
        <v>1617.1312500000001</v>
      </c>
      <c r="AO1496" s="4">
        <f t="shared" si="192"/>
        <v>1796.6328187500001</v>
      </c>
      <c r="AP1496" s="4">
        <f t="shared" si="193"/>
        <v>2619.5909118750001</v>
      </c>
      <c r="AQ1496" s="10">
        <f t="shared" si="186"/>
        <v>1765.5691020000002</v>
      </c>
      <c r="AR1496" s="10">
        <f t="shared" si="187"/>
        <v>1961.7238292322002</v>
      </c>
      <c r="AS1496" s="10">
        <f t="shared" si="188"/>
        <v>2748.6379779936001</v>
      </c>
    </row>
    <row r="1497" spans="1:45" x14ac:dyDescent="0.3">
      <c r="A1497">
        <v>2025</v>
      </c>
      <c r="B1497">
        <v>8</v>
      </c>
      <c r="C1497" t="s">
        <v>55</v>
      </c>
      <c r="D1497">
        <v>10</v>
      </c>
      <c r="E1497" t="s">
        <v>36</v>
      </c>
      <c r="F1497" t="s">
        <v>37</v>
      </c>
      <c r="G1497" t="s">
        <v>38</v>
      </c>
      <c r="H1497" t="s">
        <v>206</v>
      </c>
      <c r="I1497" t="s">
        <v>190</v>
      </c>
      <c r="J1497" t="s">
        <v>58</v>
      </c>
      <c r="K1497" t="s">
        <v>59</v>
      </c>
      <c r="L1497" t="s">
        <v>1194</v>
      </c>
      <c r="M1497" t="s">
        <v>1195</v>
      </c>
      <c r="N1497" t="s">
        <v>1196</v>
      </c>
      <c r="O1497" t="s">
        <v>1197</v>
      </c>
      <c r="Q1497" t="s">
        <v>62</v>
      </c>
      <c r="R1497" t="s">
        <v>1198</v>
      </c>
      <c r="S1497" t="s">
        <v>1198</v>
      </c>
      <c r="T1497" t="s">
        <v>47</v>
      </c>
      <c r="U1497" t="s">
        <v>114</v>
      </c>
      <c r="V1497" t="s">
        <v>49</v>
      </c>
      <c r="W1497" t="s">
        <v>710</v>
      </c>
      <c r="X1497" t="s">
        <v>388</v>
      </c>
      <c r="Y1497" t="s">
        <v>207</v>
      </c>
      <c r="Z1497" t="s">
        <v>207</v>
      </c>
      <c r="AA1497" t="s">
        <v>810</v>
      </c>
      <c r="AB1497" s="3">
        <f t="shared" si="189"/>
        <v>1</v>
      </c>
      <c r="AC1497">
        <v>862.47</v>
      </c>
      <c r="AD1497" s="2">
        <v>862.47</v>
      </c>
      <c r="AE1497" s="2">
        <v>146.6</v>
      </c>
      <c r="AF1497" s="2">
        <v>6.15</v>
      </c>
      <c r="AG1497" s="2">
        <v>1015.22</v>
      </c>
      <c r="AH1497">
        <v>0</v>
      </c>
      <c r="AI1497">
        <v>1015.22</v>
      </c>
      <c r="AJ1497">
        <v>5.0761000000000003</v>
      </c>
      <c r="AK1497" t="s">
        <v>54</v>
      </c>
      <c r="AL1497">
        <v>10.26</v>
      </c>
      <c r="AM1497" s="4">
        <f t="shared" si="190"/>
        <v>1015.22</v>
      </c>
      <c r="AN1497" s="4">
        <f t="shared" si="191"/>
        <v>1617.1312500000001</v>
      </c>
      <c r="AO1497" s="4">
        <f t="shared" si="192"/>
        <v>1796.6328187500001</v>
      </c>
      <c r="AP1497" s="4">
        <f t="shared" si="193"/>
        <v>2619.5909118750001</v>
      </c>
      <c r="AQ1497" s="10">
        <f t="shared" si="186"/>
        <v>1765.5691020000002</v>
      </c>
      <c r="AR1497" s="10">
        <f t="shared" si="187"/>
        <v>1961.7238292322002</v>
      </c>
      <c r="AS1497" s="10">
        <f t="shared" si="188"/>
        <v>2748.6379779936001</v>
      </c>
    </row>
    <row r="1498" spans="1:45" x14ac:dyDescent="0.3">
      <c r="A1498">
        <v>2025</v>
      </c>
      <c r="B1498">
        <v>10</v>
      </c>
      <c r="C1498" t="s">
        <v>35</v>
      </c>
      <c r="D1498">
        <v>10</v>
      </c>
      <c r="E1498" t="s">
        <v>36</v>
      </c>
      <c r="F1498" t="s">
        <v>37</v>
      </c>
      <c r="G1498" t="s">
        <v>38</v>
      </c>
      <c r="H1498" t="s">
        <v>206</v>
      </c>
      <c r="J1498" t="s">
        <v>40</v>
      </c>
      <c r="K1498" t="s">
        <v>59</v>
      </c>
      <c r="L1498" t="s">
        <v>1566</v>
      </c>
      <c r="M1498">
        <v>458452</v>
      </c>
      <c r="N1498" t="s">
        <v>1567</v>
      </c>
      <c r="O1498" t="s">
        <v>1197</v>
      </c>
      <c r="P1498" t="s">
        <v>191</v>
      </c>
      <c r="Q1498" t="s">
        <v>44</v>
      </c>
      <c r="R1498" t="s">
        <v>1505</v>
      </c>
      <c r="S1498" t="s">
        <v>1568</v>
      </c>
      <c r="T1498" t="s">
        <v>47</v>
      </c>
      <c r="U1498" t="s">
        <v>114</v>
      </c>
      <c r="V1498" t="s">
        <v>49</v>
      </c>
      <c r="W1498" t="s">
        <v>710</v>
      </c>
      <c r="X1498" t="s">
        <v>388</v>
      </c>
      <c r="Y1498" t="s">
        <v>1074</v>
      </c>
      <c r="Z1498" t="s">
        <v>1075</v>
      </c>
      <c r="AA1498" t="s">
        <v>1318</v>
      </c>
      <c r="AB1498" s="3">
        <f t="shared" si="189"/>
        <v>1</v>
      </c>
      <c r="AC1498">
        <v>190.87</v>
      </c>
      <c r="AD1498" s="2">
        <v>190.87</v>
      </c>
      <c r="AE1498" s="2">
        <v>13.68</v>
      </c>
      <c r="AF1498" s="2">
        <v>1.24</v>
      </c>
      <c r="AG1498" s="2">
        <v>205.78</v>
      </c>
      <c r="AH1498">
        <v>0</v>
      </c>
      <c r="AI1498">
        <v>205.78</v>
      </c>
      <c r="AJ1498">
        <v>1.0288999999999999</v>
      </c>
      <c r="AK1498" t="s">
        <v>54</v>
      </c>
      <c r="AL1498">
        <v>1.61</v>
      </c>
      <c r="AM1498" s="4">
        <f t="shared" si="190"/>
        <v>205.78</v>
      </c>
      <c r="AN1498" s="4">
        <f t="shared" si="191"/>
        <v>357.88125000000002</v>
      </c>
      <c r="AO1498" s="4">
        <f t="shared" si="192"/>
        <v>397.60606875000002</v>
      </c>
      <c r="AP1498" s="4">
        <f t="shared" si="193"/>
        <v>579.731836875</v>
      </c>
      <c r="AQ1498" s="10">
        <f t="shared" si="186"/>
        <v>357.87199800000002</v>
      </c>
      <c r="AR1498" s="10">
        <f t="shared" si="187"/>
        <v>397.63157697780002</v>
      </c>
      <c r="AS1498" s="10">
        <f t="shared" si="188"/>
        <v>557.13512648640005</v>
      </c>
    </row>
    <row r="1499" spans="1:45" x14ac:dyDescent="0.3">
      <c r="A1499">
        <v>2025</v>
      </c>
      <c r="B1499">
        <v>10</v>
      </c>
      <c r="C1499" t="s">
        <v>55</v>
      </c>
      <c r="D1499">
        <v>10</v>
      </c>
      <c r="E1499" t="s">
        <v>36</v>
      </c>
      <c r="F1499" t="s">
        <v>37</v>
      </c>
      <c r="G1499" t="s">
        <v>38</v>
      </c>
      <c r="H1499" t="s">
        <v>206</v>
      </c>
      <c r="I1499" t="s">
        <v>1575</v>
      </c>
      <c r="J1499" t="s">
        <v>376</v>
      </c>
      <c r="K1499" t="s">
        <v>41</v>
      </c>
      <c r="L1499" t="s">
        <v>1576</v>
      </c>
      <c r="M1499" t="s">
        <v>1577</v>
      </c>
      <c r="N1499" t="s">
        <v>1551</v>
      </c>
      <c r="O1499" t="s">
        <v>1197</v>
      </c>
      <c r="Q1499" t="s">
        <v>62</v>
      </c>
      <c r="R1499" t="s">
        <v>1569</v>
      </c>
      <c r="S1499" t="s">
        <v>1569</v>
      </c>
      <c r="T1499" t="s">
        <v>47</v>
      </c>
      <c r="U1499" t="s">
        <v>114</v>
      </c>
      <c r="V1499" t="s">
        <v>49</v>
      </c>
      <c r="W1499" t="s">
        <v>710</v>
      </c>
      <c r="X1499" t="s">
        <v>1578</v>
      </c>
      <c r="Y1499" t="s">
        <v>1074</v>
      </c>
      <c r="Z1499" t="s">
        <v>1075</v>
      </c>
      <c r="AA1499" t="s">
        <v>1318</v>
      </c>
      <c r="AB1499" s="3">
        <f t="shared" si="189"/>
        <v>1</v>
      </c>
      <c r="AC1499">
        <v>194.85</v>
      </c>
      <c r="AD1499" s="2">
        <v>194.85</v>
      </c>
      <c r="AE1499" s="2">
        <v>41.5</v>
      </c>
      <c r="AF1499" s="2">
        <v>1.49</v>
      </c>
      <c r="AG1499" s="2">
        <v>237.83</v>
      </c>
      <c r="AH1499">
        <v>0</v>
      </c>
      <c r="AI1499">
        <v>237.83</v>
      </c>
      <c r="AJ1499">
        <v>1.1891499999999999</v>
      </c>
      <c r="AK1499" t="s">
        <v>54</v>
      </c>
      <c r="AL1499">
        <v>1.24</v>
      </c>
      <c r="AM1499" s="4">
        <f t="shared" si="190"/>
        <v>237.83</v>
      </c>
      <c r="AN1499" s="4">
        <f t="shared" si="191"/>
        <v>365.34375</v>
      </c>
      <c r="AO1499" s="4">
        <f t="shared" si="192"/>
        <v>405.89690624999997</v>
      </c>
      <c r="AP1499" s="4">
        <f t="shared" si="193"/>
        <v>591.82034062499997</v>
      </c>
      <c r="AQ1499" s="10">
        <f t="shared" si="186"/>
        <v>413.61015300000003</v>
      </c>
      <c r="AR1499" s="10">
        <f t="shared" si="187"/>
        <v>459.56224099830001</v>
      </c>
      <c r="AS1499" s="10">
        <f t="shared" si="188"/>
        <v>643.90828619040008</v>
      </c>
    </row>
    <row r="1500" spans="1:45" x14ac:dyDescent="0.3">
      <c r="A1500">
        <v>2025</v>
      </c>
      <c r="B1500">
        <v>4</v>
      </c>
      <c r="C1500" t="s">
        <v>55</v>
      </c>
      <c r="D1500">
        <v>10</v>
      </c>
      <c r="E1500" t="s">
        <v>36</v>
      </c>
      <c r="F1500" t="s">
        <v>37</v>
      </c>
      <c r="G1500" t="s">
        <v>38</v>
      </c>
      <c r="H1500" t="s">
        <v>206</v>
      </c>
      <c r="I1500" t="s">
        <v>190</v>
      </c>
      <c r="J1500" t="s">
        <v>58</v>
      </c>
      <c r="K1500" t="s">
        <v>59</v>
      </c>
      <c r="M1500" t="s">
        <v>383</v>
      </c>
      <c r="N1500" t="s">
        <v>384</v>
      </c>
      <c r="O1500" t="s">
        <v>36</v>
      </c>
      <c r="Q1500" t="s">
        <v>62</v>
      </c>
      <c r="R1500" t="s">
        <v>385</v>
      </c>
      <c r="S1500" t="s">
        <v>385</v>
      </c>
      <c r="T1500" t="s">
        <v>47</v>
      </c>
      <c r="U1500" t="s">
        <v>476</v>
      </c>
      <c r="V1500" t="s">
        <v>49</v>
      </c>
      <c r="W1500" t="s">
        <v>106</v>
      </c>
      <c r="X1500" t="s">
        <v>388</v>
      </c>
      <c r="Y1500" t="s">
        <v>1074</v>
      </c>
      <c r="Z1500" t="s">
        <v>1075</v>
      </c>
      <c r="AA1500" t="s">
        <v>1579</v>
      </c>
      <c r="AB1500" s="3">
        <f t="shared" si="189"/>
        <v>1</v>
      </c>
      <c r="AC1500">
        <v>650.73</v>
      </c>
      <c r="AD1500" s="2">
        <v>650.73</v>
      </c>
      <c r="AE1500" s="2">
        <v>253.45</v>
      </c>
      <c r="AF1500" s="2">
        <v>8.7799999999999994</v>
      </c>
      <c r="AG1500" s="2">
        <v>912.95</v>
      </c>
      <c r="AH1500">
        <v>0</v>
      </c>
      <c r="AI1500">
        <v>912.95</v>
      </c>
      <c r="AJ1500">
        <v>4.5647500000000001</v>
      </c>
      <c r="AK1500" t="s">
        <v>54</v>
      </c>
      <c r="AL1500">
        <v>1.4</v>
      </c>
      <c r="AM1500" s="4">
        <f t="shared" si="190"/>
        <v>912.95</v>
      </c>
      <c r="AN1500" s="4">
        <f t="shared" si="191"/>
        <v>1220.1187500000001</v>
      </c>
      <c r="AO1500" s="4">
        <f t="shared" si="192"/>
        <v>1355.5519312500001</v>
      </c>
      <c r="AP1500" s="4">
        <f t="shared" si="193"/>
        <v>1976.4703631249999</v>
      </c>
      <c r="AQ1500" s="10">
        <f t="shared" si="186"/>
        <v>1587.7113450000002</v>
      </c>
      <c r="AR1500" s="10">
        <f t="shared" si="187"/>
        <v>1764.1060754295002</v>
      </c>
      <c r="AS1500" s="10">
        <f t="shared" si="188"/>
        <v>2471.7490218960002</v>
      </c>
    </row>
    <row r="1501" spans="1:45" x14ac:dyDescent="0.3">
      <c r="A1501">
        <v>2025</v>
      </c>
      <c r="B1501">
        <v>8</v>
      </c>
      <c r="C1501" t="s">
        <v>35</v>
      </c>
      <c r="D1501">
        <v>10</v>
      </c>
      <c r="E1501" t="s">
        <v>36</v>
      </c>
      <c r="F1501" t="s">
        <v>37</v>
      </c>
      <c r="G1501" t="s">
        <v>38</v>
      </c>
      <c r="H1501" t="s">
        <v>206</v>
      </c>
      <c r="I1501" t="s">
        <v>190</v>
      </c>
      <c r="J1501" t="s">
        <v>40</v>
      </c>
      <c r="K1501" t="s">
        <v>59</v>
      </c>
      <c r="L1501" t="s">
        <v>1292</v>
      </c>
      <c r="M1501">
        <v>454450</v>
      </c>
      <c r="N1501" t="s">
        <v>42</v>
      </c>
      <c r="O1501" t="s">
        <v>1197</v>
      </c>
      <c r="P1501" t="s">
        <v>191</v>
      </c>
      <c r="Q1501" t="s">
        <v>44</v>
      </c>
      <c r="R1501" t="s">
        <v>1035</v>
      </c>
      <c r="S1501" t="s">
        <v>1198</v>
      </c>
      <c r="T1501" t="s">
        <v>47</v>
      </c>
      <c r="U1501" t="s">
        <v>476</v>
      </c>
      <c r="V1501" t="s">
        <v>49</v>
      </c>
      <c r="W1501" t="s">
        <v>708</v>
      </c>
      <c r="X1501" t="s">
        <v>388</v>
      </c>
      <c r="Y1501" t="s">
        <v>479</v>
      </c>
      <c r="Z1501" t="s">
        <v>479</v>
      </c>
      <c r="AA1501" t="s">
        <v>480</v>
      </c>
      <c r="AB1501" s="3">
        <f t="shared" si="189"/>
        <v>1</v>
      </c>
      <c r="AC1501">
        <v>507.81</v>
      </c>
      <c r="AD1501" s="2">
        <v>507.81</v>
      </c>
      <c r="AE1501" s="2">
        <v>15.91</v>
      </c>
      <c r="AF1501" s="2">
        <v>3.47</v>
      </c>
      <c r="AG1501" s="2">
        <v>527.19000000000005</v>
      </c>
      <c r="AH1501">
        <v>0</v>
      </c>
      <c r="AI1501">
        <v>527.19000000000005</v>
      </c>
      <c r="AJ1501">
        <v>2.6359499999999998</v>
      </c>
      <c r="AK1501" t="s">
        <v>54</v>
      </c>
      <c r="AL1501">
        <v>0.81</v>
      </c>
      <c r="AM1501" s="4">
        <f t="shared" si="190"/>
        <v>527.19000000000005</v>
      </c>
      <c r="AN1501" s="4">
        <f t="shared" si="191"/>
        <v>952.14374999999995</v>
      </c>
      <c r="AO1501" s="4">
        <f t="shared" si="192"/>
        <v>1057.83170625</v>
      </c>
      <c r="AP1501" s="4">
        <f t="shared" si="193"/>
        <v>1542.3776606249999</v>
      </c>
      <c r="AQ1501" s="10">
        <f t="shared" si="186"/>
        <v>916.83612900000014</v>
      </c>
      <c r="AR1501" s="10">
        <f t="shared" si="187"/>
        <v>1018.6966229319002</v>
      </c>
      <c r="AS1501" s="10">
        <f t="shared" si="188"/>
        <v>1427.3304856272002</v>
      </c>
    </row>
    <row r="1502" spans="1:45" x14ac:dyDescent="0.3">
      <c r="A1502">
        <v>2025</v>
      </c>
      <c r="B1502">
        <v>2</v>
      </c>
      <c r="C1502" t="s">
        <v>35</v>
      </c>
      <c r="D1502">
        <v>10</v>
      </c>
      <c r="E1502" t="s">
        <v>36</v>
      </c>
      <c r="F1502" t="s">
        <v>37</v>
      </c>
      <c r="G1502" t="s">
        <v>38</v>
      </c>
      <c r="H1502" t="s">
        <v>206</v>
      </c>
      <c r="I1502" t="s">
        <v>190</v>
      </c>
      <c r="J1502" t="s">
        <v>40</v>
      </c>
      <c r="K1502" t="s">
        <v>59</v>
      </c>
      <c r="M1502">
        <v>434264</v>
      </c>
      <c r="N1502" t="s">
        <v>42</v>
      </c>
      <c r="O1502" t="s">
        <v>43</v>
      </c>
      <c r="P1502" t="s">
        <v>191</v>
      </c>
      <c r="Q1502" t="s">
        <v>44</v>
      </c>
      <c r="R1502" t="s">
        <v>192</v>
      </c>
      <c r="S1502" t="s">
        <v>193</v>
      </c>
      <c r="T1502" t="s">
        <v>47</v>
      </c>
      <c r="U1502" t="s">
        <v>114</v>
      </c>
      <c r="V1502" t="s">
        <v>49</v>
      </c>
      <c r="W1502" t="s">
        <v>115</v>
      </c>
      <c r="X1502" t="s">
        <v>51</v>
      </c>
      <c r="Y1502" t="s">
        <v>1074</v>
      </c>
      <c r="Z1502" t="s">
        <v>1075</v>
      </c>
      <c r="AA1502" t="s">
        <v>1320</v>
      </c>
      <c r="AB1502" s="3">
        <f t="shared" si="189"/>
        <v>1</v>
      </c>
      <c r="AC1502">
        <v>690.78</v>
      </c>
      <c r="AD1502" s="2">
        <v>690.78</v>
      </c>
      <c r="AE1502" s="2">
        <v>113.93</v>
      </c>
      <c r="AF1502" s="2">
        <v>4.8899999999999997</v>
      </c>
      <c r="AG1502" s="2">
        <v>809.6</v>
      </c>
      <c r="AH1502">
        <v>0</v>
      </c>
      <c r="AI1502">
        <v>809.6</v>
      </c>
      <c r="AJ1502">
        <v>4.048</v>
      </c>
      <c r="AK1502" t="s">
        <v>54</v>
      </c>
      <c r="AL1502">
        <v>155.66999999999999</v>
      </c>
      <c r="AM1502" s="4">
        <f t="shared" si="190"/>
        <v>809.6</v>
      </c>
      <c r="AN1502" s="4">
        <f t="shared" si="191"/>
        <v>1295.2124999999999</v>
      </c>
      <c r="AO1502" s="4">
        <f t="shared" si="192"/>
        <v>1438.9810874999998</v>
      </c>
      <c r="AP1502" s="4">
        <f t="shared" si="193"/>
        <v>2098.1147287499998</v>
      </c>
      <c r="AQ1502" s="10">
        <f t="shared" si="186"/>
        <v>1407.9753600000001</v>
      </c>
      <c r="AR1502" s="10">
        <f t="shared" si="187"/>
        <v>1564.4014224960001</v>
      </c>
      <c r="AS1502" s="10">
        <f t="shared" si="188"/>
        <v>2191.9360404480003</v>
      </c>
    </row>
    <row r="1503" spans="1:45" x14ac:dyDescent="0.3">
      <c r="A1503">
        <v>2025</v>
      </c>
      <c r="B1503">
        <v>12</v>
      </c>
      <c r="C1503" t="s">
        <v>55</v>
      </c>
      <c r="D1503">
        <v>10</v>
      </c>
      <c r="E1503" t="s">
        <v>36</v>
      </c>
      <c r="F1503" t="s">
        <v>37</v>
      </c>
      <c r="G1503" t="s">
        <v>38</v>
      </c>
      <c r="H1503" t="s">
        <v>206</v>
      </c>
      <c r="I1503" t="s">
        <v>57</v>
      </c>
      <c r="J1503" t="s">
        <v>58</v>
      </c>
      <c r="K1503" t="s">
        <v>59</v>
      </c>
      <c r="L1503" t="s">
        <v>1769</v>
      </c>
      <c r="M1503" t="s">
        <v>1770</v>
      </c>
      <c r="N1503" t="s">
        <v>1771</v>
      </c>
      <c r="O1503" t="s">
        <v>1197</v>
      </c>
      <c r="Q1503" t="s">
        <v>62</v>
      </c>
      <c r="R1503" t="s">
        <v>1772</v>
      </c>
      <c r="S1503" t="s">
        <v>1772</v>
      </c>
      <c r="T1503" t="s">
        <v>47</v>
      </c>
      <c r="U1503" t="s">
        <v>114</v>
      </c>
      <c r="V1503" t="s">
        <v>49</v>
      </c>
      <c r="W1503" t="s">
        <v>710</v>
      </c>
      <c r="X1503" t="s">
        <v>51</v>
      </c>
      <c r="Y1503" t="s">
        <v>207</v>
      </c>
      <c r="Z1503" t="s">
        <v>207</v>
      </c>
      <c r="AA1503" t="s">
        <v>208</v>
      </c>
      <c r="AB1503" s="3">
        <f t="shared" si="189"/>
        <v>1</v>
      </c>
      <c r="AC1503">
        <v>1230.55</v>
      </c>
      <c r="AD1503" s="2">
        <v>1230.55</v>
      </c>
      <c r="AE1503" s="2">
        <v>64.33</v>
      </c>
      <c r="AF1503" s="2">
        <v>8.15</v>
      </c>
      <c r="AG1503" s="2">
        <v>1303.03</v>
      </c>
      <c r="AH1503">
        <v>0</v>
      </c>
      <c r="AI1503">
        <v>1303.03</v>
      </c>
      <c r="AJ1503">
        <v>6.5151500000000002</v>
      </c>
      <c r="AK1503" t="s">
        <v>54</v>
      </c>
      <c r="AL1503">
        <v>6</v>
      </c>
      <c r="AM1503" s="4">
        <f t="shared" si="190"/>
        <v>1303.03</v>
      </c>
      <c r="AN1503" s="4">
        <f t="shared" si="191"/>
        <v>2307.28125</v>
      </c>
      <c r="AO1503" s="4">
        <f t="shared" si="192"/>
        <v>2563.3894687500001</v>
      </c>
      <c r="AP1503" s="4">
        <f t="shared" si="193"/>
        <v>3737.5648968749997</v>
      </c>
      <c r="AQ1503" s="10">
        <f t="shared" si="186"/>
        <v>2266.0994730000002</v>
      </c>
      <c r="AR1503" s="10">
        <f t="shared" si="187"/>
        <v>2517.8631244503003</v>
      </c>
      <c r="AS1503" s="10">
        <f t="shared" si="188"/>
        <v>3527.8636595664002</v>
      </c>
    </row>
    <row r="1504" spans="1:45" x14ac:dyDescent="0.3">
      <c r="A1504">
        <v>2025</v>
      </c>
      <c r="B1504">
        <v>12</v>
      </c>
      <c r="C1504" t="s">
        <v>35</v>
      </c>
      <c r="D1504">
        <v>10</v>
      </c>
      <c r="E1504" t="s">
        <v>36</v>
      </c>
      <c r="F1504" t="s">
        <v>37</v>
      </c>
      <c r="G1504" t="s">
        <v>38</v>
      </c>
      <c r="H1504" t="s">
        <v>206</v>
      </c>
      <c r="K1504" t="s">
        <v>59</v>
      </c>
      <c r="L1504" t="s">
        <v>1817</v>
      </c>
      <c r="M1504">
        <v>464176</v>
      </c>
      <c r="N1504" t="s">
        <v>42</v>
      </c>
      <c r="O1504" t="s">
        <v>1197</v>
      </c>
      <c r="P1504" t="s">
        <v>191</v>
      </c>
      <c r="Q1504" t="s">
        <v>44</v>
      </c>
      <c r="R1504" t="s">
        <v>1818</v>
      </c>
      <c r="S1504" t="s">
        <v>1794</v>
      </c>
      <c r="T1504" t="s">
        <v>47</v>
      </c>
      <c r="U1504" t="s">
        <v>114</v>
      </c>
      <c r="V1504" t="s">
        <v>49</v>
      </c>
      <c r="W1504" t="s">
        <v>710</v>
      </c>
      <c r="X1504" t="s">
        <v>388</v>
      </c>
      <c r="Y1504" t="s">
        <v>1851</v>
      </c>
      <c r="Z1504" t="s">
        <v>1851</v>
      </c>
      <c r="AA1504" t="s">
        <v>208</v>
      </c>
      <c r="AB1504" s="3">
        <f t="shared" si="189"/>
        <v>1</v>
      </c>
      <c r="AC1504">
        <v>1183.58</v>
      </c>
      <c r="AD1504" s="2">
        <v>1183.58</v>
      </c>
      <c r="AE1504" s="2">
        <v>351.36</v>
      </c>
      <c r="AF1504" s="2">
        <v>8.8800000000000008</v>
      </c>
      <c r="AG1504" s="2">
        <v>1543.83</v>
      </c>
      <c r="AH1504">
        <v>0</v>
      </c>
      <c r="AI1504">
        <v>1543.83</v>
      </c>
      <c r="AJ1504">
        <v>7.71915</v>
      </c>
      <c r="AK1504" t="s">
        <v>54</v>
      </c>
      <c r="AL1504">
        <v>8.8000000000000007</v>
      </c>
      <c r="AM1504" s="4">
        <f t="shared" si="190"/>
        <v>1543.83</v>
      </c>
      <c r="AN1504" s="4">
        <f t="shared" si="191"/>
        <v>2219.2124999999996</v>
      </c>
      <c r="AO1504" s="4">
        <f t="shared" si="192"/>
        <v>2465.5450874999997</v>
      </c>
      <c r="AP1504" s="4">
        <f t="shared" si="193"/>
        <v>3594.902328749999</v>
      </c>
      <c r="AQ1504" s="10">
        <f t="shared" si="186"/>
        <v>2684.8747530000001</v>
      </c>
      <c r="AR1504" s="10">
        <f t="shared" si="187"/>
        <v>2983.1643380583</v>
      </c>
      <c r="AS1504" s="10">
        <f t="shared" si="188"/>
        <v>4179.8130154704004</v>
      </c>
    </row>
    <row r="1505" spans="1:45" x14ac:dyDescent="0.3">
      <c r="A1505">
        <v>2025</v>
      </c>
      <c r="B1505">
        <v>9</v>
      </c>
      <c r="C1505" t="s">
        <v>55</v>
      </c>
      <c r="D1505">
        <v>10</v>
      </c>
      <c r="E1505" t="s">
        <v>36</v>
      </c>
      <c r="F1505" t="s">
        <v>37</v>
      </c>
      <c r="G1505" t="s">
        <v>38</v>
      </c>
      <c r="H1505" t="s">
        <v>206</v>
      </c>
      <c r="I1505" t="s">
        <v>375</v>
      </c>
      <c r="J1505" t="s">
        <v>376</v>
      </c>
      <c r="K1505" t="s">
        <v>41</v>
      </c>
      <c r="L1505" t="s">
        <v>1503</v>
      </c>
      <c r="M1505" t="s">
        <v>1504</v>
      </c>
      <c r="N1505" t="s">
        <v>377</v>
      </c>
      <c r="O1505" t="s">
        <v>1197</v>
      </c>
      <c r="Q1505" t="s">
        <v>62</v>
      </c>
      <c r="R1505" t="s">
        <v>1505</v>
      </c>
      <c r="S1505" t="s">
        <v>1505</v>
      </c>
      <c r="T1505" t="s">
        <v>47</v>
      </c>
      <c r="U1505" t="s">
        <v>114</v>
      </c>
      <c r="V1505" t="s">
        <v>49</v>
      </c>
      <c r="W1505" t="s">
        <v>710</v>
      </c>
      <c r="X1505" t="s">
        <v>388</v>
      </c>
      <c r="Y1505" t="s">
        <v>1074</v>
      </c>
      <c r="Z1505" t="s">
        <v>1075</v>
      </c>
      <c r="AA1505" t="s">
        <v>1850</v>
      </c>
      <c r="AB1505" s="3">
        <f t="shared" si="189"/>
        <v>1</v>
      </c>
      <c r="AC1505">
        <v>1270.32</v>
      </c>
      <c r="AD1505" s="2">
        <v>1270.32</v>
      </c>
      <c r="AE1505" s="2">
        <v>183.6</v>
      </c>
      <c r="AF1505" s="2">
        <v>8.9499999999999993</v>
      </c>
      <c r="AG1505" s="2">
        <v>1462.88</v>
      </c>
      <c r="AH1505">
        <v>0</v>
      </c>
      <c r="AI1505">
        <v>1462.88</v>
      </c>
      <c r="AJ1505">
        <v>7.3144</v>
      </c>
      <c r="AK1505" t="s">
        <v>54</v>
      </c>
      <c r="AL1505">
        <v>452.1</v>
      </c>
      <c r="AM1505" s="4">
        <f t="shared" si="190"/>
        <v>1462.88</v>
      </c>
      <c r="AN1505" s="4">
        <f t="shared" si="191"/>
        <v>2381.85</v>
      </c>
      <c r="AO1505" s="4">
        <f t="shared" si="192"/>
        <v>2646.2353499999999</v>
      </c>
      <c r="AP1505" s="4">
        <f t="shared" si="193"/>
        <v>3858.3588149999996</v>
      </c>
      <c r="AQ1505" s="10">
        <f t="shared" si="186"/>
        <v>2544.0946080000003</v>
      </c>
      <c r="AR1505" s="10">
        <f t="shared" si="187"/>
        <v>2826.7435189488001</v>
      </c>
      <c r="AS1505" s="10">
        <f t="shared" si="188"/>
        <v>3960.6464857344004</v>
      </c>
    </row>
    <row r="1506" spans="1:45" x14ac:dyDescent="0.3">
      <c r="A1506">
        <v>2025</v>
      </c>
      <c r="B1506">
        <v>9</v>
      </c>
      <c r="C1506" t="s">
        <v>55</v>
      </c>
      <c r="D1506">
        <v>10</v>
      </c>
      <c r="E1506" t="s">
        <v>36</v>
      </c>
      <c r="F1506" t="s">
        <v>37</v>
      </c>
      <c r="G1506" t="s">
        <v>38</v>
      </c>
      <c r="H1506" t="s">
        <v>206</v>
      </c>
      <c r="I1506" t="s">
        <v>375</v>
      </c>
      <c r="J1506" t="s">
        <v>376</v>
      </c>
      <c r="K1506" t="s">
        <v>41</v>
      </c>
      <c r="L1506" t="s">
        <v>1503</v>
      </c>
      <c r="M1506" t="s">
        <v>1504</v>
      </c>
      <c r="N1506" t="s">
        <v>377</v>
      </c>
      <c r="O1506" t="s">
        <v>1197</v>
      </c>
      <c r="Q1506" t="s">
        <v>62</v>
      </c>
      <c r="R1506" t="s">
        <v>1505</v>
      </c>
      <c r="S1506" t="s">
        <v>1505</v>
      </c>
      <c r="T1506" t="s">
        <v>47</v>
      </c>
      <c r="U1506" t="s">
        <v>114</v>
      </c>
      <c r="V1506" t="s">
        <v>49</v>
      </c>
      <c r="W1506" t="s">
        <v>710</v>
      </c>
      <c r="X1506" t="s">
        <v>388</v>
      </c>
      <c r="Y1506" t="s">
        <v>1074</v>
      </c>
      <c r="Z1506" t="s">
        <v>1075</v>
      </c>
      <c r="AA1506" t="s">
        <v>1510</v>
      </c>
      <c r="AB1506" s="3">
        <f t="shared" si="189"/>
        <v>1</v>
      </c>
      <c r="AC1506">
        <v>1414.53</v>
      </c>
      <c r="AD1506" s="2">
        <v>1414.53</v>
      </c>
      <c r="AE1506" s="2">
        <v>514.32000000000005</v>
      </c>
      <c r="AF1506" s="2">
        <v>11.84</v>
      </c>
      <c r="AG1506" s="2">
        <v>1940.69</v>
      </c>
      <c r="AH1506">
        <v>0</v>
      </c>
      <c r="AI1506">
        <v>1940.69</v>
      </c>
      <c r="AJ1506">
        <v>9.7034500000000001</v>
      </c>
      <c r="AK1506" t="s">
        <v>54</v>
      </c>
      <c r="AL1506">
        <v>2.23</v>
      </c>
      <c r="AM1506" s="4">
        <f t="shared" si="190"/>
        <v>1940.69</v>
      </c>
      <c r="AN1506" s="4">
        <f t="shared" si="191"/>
        <v>2652.2437500000001</v>
      </c>
      <c r="AO1506" s="4">
        <f t="shared" si="192"/>
        <v>2946.6428062499999</v>
      </c>
      <c r="AP1506" s="4">
        <f t="shared" si="193"/>
        <v>4296.3696506249998</v>
      </c>
      <c r="AQ1506" s="10">
        <f t="shared" ref="AQ1506:AQ1569" si="194">SUM(AM1506)*1.7391</f>
        <v>3375.0539790000003</v>
      </c>
      <c r="AR1506" s="10">
        <f t="shared" ref="AR1506:AR1569" si="195">SUM(AQ1506)*1.1111</f>
        <v>3750.0224760669003</v>
      </c>
      <c r="AS1506" s="10">
        <f t="shared" ref="AS1506:AS1569" si="196">SUM(AQ1506)*1.5568</f>
        <v>5254.2840345072</v>
      </c>
    </row>
    <row r="1507" spans="1:45" x14ac:dyDescent="0.3">
      <c r="A1507">
        <v>2025</v>
      </c>
      <c r="B1507">
        <v>9</v>
      </c>
      <c r="C1507" t="s">
        <v>55</v>
      </c>
      <c r="D1507">
        <v>10</v>
      </c>
      <c r="E1507" t="s">
        <v>36</v>
      </c>
      <c r="F1507" t="s">
        <v>37</v>
      </c>
      <c r="G1507" t="s">
        <v>38</v>
      </c>
      <c r="H1507" t="s">
        <v>206</v>
      </c>
      <c r="I1507" t="s">
        <v>375</v>
      </c>
      <c r="J1507" t="s">
        <v>376</v>
      </c>
      <c r="K1507" t="s">
        <v>41</v>
      </c>
      <c r="L1507" t="s">
        <v>1503</v>
      </c>
      <c r="M1507" t="s">
        <v>1504</v>
      </c>
      <c r="N1507" t="s">
        <v>377</v>
      </c>
      <c r="O1507" t="s">
        <v>1197</v>
      </c>
      <c r="Q1507" t="s">
        <v>62</v>
      </c>
      <c r="R1507" t="s">
        <v>1505</v>
      </c>
      <c r="S1507" t="s">
        <v>1505</v>
      </c>
      <c r="T1507" t="s">
        <v>47</v>
      </c>
      <c r="U1507" t="s">
        <v>114</v>
      </c>
      <c r="V1507" t="s">
        <v>49</v>
      </c>
      <c r="W1507" t="s">
        <v>710</v>
      </c>
      <c r="X1507" t="s">
        <v>388</v>
      </c>
      <c r="Y1507" t="s">
        <v>1074</v>
      </c>
      <c r="Z1507" t="s">
        <v>1075</v>
      </c>
      <c r="AA1507" t="s">
        <v>1510</v>
      </c>
      <c r="AB1507" s="3">
        <f t="shared" si="189"/>
        <v>1</v>
      </c>
      <c r="AC1507">
        <v>1414.53</v>
      </c>
      <c r="AD1507" s="2">
        <v>1414.53</v>
      </c>
      <c r="AE1507" s="2">
        <v>514.32000000000005</v>
      </c>
      <c r="AF1507" s="2">
        <v>11.84</v>
      </c>
      <c r="AG1507" s="2">
        <v>1940.69</v>
      </c>
      <c r="AH1507">
        <v>0</v>
      </c>
      <c r="AI1507">
        <v>1940.69</v>
      </c>
      <c r="AJ1507">
        <v>9.7034500000000001</v>
      </c>
      <c r="AK1507" t="s">
        <v>54</v>
      </c>
      <c r="AL1507">
        <v>2.23</v>
      </c>
      <c r="AM1507" s="4">
        <f t="shared" si="190"/>
        <v>1940.69</v>
      </c>
      <c r="AN1507" s="4">
        <f t="shared" si="191"/>
        <v>2652.2437500000001</v>
      </c>
      <c r="AO1507" s="4">
        <f t="shared" si="192"/>
        <v>2946.6428062499999</v>
      </c>
      <c r="AP1507" s="4">
        <f t="shared" si="193"/>
        <v>4296.3696506249998</v>
      </c>
      <c r="AQ1507" s="10">
        <f t="shared" si="194"/>
        <v>3375.0539790000003</v>
      </c>
      <c r="AR1507" s="10">
        <f t="shared" si="195"/>
        <v>3750.0224760669003</v>
      </c>
      <c r="AS1507" s="10">
        <f t="shared" si="196"/>
        <v>5254.2840345072</v>
      </c>
    </row>
    <row r="1508" spans="1:45" x14ac:dyDescent="0.3">
      <c r="A1508">
        <v>2025</v>
      </c>
      <c r="B1508">
        <v>7</v>
      </c>
      <c r="C1508" t="s">
        <v>55</v>
      </c>
      <c r="D1508">
        <v>10</v>
      </c>
      <c r="E1508" t="s">
        <v>36</v>
      </c>
      <c r="F1508" t="s">
        <v>37</v>
      </c>
      <c r="G1508" t="s">
        <v>38</v>
      </c>
      <c r="H1508" t="s">
        <v>206</v>
      </c>
      <c r="I1508" t="s">
        <v>190</v>
      </c>
      <c r="J1508" t="s">
        <v>58</v>
      </c>
      <c r="K1508" t="s">
        <v>41</v>
      </c>
      <c r="L1508" t="s">
        <v>953</v>
      </c>
      <c r="M1508" t="s">
        <v>954</v>
      </c>
      <c r="N1508" t="s">
        <v>731</v>
      </c>
      <c r="O1508" t="s">
        <v>36</v>
      </c>
      <c r="Q1508" t="s">
        <v>62</v>
      </c>
      <c r="R1508" t="s">
        <v>955</v>
      </c>
      <c r="S1508" t="s">
        <v>956</v>
      </c>
      <c r="T1508" t="s">
        <v>47</v>
      </c>
      <c r="U1508" t="s">
        <v>476</v>
      </c>
      <c r="V1508" t="s">
        <v>49</v>
      </c>
      <c r="W1508" t="s">
        <v>708</v>
      </c>
      <c r="X1508" t="s">
        <v>51</v>
      </c>
      <c r="Y1508" t="s">
        <v>1074</v>
      </c>
      <c r="Z1508" t="s">
        <v>1075</v>
      </c>
      <c r="AA1508" t="s">
        <v>1511</v>
      </c>
      <c r="AB1508" s="3">
        <f t="shared" si="189"/>
        <v>1</v>
      </c>
      <c r="AC1508">
        <v>1689.37</v>
      </c>
      <c r="AD1508" s="2">
        <v>1689.37</v>
      </c>
      <c r="AE1508" s="2">
        <v>614.27</v>
      </c>
      <c r="AF1508" s="2">
        <v>14.14</v>
      </c>
      <c r="AG1508" s="2">
        <v>2317.7800000000002</v>
      </c>
      <c r="AH1508">
        <v>0</v>
      </c>
      <c r="AI1508">
        <v>2317.7800000000002</v>
      </c>
      <c r="AJ1508">
        <v>11.588900000000001</v>
      </c>
      <c r="AK1508" t="s">
        <v>54</v>
      </c>
      <c r="AL1508">
        <v>2.23</v>
      </c>
      <c r="AM1508" s="4">
        <f t="shared" si="190"/>
        <v>2317.7800000000002</v>
      </c>
      <c r="AN1508" s="4">
        <f t="shared" si="191"/>
        <v>3167.5687499999999</v>
      </c>
      <c r="AO1508" s="4">
        <f t="shared" si="192"/>
        <v>3519.1688812499997</v>
      </c>
      <c r="AP1508" s="4">
        <f t="shared" si="193"/>
        <v>5131.1446181249994</v>
      </c>
      <c r="AQ1508" s="10">
        <f t="shared" si="194"/>
        <v>4030.8511980000007</v>
      </c>
      <c r="AR1508" s="10">
        <f t="shared" si="195"/>
        <v>4478.6787660978007</v>
      </c>
      <c r="AS1508" s="10">
        <f t="shared" si="196"/>
        <v>6275.2291450464008</v>
      </c>
    </row>
    <row r="1509" spans="1:45" x14ac:dyDescent="0.3">
      <c r="A1509">
        <v>2025</v>
      </c>
      <c r="B1509">
        <v>8</v>
      </c>
      <c r="C1509" t="s">
        <v>55</v>
      </c>
      <c r="D1509">
        <v>10</v>
      </c>
      <c r="E1509" t="s">
        <v>36</v>
      </c>
      <c r="F1509" t="s">
        <v>37</v>
      </c>
      <c r="G1509" t="s">
        <v>38</v>
      </c>
      <c r="H1509" t="s">
        <v>206</v>
      </c>
      <c r="I1509" t="s">
        <v>190</v>
      </c>
      <c r="J1509" t="s">
        <v>58</v>
      </c>
      <c r="K1509" t="s">
        <v>59</v>
      </c>
      <c r="L1509" t="s">
        <v>1194</v>
      </c>
      <c r="M1509" t="s">
        <v>1195</v>
      </c>
      <c r="N1509" t="s">
        <v>1196</v>
      </c>
      <c r="O1509" t="s">
        <v>1197</v>
      </c>
      <c r="Q1509" t="s">
        <v>62</v>
      </c>
      <c r="R1509" t="s">
        <v>1198</v>
      </c>
      <c r="S1509" t="s">
        <v>1198</v>
      </c>
      <c r="T1509" t="s">
        <v>47</v>
      </c>
      <c r="U1509" t="s">
        <v>114</v>
      </c>
      <c r="V1509" t="s">
        <v>49</v>
      </c>
      <c r="W1509" t="s">
        <v>710</v>
      </c>
      <c r="X1509" t="s">
        <v>388</v>
      </c>
      <c r="Y1509" t="s">
        <v>1077</v>
      </c>
      <c r="Z1509" t="s">
        <v>1077</v>
      </c>
      <c r="AA1509" t="s">
        <v>1078</v>
      </c>
      <c r="AB1509" s="3">
        <f t="shared" si="189"/>
        <v>1</v>
      </c>
      <c r="AC1509">
        <v>96.7</v>
      </c>
      <c r="AD1509" s="2">
        <v>96.7</v>
      </c>
      <c r="AE1509" s="2">
        <v>29.4</v>
      </c>
      <c r="AF1509" s="2">
        <v>0.66</v>
      </c>
      <c r="AG1509" s="2">
        <v>125.77</v>
      </c>
      <c r="AH1509">
        <v>0</v>
      </c>
      <c r="AI1509">
        <v>125.77</v>
      </c>
      <c r="AJ1509">
        <v>0.62885000000000002</v>
      </c>
      <c r="AK1509" t="s">
        <v>54</v>
      </c>
      <c r="AL1509">
        <v>2.17</v>
      </c>
      <c r="AM1509" s="4">
        <f t="shared" si="190"/>
        <v>125.77</v>
      </c>
      <c r="AN1509" s="4">
        <f t="shared" si="191"/>
        <v>181.3125</v>
      </c>
      <c r="AO1509" s="4">
        <f t="shared" si="192"/>
        <v>201.4381875</v>
      </c>
      <c r="AP1509" s="4">
        <f t="shared" si="193"/>
        <v>293.70811874999998</v>
      </c>
      <c r="AQ1509" s="10">
        <f t="shared" si="194"/>
        <v>218.726607</v>
      </c>
      <c r="AR1509" s="10">
        <f t="shared" si="195"/>
        <v>243.0271330377</v>
      </c>
      <c r="AS1509" s="10">
        <f t="shared" si="196"/>
        <v>340.5135817776</v>
      </c>
    </row>
    <row r="1510" spans="1:45" x14ac:dyDescent="0.3">
      <c r="A1510">
        <v>2025</v>
      </c>
      <c r="B1510">
        <v>4</v>
      </c>
      <c r="C1510" t="s">
        <v>55</v>
      </c>
      <c r="D1510">
        <v>10</v>
      </c>
      <c r="E1510" t="s">
        <v>36</v>
      </c>
      <c r="F1510" t="s">
        <v>37</v>
      </c>
      <c r="G1510" t="s">
        <v>38</v>
      </c>
      <c r="H1510" t="s">
        <v>206</v>
      </c>
      <c r="I1510" t="s">
        <v>375</v>
      </c>
      <c r="J1510" t="s">
        <v>376</v>
      </c>
      <c r="K1510" t="s">
        <v>59</v>
      </c>
      <c r="M1510">
        <v>2503061</v>
      </c>
      <c r="N1510" t="s">
        <v>377</v>
      </c>
      <c r="O1510" t="s">
        <v>36</v>
      </c>
      <c r="Q1510" t="s">
        <v>62</v>
      </c>
      <c r="R1510" t="s">
        <v>378</v>
      </c>
      <c r="S1510" t="s">
        <v>378</v>
      </c>
      <c r="T1510" t="s">
        <v>47</v>
      </c>
      <c r="U1510" t="s">
        <v>114</v>
      </c>
      <c r="V1510" t="s">
        <v>49</v>
      </c>
      <c r="W1510" t="s">
        <v>115</v>
      </c>
      <c r="X1510" t="s">
        <v>51</v>
      </c>
      <c r="Y1510" t="s">
        <v>1074</v>
      </c>
      <c r="Z1510" t="s">
        <v>1075</v>
      </c>
      <c r="AA1510" t="s">
        <v>1078</v>
      </c>
      <c r="AB1510" s="3">
        <f t="shared" si="189"/>
        <v>1</v>
      </c>
      <c r="AC1510">
        <v>100.94</v>
      </c>
      <c r="AD1510" s="2">
        <v>100.94</v>
      </c>
      <c r="AE1510" s="2">
        <v>7.23</v>
      </c>
      <c r="AF1510" s="2">
        <v>0.65</v>
      </c>
      <c r="AG1510" s="2">
        <v>108.82</v>
      </c>
      <c r="AH1510">
        <v>0</v>
      </c>
      <c r="AI1510">
        <v>108.82</v>
      </c>
      <c r="AJ1510">
        <v>0.54410000000000003</v>
      </c>
      <c r="AK1510" t="s">
        <v>54</v>
      </c>
      <c r="AL1510">
        <v>0.85</v>
      </c>
      <c r="AM1510" s="4">
        <f t="shared" si="190"/>
        <v>108.82</v>
      </c>
      <c r="AN1510" s="4">
        <f t="shared" si="191"/>
        <v>189.26249999999999</v>
      </c>
      <c r="AO1510" s="4">
        <f t="shared" si="192"/>
        <v>210.27063749999999</v>
      </c>
      <c r="AP1510" s="4">
        <f t="shared" si="193"/>
        <v>306.58632374999996</v>
      </c>
      <c r="AQ1510" s="10">
        <f t="shared" si="194"/>
        <v>189.248862</v>
      </c>
      <c r="AR1510" s="10">
        <f t="shared" si="195"/>
        <v>210.27441056820001</v>
      </c>
      <c r="AS1510" s="10">
        <f t="shared" si="196"/>
        <v>294.62262836159999</v>
      </c>
    </row>
    <row r="1511" spans="1:45" x14ac:dyDescent="0.3">
      <c r="A1511">
        <v>2025</v>
      </c>
      <c r="B1511">
        <v>9</v>
      </c>
      <c r="C1511" t="s">
        <v>55</v>
      </c>
      <c r="D1511">
        <v>10</v>
      </c>
      <c r="E1511" t="s">
        <v>36</v>
      </c>
      <c r="F1511" t="s">
        <v>37</v>
      </c>
      <c r="G1511" t="s">
        <v>38</v>
      </c>
      <c r="H1511" t="s">
        <v>206</v>
      </c>
      <c r="I1511" t="s">
        <v>375</v>
      </c>
      <c r="J1511" t="s">
        <v>376</v>
      </c>
      <c r="K1511" t="s">
        <v>41</v>
      </c>
      <c r="L1511" t="s">
        <v>1503</v>
      </c>
      <c r="M1511" t="s">
        <v>1504</v>
      </c>
      <c r="N1511" t="s">
        <v>377</v>
      </c>
      <c r="O1511" t="s">
        <v>1197</v>
      </c>
      <c r="Q1511" t="s">
        <v>62</v>
      </c>
      <c r="R1511" t="s">
        <v>1505</v>
      </c>
      <c r="S1511" t="s">
        <v>1505</v>
      </c>
      <c r="T1511" t="s">
        <v>47</v>
      </c>
      <c r="U1511" t="s">
        <v>114</v>
      </c>
      <c r="V1511" t="s">
        <v>49</v>
      </c>
      <c r="W1511" t="s">
        <v>710</v>
      </c>
      <c r="X1511" t="s">
        <v>388</v>
      </c>
      <c r="Y1511" t="s">
        <v>130</v>
      </c>
      <c r="Z1511" t="s">
        <v>130</v>
      </c>
      <c r="AA1511" t="s">
        <v>475</v>
      </c>
      <c r="AB1511" s="3">
        <f t="shared" si="189"/>
        <v>1</v>
      </c>
      <c r="AC1511">
        <v>538.1</v>
      </c>
      <c r="AD1511" s="2">
        <v>538.1</v>
      </c>
      <c r="AE1511" s="2">
        <v>23.68</v>
      </c>
      <c r="AF1511" s="2">
        <v>3.84</v>
      </c>
      <c r="AG1511" s="2">
        <v>565.62</v>
      </c>
      <c r="AH1511">
        <v>0</v>
      </c>
      <c r="AI1511">
        <v>565.62</v>
      </c>
      <c r="AJ1511">
        <v>2.8281000000000001</v>
      </c>
      <c r="AK1511" t="s">
        <v>54</v>
      </c>
      <c r="AL1511">
        <v>1.1299999999999999</v>
      </c>
      <c r="AM1511" s="4">
        <f t="shared" si="190"/>
        <v>565.62</v>
      </c>
      <c r="AN1511" s="4">
        <f t="shared" si="191"/>
        <v>1008.9375</v>
      </c>
      <c r="AO1511" s="4">
        <f t="shared" si="192"/>
        <v>1120.9295625</v>
      </c>
      <c r="AP1511" s="4">
        <f t="shared" si="193"/>
        <v>1634.3778562499999</v>
      </c>
      <c r="AQ1511" s="10">
        <f t="shared" si="194"/>
        <v>983.66974200000004</v>
      </c>
      <c r="AR1511" s="10">
        <f t="shared" si="195"/>
        <v>1092.9554503362001</v>
      </c>
      <c r="AS1511" s="10">
        <f t="shared" si="196"/>
        <v>1531.3770543456001</v>
      </c>
    </row>
    <row r="1512" spans="1:45" x14ac:dyDescent="0.3">
      <c r="A1512">
        <v>2025</v>
      </c>
      <c r="B1512">
        <v>9</v>
      </c>
      <c r="C1512" t="s">
        <v>55</v>
      </c>
      <c r="D1512">
        <v>10</v>
      </c>
      <c r="E1512" t="s">
        <v>36</v>
      </c>
      <c r="F1512" t="s">
        <v>37</v>
      </c>
      <c r="G1512" t="s">
        <v>38</v>
      </c>
      <c r="H1512" t="s">
        <v>206</v>
      </c>
      <c r="I1512" t="s">
        <v>375</v>
      </c>
      <c r="J1512" t="s">
        <v>376</v>
      </c>
      <c r="K1512" t="s">
        <v>41</v>
      </c>
      <c r="L1512" t="s">
        <v>1503</v>
      </c>
      <c r="M1512" t="s">
        <v>1504</v>
      </c>
      <c r="N1512" t="s">
        <v>377</v>
      </c>
      <c r="O1512" t="s">
        <v>1197</v>
      </c>
      <c r="Q1512" t="s">
        <v>62</v>
      </c>
      <c r="R1512" t="s">
        <v>1505</v>
      </c>
      <c r="S1512" t="s">
        <v>1505</v>
      </c>
      <c r="T1512" t="s">
        <v>47</v>
      </c>
      <c r="U1512" t="s">
        <v>114</v>
      </c>
      <c r="V1512" t="s">
        <v>49</v>
      </c>
      <c r="W1512" t="s">
        <v>710</v>
      </c>
      <c r="X1512" t="s">
        <v>388</v>
      </c>
      <c r="Y1512" t="s">
        <v>1074</v>
      </c>
      <c r="Z1512" t="s">
        <v>1075</v>
      </c>
      <c r="AA1512" t="s">
        <v>1509</v>
      </c>
      <c r="AB1512" s="3">
        <f t="shared" si="189"/>
        <v>1</v>
      </c>
      <c r="AC1512">
        <v>763.77</v>
      </c>
      <c r="AD1512" s="2">
        <v>763.77</v>
      </c>
      <c r="AE1512" s="2">
        <v>277.7</v>
      </c>
      <c r="AF1512" s="2">
        <v>6.39</v>
      </c>
      <c r="AG1512" s="2">
        <v>1047.8699999999999</v>
      </c>
      <c r="AH1512">
        <v>0</v>
      </c>
      <c r="AI1512">
        <v>1047.8699999999999</v>
      </c>
      <c r="AJ1512">
        <v>5.23935</v>
      </c>
      <c r="AK1512" t="s">
        <v>54</v>
      </c>
      <c r="AL1512">
        <v>2.23</v>
      </c>
      <c r="AM1512" s="4">
        <f t="shared" si="190"/>
        <v>1047.8699999999999</v>
      </c>
      <c r="AN1512" s="4">
        <f t="shared" si="191"/>
        <v>1432.0687499999999</v>
      </c>
      <c r="AO1512" s="4">
        <f t="shared" si="192"/>
        <v>1591.0283812499999</v>
      </c>
      <c r="AP1512" s="4">
        <f t="shared" si="193"/>
        <v>2319.8081681249996</v>
      </c>
      <c r="AQ1512" s="10">
        <f t="shared" si="194"/>
        <v>1822.3507169999998</v>
      </c>
      <c r="AR1512" s="10">
        <f t="shared" si="195"/>
        <v>2024.8138816586998</v>
      </c>
      <c r="AS1512" s="10">
        <f t="shared" si="196"/>
        <v>2837.0355962255994</v>
      </c>
    </row>
    <row r="1513" spans="1:45" x14ac:dyDescent="0.3">
      <c r="A1513">
        <v>2025</v>
      </c>
      <c r="B1513">
        <v>9</v>
      </c>
      <c r="C1513" t="s">
        <v>55</v>
      </c>
      <c r="D1513">
        <v>10</v>
      </c>
      <c r="E1513" t="s">
        <v>36</v>
      </c>
      <c r="F1513" t="s">
        <v>37</v>
      </c>
      <c r="G1513" t="s">
        <v>38</v>
      </c>
      <c r="H1513" t="s">
        <v>67</v>
      </c>
      <c r="I1513" t="s">
        <v>375</v>
      </c>
      <c r="J1513" t="s">
        <v>376</v>
      </c>
      <c r="K1513" t="s">
        <v>41</v>
      </c>
      <c r="L1513" t="s">
        <v>1503</v>
      </c>
      <c r="M1513" t="s">
        <v>1504</v>
      </c>
      <c r="N1513" t="s">
        <v>377</v>
      </c>
      <c r="O1513" t="s">
        <v>1197</v>
      </c>
      <c r="Q1513" t="s">
        <v>62</v>
      </c>
      <c r="R1513" t="s">
        <v>1505</v>
      </c>
      <c r="S1513" t="s">
        <v>1505</v>
      </c>
      <c r="T1513" t="s">
        <v>47</v>
      </c>
      <c r="U1513" t="s">
        <v>938</v>
      </c>
      <c r="V1513" t="s">
        <v>49</v>
      </c>
      <c r="W1513" t="s">
        <v>939</v>
      </c>
      <c r="X1513" t="s">
        <v>388</v>
      </c>
      <c r="Y1513" t="s">
        <v>1074</v>
      </c>
      <c r="Z1513" t="s">
        <v>1075</v>
      </c>
      <c r="AA1513" t="s">
        <v>1509</v>
      </c>
      <c r="AB1513" s="3">
        <f t="shared" si="189"/>
        <v>1</v>
      </c>
      <c r="AC1513">
        <v>763.77</v>
      </c>
      <c r="AD1513" s="2">
        <v>763.77</v>
      </c>
      <c r="AE1513" s="2">
        <v>277.7</v>
      </c>
      <c r="AF1513" s="2">
        <v>6.39</v>
      </c>
      <c r="AG1513" s="2">
        <v>1047.8699999999999</v>
      </c>
      <c r="AH1513">
        <v>0</v>
      </c>
      <c r="AI1513">
        <v>1047.8699999999999</v>
      </c>
      <c r="AJ1513">
        <v>5.23935</v>
      </c>
      <c r="AK1513" t="s">
        <v>54</v>
      </c>
      <c r="AL1513">
        <v>2.23</v>
      </c>
      <c r="AM1513" s="4">
        <f t="shared" si="190"/>
        <v>1047.8699999999999</v>
      </c>
      <c r="AN1513" s="4">
        <f t="shared" si="191"/>
        <v>1432.0687499999999</v>
      </c>
      <c r="AO1513" s="4">
        <f t="shared" si="192"/>
        <v>1591.0283812499999</v>
      </c>
      <c r="AP1513" s="4">
        <f t="shared" si="193"/>
        <v>2319.8081681249996</v>
      </c>
      <c r="AQ1513" s="10">
        <f t="shared" si="194"/>
        <v>1822.3507169999998</v>
      </c>
      <c r="AR1513" s="10">
        <f t="shared" si="195"/>
        <v>2024.8138816586998</v>
      </c>
      <c r="AS1513" s="10">
        <f t="shared" si="196"/>
        <v>2837.0355962255994</v>
      </c>
    </row>
    <row r="1514" spans="1:45" x14ac:dyDescent="0.3">
      <c r="A1514">
        <v>2025</v>
      </c>
      <c r="B1514">
        <v>9</v>
      </c>
      <c r="C1514" t="s">
        <v>55</v>
      </c>
      <c r="D1514">
        <v>10</v>
      </c>
      <c r="E1514" t="s">
        <v>36</v>
      </c>
      <c r="F1514" t="s">
        <v>37</v>
      </c>
      <c r="G1514" t="s">
        <v>38</v>
      </c>
      <c r="H1514" t="s">
        <v>206</v>
      </c>
      <c r="I1514" t="s">
        <v>375</v>
      </c>
      <c r="J1514" t="s">
        <v>376</v>
      </c>
      <c r="K1514" t="s">
        <v>41</v>
      </c>
      <c r="L1514" t="s">
        <v>1503</v>
      </c>
      <c r="M1514" t="s">
        <v>1504</v>
      </c>
      <c r="N1514" t="s">
        <v>377</v>
      </c>
      <c r="O1514" t="s">
        <v>1197</v>
      </c>
      <c r="Q1514" t="s">
        <v>62</v>
      </c>
      <c r="R1514" t="s">
        <v>1505</v>
      </c>
      <c r="S1514" t="s">
        <v>1505</v>
      </c>
      <c r="T1514" t="s">
        <v>47</v>
      </c>
      <c r="U1514" t="s">
        <v>114</v>
      </c>
      <c r="V1514" t="s">
        <v>49</v>
      </c>
      <c r="W1514" t="s">
        <v>710</v>
      </c>
      <c r="X1514" t="s">
        <v>388</v>
      </c>
      <c r="Y1514" t="s">
        <v>1471</v>
      </c>
      <c r="Z1514" t="s">
        <v>1471</v>
      </c>
      <c r="AA1514" t="s">
        <v>1509</v>
      </c>
      <c r="AB1514" s="3">
        <f t="shared" si="189"/>
        <v>1</v>
      </c>
      <c r="AC1514">
        <v>40.68</v>
      </c>
      <c r="AD1514" s="2">
        <v>40.68</v>
      </c>
      <c r="AE1514" s="2">
        <v>14.78</v>
      </c>
      <c r="AF1514" s="2">
        <v>0.34</v>
      </c>
      <c r="AG1514" s="2">
        <v>55.8</v>
      </c>
      <c r="AH1514">
        <v>0</v>
      </c>
      <c r="AI1514">
        <v>55.8</v>
      </c>
      <c r="AJ1514">
        <v>0.27900000000000003</v>
      </c>
      <c r="AK1514" t="s">
        <v>54</v>
      </c>
      <c r="AL1514">
        <v>2.23</v>
      </c>
      <c r="AM1514" s="4">
        <f t="shared" si="190"/>
        <v>55.8</v>
      </c>
      <c r="AN1514" s="4">
        <f t="shared" si="191"/>
        <v>76.275000000000006</v>
      </c>
      <c r="AO1514" s="4">
        <f t="shared" si="192"/>
        <v>84.74152500000001</v>
      </c>
      <c r="AP1514" s="4">
        <f t="shared" si="193"/>
        <v>123.5578725</v>
      </c>
      <c r="AQ1514" s="10">
        <f t="shared" si="194"/>
        <v>97.041780000000003</v>
      </c>
      <c r="AR1514" s="10">
        <f t="shared" si="195"/>
        <v>107.823121758</v>
      </c>
      <c r="AS1514" s="10">
        <f t="shared" si="196"/>
        <v>151.07464310399999</v>
      </c>
    </row>
    <row r="1515" spans="1:45" x14ac:dyDescent="0.3">
      <c r="A1515">
        <v>2025</v>
      </c>
      <c r="B1515">
        <v>12</v>
      </c>
      <c r="C1515" t="s">
        <v>35</v>
      </c>
      <c r="D1515">
        <v>10</v>
      </c>
      <c r="E1515" t="s">
        <v>36</v>
      </c>
      <c r="F1515" t="s">
        <v>37</v>
      </c>
      <c r="G1515" t="s">
        <v>38</v>
      </c>
      <c r="H1515" t="s">
        <v>101</v>
      </c>
      <c r="K1515" t="s">
        <v>59</v>
      </c>
      <c r="L1515" t="s">
        <v>1817</v>
      </c>
      <c r="M1515">
        <v>464176</v>
      </c>
      <c r="N1515" t="s">
        <v>42</v>
      </c>
      <c r="O1515" t="s">
        <v>1197</v>
      </c>
      <c r="P1515" t="s">
        <v>191</v>
      </c>
      <c r="Q1515" t="s">
        <v>44</v>
      </c>
      <c r="R1515" t="s">
        <v>1818</v>
      </c>
      <c r="S1515" t="s">
        <v>1794</v>
      </c>
      <c r="T1515" t="s">
        <v>47</v>
      </c>
      <c r="U1515" t="s">
        <v>202</v>
      </c>
      <c r="V1515" t="s">
        <v>49</v>
      </c>
      <c r="W1515" t="s">
        <v>1303</v>
      </c>
      <c r="X1515" t="s">
        <v>388</v>
      </c>
      <c r="Y1515" t="s">
        <v>1074</v>
      </c>
      <c r="Z1515" t="s">
        <v>1075</v>
      </c>
      <c r="AA1515" t="s">
        <v>1508</v>
      </c>
      <c r="AB1515" s="3">
        <f t="shared" si="189"/>
        <v>1</v>
      </c>
      <c r="AC1515">
        <v>909.7</v>
      </c>
      <c r="AD1515" s="2">
        <v>909.7</v>
      </c>
      <c r="AE1515" s="2">
        <v>330.54</v>
      </c>
      <c r="AF1515" s="2">
        <v>7.61</v>
      </c>
      <c r="AG1515" s="2">
        <v>1247.22</v>
      </c>
      <c r="AH1515">
        <v>0</v>
      </c>
      <c r="AI1515">
        <v>1247.22</v>
      </c>
      <c r="AJ1515">
        <v>6.2361000000000004</v>
      </c>
      <c r="AK1515" t="s">
        <v>54</v>
      </c>
      <c r="AL1515">
        <v>2.23</v>
      </c>
      <c r="AM1515" s="4">
        <f t="shared" si="190"/>
        <v>1247.22</v>
      </c>
      <c r="AN1515" s="4">
        <f t="shared" si="191"/>
        <v>1705.6875</v>
      </c>
      <c r="AO1515" s="4">
        <f t="shared" si="192"/>
        <v>1895.0188125</v>
      </c>
      <c r="AP1515" s="4">
        <f t="shared" si="193"/>
        <v>2763.0431812499996</v>
      </c>
      <c r="AQ1515" s="10">
        <f t="shared" si="194"/>
        <v>2169.0403020000003</v>
      </c>
      <c r="AR1515" s="10">
        <f t="shared" si="195"/>
        <v>2410.0206795522004</v>
      </c>
      <c r="AS1515" s="10">
        <f t="shared" si="196"/>
        <v>3376.7619421536006</v>
      </c>
    </row>
    <row r="1516" spans="1:45" x14ac:dyDescent="0.3">
      <c r="A1516">
        <v>2025</v>
      </c>
      <c r="B1516">
        <v>11</v>
      </c>
      <c r="C1516" t="s">
        <v>35</v>
      </c>
      <c r="D1516">
        <v>10</v>
      </c>
      <c r="E1516" t="s">
        <v>36</v>
      </c>
      <c r="F1516" t="s">
        <v>37</v>
      </c>
      <c r="G1516" t="s">
        <v>38</v>
      </c>
      <c r="H1516" t="s">
        <v>101</v>
      </c>
      <c r="I1516" t="s">
        <v>1679</v>
      </c>
      <c r="K1516" t="s">
        <v>59</v>
      </c>
      <c r="L1516" t="s">
        <v>1685</v>
      </c>
      <c r="M1516">
        <v>462293</v>
      </c>
      <c r="N1516" t="s">
        <v>42</v>
      </c>
      <c r="O1516" t="s">
        <v>1197</v>
      </c>
      <c r="Q1516" t="s">
        <v>44</v>
      </c>
      <c r="R1516" t="s">
        <v>1681</v>
      </c>
      <c r="S1516" t="s">
        <v>1675</v>
      </c>
      <c r="T1516" t="s">
        <v>47</v>
      </c>
      <c r="U1516" t="s">
        <v>199</v>
      </c>
      <c r="V1516" t="s">
        <v>49</v>
      </c>
      <c r="W1516" t="s">
        <v>697</v>
      </c>
      <c r="X1516" t="s">
        <v>388</v>
      </c>
      <c r="Y1516" t="s">
        <v>1826</v>
      </c>
      <c r="Z1516" t="s">
        <v>1826</v>
      </c>
      <c r="AA1516" t="s">
        <v>1827</v>
      </c>
      <c r="AB1516" s="3">
        <f t="shared" si="189"/>
        <v>1</v>
      </c>
      <c r="AC1516">
        <v>6717.83</v>
      </c>
      <c r="AD1516" s="2">
        <v>6717.83</v>
      </c>
      <c r="AE1516" s="2">
        <v>970.95</v>
      </c>
      <c r="AF1516" s="2">
        <v>47.35</v>
      </c>
      <c r="AG1516" s="2">
        <v>7736.12</v>
      </c>
      <c r="AH1516">
        <v>0</v>
      </c>
      <c r="AI1516">
        <v>7736.12</v>
      </c>
      <c r="AJ1516">
        <v>38.680599999999998</v>
      </c>
      <c r="AK1516" t="s">
        <v>54</v>
      </c>
      <c r="AL1516">
        <v>452.1</v>
      </c>
      <c r="AM1516" s="4">
        <f t="shared" si="190"/>
        <v>7736.12</v>
      </c>
      <c r="AN1516" s="4">
        <f t="shared" si="191"/>
        <v>12595.93125</v>
      </c>
      <c r="AO1516" s="4">
        <f t="shared" si="192"/>
        <v>13994.07961875</v>
      </c>
      <c r="AP1516" s="4">
        <f t="shared" si="193"/>
        <v>20404.149031874997</v>
      </c>
      <c r="AQ1516" s="10">
        <f t="shared" si="194"/>
        <v>13453.886292000001</v>
      </c>
      <c r="AR1516" s="10">
        <f t="shared" si="195"/>
        <v>14948.613059041201</v>
      </c>
      <c r="AS1516" s="10">
        <f t="shared" si="196"/>
        <v>20945.010179385601</v>
      </c>
    </row>
    <row r="1517" spans="1:45" x14ac:dyDescent="0.3">
      <c r="A1517">
        <v>2025</v>
      </c>
      <c r="B1517">
        <v>2</v>
      </c>
      <c r="C1517" t="s">
        <v>35</v>
      </c>
      <c r="D1517">
        <v>10</v>
      </c>
      <c r="E1517" t="s">
        <v>36</v>
      </c>
      <c r="F1517" t="s">
        <v>37</v>
      </c>
      <c r="G1517" t="s">
        <v>38</v>
      </c>
      <c r="H1517" t="s">
        <v>101</v>
      </c>
      <c r="I1517" t="s">
        <v>190</v>
      </c>
      <c r="J1517" t="s">
        <v>40</v>
      </c>
      <c r="K1517" t="s">
        <v>59</v>
      </c>
      <c r="M1517">
        <v>434264</v>
      </c>
      <c r="N1517" t="s">
        <v>42</v>
      </c>
      <c r="O1517" t="s">
        <v>43</v>
      </c>
      <c r="P1517" t="s">
        <v>191</v>
      </c>
      <c r="Q1517" t="s">
        <v>44</v>
      </c>
      <c r="R1517" t="s">
        <v>192</v>
      </c>
      <c r="S1517" t="s">
        <v>193</v>
      </c>
      <c r="T1517" t="s">
        <v>47</v>
      </c>
      <c r="U1517" t="s">
        <v>194</v>
      </c>
      <c r="V1517" t="s">
        <v>49</v>
      </c>
      <c r="W1517" t="s">
        <v>195</v>
      </c>
      <c r="X1517" t="s">
        <v>51</v>
      </c>
      <c r="Y1517" t="s">
        <v>1686</v>
      </c>
      <c r="Z1517" t="s">
        <v>1686</v>
      </c>
      <c r="AA1517" t="s">
        <v>1687</v>
      </c>
      <c r="AB1517" s="3">
        <f t="shared" si="189"/>
        <v>1</v>
      </c>
      <c r="AC1517">
        <v>2697.49</v>
      </c>
      <c r="AD1517" s="2">
        <v>2697.49</v>
      </c>
      <c r="AE1517" s="2">
        <v>363.19</v>
      </c>
      <c r="AF1517" s="2">
        <v>19.39</v>
      </c>
      <c r="AG1517" s="2">
        <v>3080.7</v>
      </c>
      <c r="AH1517">
        <v>0</v>
      </c>
      <c r="AI1517">
        <v>3080.7</v>
      </c>
      <c r="AJ1517">
        <v>15.403499999999999</v>
      </c>
      <c r="AK1517" t="s">
        <v>54</v>
      </c>
      <c r="AL1517">
        <v>102.32</v>
      </c>
      <c r="AM1517" s="4">
        <f t="shared" si="190"/>
        <v>3080.7</v>
      </c>
      <c r="AN1517" s="4">
        <f t="shared" si="191"/>
        <v>5057.7937499999998</v>
      </c>
      <c r="AO1517" s="4">
        <f t="shared" si="192"/>
        <v>5619.2088562499994</v>
      </c>
      <c r="AP1517" s="4">
        <f t="shared" si="193"/>
        <v>8193.1200956249995</v>
      </c>
      <c r="AQ1517" s="10">
        <f t="shared" si="194"/>
        <v>5357.6453700000002</v>
      </c>
      <c r="AR1517" s="10">
        <f t="shared" si="195"/>
        <v>5952.879770607</v>
      </c>
      <c r="AS1517" s="10">
        <f t="shared" si="196"/>
        <v>8340.7823120159992</v>
      </c>
    </row>
    <row r="1518" spans="1:45" x14ac:dyDescent="0.3">
      <c r="A1518">
        <v>2025</v>
      </c>
      <c r="B1518">
        <v>8</v>
      </c>
      <c r="C1518" t="s">
        <v>35</v>
      </c>
      <c r="D1518">
        <v>10</v>
      </c>
      <c r="E1518" t="s">
        <v>36</v>
      </c>
      <c r="F1518" t="s">
        <v>37</v>
      </c>
      <c r="G1518" t="s">
        <v>38</v>
      </c>
      <c r="H1518" t="s">
        <v>101</v>
      </c>
      <c r="I1518" t="s">
        <v>190</v>
      </c>
      <c r="J1518" t="s">
        <v>40</v>
      </c>
      <c r="K1518" t="s">
        <v>59</v>
      </c>
      <c r="L1518" t="s">
        <v>1292</v>
      </c>
      <c r="M1518">
        <v>454450</v>
      </c>
      <c r="N1518" t="s">
        <v>42</v>
      </c>
      <c r="O1518" t="s">
        <v>1197</v>
      </c>
      <c r="P1518" t="s">
        <v>191</v>
      </c>
      <c r="Q1518" t="s">
        <v>44</v>
      </c>
      <c r="R1518" t="s">
        <v>1035</v>
      </c>
      <c r="S1518" t="s">
        <v>1198</v>
      </c>
      <c r="T1518" t="s">
        <v>47</v>
      </c>
      <c r="U1518" t="s">
        <v>194</v>
      </c>
      <c r="V1518" t="s">
        <v>49</v>
      </c>
      <c r="W1518" t="s">
        <v>1293</v>
      </c>
      <c r="X1518" t="s">
        <v>388</v>
      </c>
      <c r="Y1518" t="s">
        <v>196</v>
      </c>
      <c r="Z1518" t="s">
        <v>196</v>
      </c>
      <c r="AA1518" t="s">
        <v>197</v>
      </c>
      <c r="AB1518" s="3">
        <f t="shared" si="189"/>
        <v>1</v>
      </c>
      <c r="AC1518">
        <v>7690.37</v>
      </c>
      <c r="AD1518" s="2">
        <v>7690.37</v>
      </c>
      <c r="AE1518" s="2">
        <v>402.03</v>
      </c>
      <c r="AF1518" s="2">
        <v>50.95</v>
      </c>
      <c r="AG1518" s="2">
        <v>8143.35</v>
      </c>
      <c r="AH1518">
        <v>0</v>
      </c>
      <c r="AI1518">
        <v>8143.35</v>
      </c>
      <c r="AJ1518">
        <v>40.716749999999998</v>
      </c>
      <c r="AK1518" t="s">
        <v>54</v>
      </c>
      <c r="AL1518">
        <v>188</v>
      </c>
      <c r="AM1518" s="4">
        <f t="shared" si="190"/>
        <v>8143.35</v>
      </c>
      <c r="AN1518" s="4">
        <f t="shared" si="191"/>
        <v>14419.44375</v>
      </c>
      <c r="AO1518" s="4">
        <f t="shared" si="192"/>
        <v>16020.002006250001</v>
      </c>
      <c r="AP1518" s="4">
        <f t="shared" si="193"/>
        <v>23358.056930625</v>
      </c>
      <c r="AQ1518" s="10">
        <f t="shared" si="194"/>
        <v>14162.099985000001</v>
      </c>
      <c r="AR1518" s="10">
        <f t="shared" si="195"/>
        <v>15735.5092933335</v>
      </c>
      <c r="AS1518" s="10">
        <f t="shared" si="196"/>
        <v>22047.557256648</v>
      </c>
    </row>
    <row r="1519" spans="1:45" x14ac:dyDescent="0.3">
      <c r="A1519">
        <v>2025</v>
      </c>
      <c r="B1519">
        <v>10</v>
      </c>
      <c r="C1519" t="s">
        <v>35</v>
      </c>
      <c r="D1519">
        <v>10</v>
      </c>
      <c r="E1519" t="s">
        <v>36</v>
      </c>
      <c r="F1519" t="s">
        <v>37</v>
      </c>
      <c r="G1519" t="s">
        <v>38</v>
      </c>
      <c r="H1519" t="s">
        <v>101</v>
      </c>
      <c r="J1519" t="s">
        <v>40</v>
      </c>
      <c r="K1519" t="s">
        <v>59</v>
      </c>
      <c r="L1519" t="s">
        <v>1566</v>
      </c>
      <c r="M1519">
        <v>458452</v>
      </c>
      <c r="N1519" t="s">
        <v>1567</v>
      </c>
      <c r="O1519" t="s">
        <v>1197</v>
      </c>
      <c r="P1519" t="s">
        <v>191</v>
      </c>
      <c r="Q1519" t="s">
        <v>44</v>
      </c>
      <c r="R1519" t="s">
        <v>1505</v>
      </c>
      <c r="S1519" t="s">
        <v>1568</v>
      </c>
      <c r="T1519" t="s">
        <v>47</v>
      </c>
      <c r="U1519" t="s">
        <v>199</v>
      </c>
      <c r="V1519" t="s">
        <v>49</v>
      </c>
      <c r="W1519" t="s">
        <v>697</v>
      </c>
      <c r="X1519" t="s">
        <v>388</v>
      </c>
      <c r="Y1519" t="s">
        <v>196</v>
      </c>
      <c r="Z1519" t="s">
        <v>196</v>
      </c>
      <c r="AA1519" t="s">
        <v>1295</v>
      </c>
      <c r="AB1519" s="3">
        <f t="shared" si="189"/>
        <v>1</v>
      </c>
      <c r="AC1519">
        <v>3946.43</v>
      </c>
      <c r="AD1519" s="2">
        <v>3946.43</v>
      </c>
      <c r="AE1519" s="2">
        <v>650.87</v>
      </c>
      <c r="AF1519" s="2">
        <v>27.93</v>
      </c>
      <c r="AG1519" s="2">
        <v>4625.2299999999996</v>
      </c>
      <c r="AH1519">
        <v>0</v>
      </c>
      <c r="AI1519">
        <v>4625.2299999999996</v>
      </c>
      <c r="AJ1519">
        <v>23.126149999999999</v>
      </c>
      <c r="AK1519" t="s">
        <v>54</v>
      </c>
      <c r="AL1519">
        <v>155.66999999999999</v>
      </c>
      <c r="AM1519" s="4">
        <f t="shared" si="190"/>
        <v>4625.2299999999996</v>
      </c>
      <c r="AN1519" s="4">
        <f t="shared" si="191"/>
        <v>7399.5562499999996</v>
      </c>
      <c r="AO1519" s="4">
        <f t="shared" si="192"/>
        <v>8220.9069937499989</v>
      </c>
      <c r="AP1519" s="4">
        <f t="shared" si="193"/>
        <v>11986.541169374999</v>
      </c>
      <c r="AQ1519" s="10">
        <f t="shared" si="194"/>
        <v>8043.7374929999996</v>
      </c>
      <c r="AR1519" s="10">
        <f t="shared" si="195"/>
        <v>8937.3967284723003</v>
      </c>
      <c r="AS1519" s="10">
        <f t="shared" si="196"/>
        <v>12522.490529102399</v>
      </c>
    </row>
    <row r="1520" spans="1:45" x14ac:dyDescent="0.3">
      <c r="A1520">
        <v>2025</v>
      </c>
      <c r="B1520">
        <v>5</v>
      </c>
      <c r="C1520" t="s">
        <v>35</v>
      </c>
      <c r="D1520">
        <v>10</v>
      </c>
      <c r="E1520" t="s">
        <v>36</v>
      </c>
      <c r="F1520" t="s">
        <v>37</v>
      </c>
      <c r="G1520" t="s">
        <v>38</v>
      </c>
      <c r="H1520" t="s">
        <v>101</v>
      </c>
      <c r="I1520" t="s">
        <v>190</v>
      </c>
      <c r="J1520" t="s">
        <v>40</v>
      </c>
      <c r="K1520" t="s">
        <v>59</v>
      </c>
      <c r="M1520">
        <v>442514</v>
      </c>
      <c r="N1520" t="s">
        <v>693</v>
      </c>
      <c r="O1520" t="s">
        <v>36</v>
      </c>
      <c r="P1520" t="s">
        <v>694</v>
      </c>
      <c r="Q1520" t="s">
        <v>44</v>
      </c>
      <c r="R1520" t="s">
        <v>695</v>
      </c>
      <c r="S1520" t="s">
        <v>696</v>
      </c>
      <c r="T1520" t="s">
        <v>47</v>
      </c>
      <c r="U1520" t="s">
        <v>199</v>
      </c>
      <c r="V1520" t="s">
        <v>49</v>
      </c>
      <c r="W1520" t="s">
        <v>697</v>
      </c>
      <c r="X1520" t="s">
        <v>51</v>
      </c>
      <c r="Y1520" t="s">
        <v>460</v>
      </c>
      <c r="Z1520" t="s">
        <v>460</v>
      </c>
      <c r="AA1520" t="s">
        <v>1570</v>
      </c>
      <c r="AB1520" s="3">
        <f t="shared" si="189"/>
        <v>1</v>
      </c>
      <c r="AC1520">
        <v>3896.33</v>
      </c>
      <c r="AD1520" s="2">
        <v>3896.33</v>
      </c>
      <c r="AE1520" s="2">
        <v>829.78</v>
      </c>
      <c r="AF1520" s="2">
        <v>29.72</v>
      </c>
      <c r="AG1520" s="2">
        <v>4755.83</v>
      </c>
      <c r="AH1520">
        <v>0</v>
      </c>
      <c r="AI1520">
        <v>4755.83</v>
      </c>
      <c r="AJ1520">
        <v>23.779150000000001</v>
      </c>
      <c r="AK1520" t="s">
        <v>54</v>
      </c>
      <c r="AL1520">
        <v>188.4</v>
      </c>
      <c r="AM1520" s="4">
        <f t="shared" si="190"/>
        <v>4755.83</v>
      </c>
      <c r="AN1520" s="4">
        <f t="shared" si="191"/>
        <v>7305.6187499999996</v>
      </c>
      <c r="AO1520" s="4">
        <f t="shared" si="192"/>
        <v>8116.5424312499999</v>
      </c>
      <c r="AP1520" s="4">
        <f t="shared" si="193"/>
        <v>11834.371813124999</v>
      </c>
      <c r="AQ1520" s="10">
        <f t="shared" si="194"/>
        <v>8270.863953</v>
      </c>
      <c r="AR1520" s="10">
        <f t="shared" si="195"/>
        <v>9189.7569381782996</v>
      </c>
      <c r="AS1520" s="10">
        <f t="shared" si="196"/>
        <v>12876.0810020304</v>
      </c>
    </row>
    <row r="1521" spans="1:45" x14ac:dyDescent="0.3">
      <c r="A1521">
        <v>2025</v>
      </c>
      <c r="B1521">
        <v>5</v>
      </c>
      <c r="C1521" t="s">
        <v>35</v>
      </c>
      <c r="D1521">
        <v>10</v>
      </c>
      <c r="E1521" t="s">
        <v>36</v>
      </c>
      <c r="F1521" t="s">
        <v>37</v>
      </c>
      <c r="G1521" t="s">
        <v>38</v>
      </c>
      <c r="H1521" t="s">
        <v>101</v>
      </c>
      <c r="I1521" t="s">
        <v>190</v>
      </c>
      <c r="J1521" t="s">
        <v>40</v>
      </c>
      <c r="K1521" t="s">
        <v>59</v>
      </c>
      <c r="M1521">
        <v>442514</v>
      </c>
      <c r="N1521" t="s">
        <v>693</v>
      </c>
      <c r="O1521" t="s">
        <v>36</v>
      </c>
      <c r="P1521" t="s">
        <v>694</v>
      </c>
      <c r="Q1521" t="s">
        <v>44</v>
      </c>
      <c r="R1521" t="s">
        <v>695</v>
      </c>
      <c r="S1521" t="s">
        <v>696</v>
      </c>
      <c r="T1521" t="s">
        <v>47</v>
      </c>
      <c r="U1521" t="s">
        <v>199</v>
      </c>
      <c r="V1521" t="s">
        <v>49</v>
      </c>
      <c r="W1521" t="s">
        <v>697</v>
      </c>
      <c r="X1521" t="s">
        <v>51</v>
      </c>
      <c r="Y1521" t="s">
        <v>698</v>
      </c>
      <c r="Z1521" t="s">
        <v>698</v>
      </c>
      <c r="AA1521" t="s">
        <v>699</v>
      </c>
      <c r="AB1521" s="3">
        <f t="shared" si="189"/>
        <v>1</v>
      </c>
      <c r="AC1521">
        <v>5179.72</v>
      </c>
      <c r="AD1521" s="2">
        <v>5179.72</v>
      </c>
      <c r="AE1521" s="2">
        <v>544.64</v>
      </c>
      <c r="AF1521" s="2">
        <v>35.71</v>
      </c>
      <c r="AG1521" s="2">
        <v>5760.7</v>
      </c>
      <c r="AH1521">
        <v>0</v>
      </c>
      <c r="AI1521">
        <v>5760.7</v>
      </c>
      <c r="AJ1521">
        <v>28.8035</v>
      </c>
      <c r="AK1521" t="s">
        <v>54</v>
      </c>
      <c r="AL1521">
        <v>44.16</v>
      </c>
      <c r="AM1521" s="4">
        <f t="shared" si="190"/>
        <v>5760.7</v>
      </c>
      <c r="AN1521" s="4">
        <f t="shared" si="191"/>
        <v>9711.9750000000004</v>
      </c>
      <c r="AO1521" s="4">
        <f t="shared" si="192"/>
        <v>10790.004225000001</v>
      </c>
      <c r="AP1521" s="4">
        <f t="shared" si="193"/>
        <v>15732.4283025</v>
      </c>
      <c r="AQ1521" s="10">
        <f t="shared" si="194"/>
        <v>10018.433370000001</v>
      </c>
      <c r="AR1521" s="10">
        <f t="shared" si="195"/>
        <v>11131.481317407</v>
      </c>
      <c r="AS1521" s="10">
        <f t="shared" si="196"/>
        <v>15596.697070416001</v>
      </c>
    </row>
    <row r="1522" spans="1:45" x14ac:dyDescent="0.3">
      <c r="A1522">
        <v>2025</v>
      </c>
      <c r="B1522">
        <v>5</v>
      </c>
      <c r="C1522" t="s">
        <v>35</v>
      </c>
      <c r="D1522">
        <v>10</v>
      </c>
      <c r="E1522" t="s">
        <v>36</v>
      </c>
      <c r="F1522" t="s">
        <v>37</v>
      </c>
      <c r="G1522" t="s">
        <v>38</v>
      </c>
      <c r="H1522" t="s">
        <v>101</v>
      </c>
      <c r="I1522" t="s">
        <v>190</v>
      </c>
      <c r="J1522" t="s">
        <v>40</v>
      </c>
      <c r="K1522" t="s">
        <v>59</v>
      </c>
      <c r="M1522">
        <v>442514</v>
      </c>
      <c r="N1522" t="s">
        <v>693</v>
      </c>
      <c r="O1522" t="s">
        <v>36</v>
      </c>
      <c r="P1522" t="s">
        <v>694</v>
      </c>
      <c r="Q1522" t="s">
        <v>44</v>
      </c>
      <c r="R1522" t="s">
        <v>695</v>
      </c>
      <c r="S1522" t="s">
        <v>696</v>
      </c>
      <c r="T1522" t="s">
        <v>47</v>
      </c>
      <c r="U1522" t="s">
        <v>199</v>
      </c>
      <c r="V1522" t="s">
        <v>49</v>
      </c>
      <c r="W1522" t="s">
        <v>697</v>
      </c>
      <c r="X1522" t="s">
        <v>51</v>
      </c>
      <c r="Y1522" t="s">
        <v>698</v>
      </c>
      <c r="Z1522" t="s">
        <v>698</v>
      </c>
      <c r="AA1522" t="s">
        <v>699</v>
      </c>
      <c r="AB1522" s="3">
        <f t="shared" si="189"/>
        <v>1</v>
      </c>
      <c r="AC1522">
        <v>5179.72</v>
      </c>
      <c r="AD1522" s="2">
        <v>5179.72</v>
      </c>
      <c r="AE1522" s="2">
        <v>544.64</v>
      </c>
      <c r="AF1522" s="2">
        <v>35.71</v>
      </c>
      <c r="AG1522" s="2">
        <v>5760.7</v>
      </c>
      <c r="AH1522">
        <v>0</v>
      </c>
      <c r="AI1522">
        <v>5760.7</v>
      </c>
      <c r="AJ1522">
        <v>28.8035</v>
      </c>
      <c r="AK1522" t="s">
        <v>54</v>
      </c>
      <c r="AL1522">
        <v>44.16</v>
      </c>
      <c r="AM1522" s="4">
        <f t="shared" si="190"/>
        <v>5760.7</v>
      </c>
      <c r="AN1522" s="4">
        <f t="shared" si="191"/>
        <v>9711.9750000000004</v>
      </c>
      <c r="AO1522" s="4">
        <f t="shared" si="192"/>
        <v>10790.004225000001</v>
      </c>
      <c r="AP1522" s="4">
        <f t="shared" si="193"/>
        <v>15732.4283025</v>
      </c>
      <c r="AQ1522" s="10">
        <f t="shared" si="194"/>
        <v>10018.433370000001</v>
      </c>
      <c r="AR1522" s="10">
        <f t="shared" si="195"/>
        <v>11131.481317407</v>
      </c>
      <c r="AS1522" s="10">
        <f t="shared" si="196"/>
        <v>15596.697070416001</v>
      </c>
    </row>
    <row r="1523" spans="1:45" x14ac:dyDescent="0.3">
      <c r="A1523">
        <v>2025</v>
      </c>
      <c r="B1523">
        <v>5</v>
      </c>
      <c r="C1523" t="s">
        <v>35</v>
      </c>
      <c r="D1523">
        <v>10</v>
      </c>
      <c r="E1523" t="s">
        <v>36</v>
      </c>
      <c r="F1523" t="s">
        <v>37</v>
      </c>
      <c r="G1523" t="s">
        <v>38</v>
      </c>
      <c r="H1523" t="s">
        <v>101</v>
      </c>
      <c r="I1523" t="s">
        <v>190</v>
      </c>
      <c r="J1523" t="s">
        <v>40</v>
      </c>
      <c r="K1523" t="s">
        <v>59</v>
      </c>
      <c r="M1523">
        <v>442514</v>
      </c>
      <c r="N1523" t="s">
        <v>693</v>
      </c>
      <c r="O1523" t="s">
        <v>36</v>
      </c>
      <c r="P1523" t="s">
        <v>694</v>
      </c>
      <c r="Q1523" t="s">
        <v>44</v>
      </c>
      <c r="R1523" t="s">
        <v>695</v>
      </c>
      <c r="S1523" t="s">
        <v>696</v>
      </c>
      <c r="T1523" t="s">
        <v>47</v>
      </c>
      <c r="U1523" t="s">
        <v>199</v>
      </c>
      <c r="V1523" t="s">
        <v>49</v>
      </c>
      <c r="W1523" t="s">
        <v>697</v>
      </c>
      <c r="X1523" t="s">
        <v>51</v>
      </c>
      <c r="Y1523" t="s">
        <v>698</v>
      </c>
      <c r="Z1523" t="s">
        <v>698</v>
      </c>
      <c r="AA1523" t="s">
        <v>699</v>
      </c>
      <c r="AB1523" s="3">
        <f t="shared" si="189"/>
        <v>1</v>
      </c>
      <c r="AC1523">
        <v>5179.72</v>
      </c>
      <c r="AD1523" s="2">
        <v>5179.72</v>
      </c>
      <c r="AE1523" s="2">
        <v>544.64</v>
      </c>
      <c r="AF1523" s="2">
        <v>35.71</v>
      </c>
      <c r="AG1523" s="2">
        <v>5760.7</v>
      </c>
      <c r="AH1523">
        <v>0</v>
      </c>
      <c r="AI1523">
        <v>5760.7</v>
      </c>
      <c r="AJ1523">
        <v>28.8035</v>
      </c>
      <c r="AK1523" t="s">
        <v>54</v>
      </c>
      <c r="AL1523">
        <v>44.16</v>
      </c>
      <c r="AM1523" s="4">
        <f t="shared" si="190"/>
        <v>5760.7</v>
      </c>
      <c r="AN1523" s="4">
        <f t="shared" si="191"/>
        <v>9711.9750000000004</v>
      </c>
      <c r="AO1523" s="4">
        <f t="shared" si="192"/>
        <v>10790.004225000001</v>
      </c>
      <c r="AP1523" s="4">
        <f t="shared" si="193"/>
        <v>15732.4283025</v>
      </c>
      <c r="AQ1523" s="10">
        <f t="shared" si="194"/>
        <v>10018.433370000001</v>
      </c>
      <c r="AR1523" s="10">
        <f t="shared" si="195"/>
        <v>11131.481317407</v>
      </c>
      <c r="AS1523" s="10">
        <f t="shared" si="196"/>
        <v>15596.697070416001</v>
      </c>
    </row>
    <row r="1524" spans="1:45" x14ac:dyDescent="0.3">
      <c r="A1524">
        <v>2025</v>
      </c>
      <c r="B1524">
        <v>5</v>
      </c>
      <c r="C1524" t="s">
        <v>35</v>
      </c>
      <c r="D1524">
        <v>10</v>
      </c>
      <c r="E1524" t="s">
        <v>36</v>
      </c>
      <c r="F1524" t="s">
        <v>37</v>
      </c>
      <c r="G1524" t="s">
        <v>38</v>
      </c>
      <c r="H1524" t="s">
        <v>101</v>
      </c>
      <c r="I1524" t="s">
        <v>190</v>
      </c>
      <c r="J1524" t="s">
        <v>40</v>
      </c>
      <c r="K1524" t="s">
        <v>59</v>
      </c>
      <c r="M1524">
        <v>442514</v>
      </c>
      <c r="N1524" t="s">
        <v>693</v>
      </c>
      <c r="O1524" t="s">
        <v>36</v>
      </c>
      <c r="P1524" t="s">
        <v>694</v>
      </c>
      <c r="Q1524" t="s">
        <v>44</v>
      </c>
      <c r="R1524" t="s">
        <v>695</v>
      </c>
      <c r="S1524" t="s">
        <v>696</v>
      </c>
      <c r="T1524" t="s">
        <v>47</v>
      </c>
      <c r="U1524" t="s">
        <v>199</v>
      </c>
      <c r="V1524" t="s">
        <v>49</v>
      </c>
      <c r="W1524" t="s">
        <v>697</v>
      </c>
      <c r="X1524" t="s">
        <v>51</v>
      </c>
      <c r="Y1524" t="s">
        <v>698</v>
      </c>
      <c r="Z1524" t="s">
        <v>698</v>
      </c>
      <c r="AA1524" t="s">
        <v>699</v>
      </c>
      <c r="AB1524" s="3">
        <f t="shared" si="189"/>
        <v>1</v>
      </c>
      <c r="AC1524">
        <v>5179.72</v>
      </c>
      <c r="AD1524" s="2">
        <v>5179.72</v>
      </c>
      <c r="AE1524" s="2">
        <v>544.65</v>
      </c>
      <c r="AF1524" s="2">
        <v>35.72</v>
      </c>
      <c r="AG1524" s="2">
        <v>5760.9</v>
      </c>
      <c r="AH1524">
        <v>0</v>
      </c>
      <c r="AI1524">
        <v>5760.9</v>
      </c>
      <c r="AJ1524">
        <v>28.804500000000001</v>
      </c>
      <c r="AK1524" t="s">
        <v>54</v>
      </c>
      <c r="AL1524">
        <v>44.16</v>
      </c>
      <c r="AM1524" s="4">
        <f t="shared" si="190"/>
        <v>5760.9</v>
      </c>
      <c r="AN1524" s="4">
        <f t="shared" si="191"/>
        <v>9711.9750000000004</v>
      </c>
      <c r="AO1524" s="4">
        <f t="shared" si="192"/>
        <v>10790.004225000001</v>
      </c>
      <c r="AP1524" s="4">
        <f t="shared" si="193"/>
        <v>15732.4283025</v>
      </c>
      <c r="AQ1524" s="10">
        <f t="shared" si="194"/>
        <v>10018.78119</v>
      </c>
      <c r="AR1524" s="10">
        <f t="shared" si="195"/>
        <v>11131.867780208999</v>
      </c>
      <c r="AS1524" s="10">
        <f t="shared" si="196"/>
        <v>15597.238556591999</v>
      </c>
    </row>
    <row r="1525" spans="1:45" x14ac:dyDescent="0.3">
      <c r="A1525">
        <v>2025</v>
      </c>
      <c r="B1525">
        <v>5</v>
      </c>
      <c r="C1525" t="s">
        <v>35</v>
      </c>
      <c r="D1525">
        <v>10</v>
      </c>
      <c r="E1525" t="s">
        <v>36</v>
      </c>
      <c r="F1525" t="s">
        <v>37</v>
      </c>
      <c r="G1525" t="s">
        <v>38</v>
      </c>
      <c r="H1525" t="s">
        <v>101</v>
      </c>
      <c r="I1525" t="s">
        <v>190</v>
      </c>
      <c r="J1525" t="s">
        <v>40</v>
      </c>
      <c r="K1525" t="s">
        <v>59</v>
      </c>
      <c r="M1525">
        <v>442514</v>
      </c>
      <c r="N1525" t="s">
        <v>693</v>
      </c>
      <c r="O1525" t="s">
        <v>36</v>
      </c>
      <c r="P1525" t="s">
        <v>694</v>
      </c>
      <c r="Q1525" t="s">
        <v>44</v>
      </c>
      <c r="R1525" t="s">
        <v>695</v>
      </c>
      <c r="S1525" t="s">
        <v>696</v>
      </c>
      <c r="T1525" t="s">
        <v>47</v>
      </c>
      <c r="U1525" t="s">
        <v>199</v>
      </c>
      <c r="V1525" t="s">
        <v>49</v>
      </c>
      <c r="W1525" t="s">
        <v>697</v>
      </c>
      <c r="X1525" t="s">
        <v>51</v>
      </c>
      <c r="Y1525" t="s">
        <v>698</v>
      </c>
      <c r="Z1525" t="s">
        <v>698</v>
      </c>
      <c r="AA1525" t="s">
        <v>699</v>
      </c>
      <c r="AB1525" s="3">
        <f t="shared" si="189"/>
        <v>1</v>
      </c>
      <c r="AC1525">
        <v>5179.72</v>
      </c>
      <c r="AD1525" s="2">
        <v>5179.72</v>
      </c>
      <c r="AE1525" s="2">
        <v>544.64</v>
      </c>
      <c r="AF1525" s="2">
        <v>35.71</v>
      </c>
      <c r="AG1525" s="2">
        <v>5760.7</v>
      </c>
      <c r="AH1525">
        <v>0</v>
      </c>
      <c r="AI1525">
        <v>5760.7</v>
      </c>
      <c r="AJ1525">
        <v>28.8035</v>
      </c>
      <c r="AK1525" t="s">
        <v>54</v>
      </c>
      <c r="AL1525">
        <v>44.16</v>
      </c>
      <c r="AM1525" s="4">
        <f t="shared" si="190"/>
        <v>5760.7</v>
      </c>
      <c r="AN1525" s="4">
        <f t="shared" si="191"/>
        <v>9711.9750000000004</v>
      </c>
      <c r="AO1525" s="4">
        <f t="shared" si="192"/>
        <v>10790.004225000001</v>
      </c>
      <c r="AP1525" s="4">
        <f t="shared" si="193"/>
        <v>15732.4283025</v>
      </c>
      <c r="AQ1525" s="10">
        <f t="shared" si="194"/>
        <v>10018.433370000001</v>
      </c>
      <c r="AR1525" s="10">
        <f t="shared" si="195"/>
        <v>11131.481317407</v>
      </c>
      <c r="AS1525" s="10">
        <f t="shared" si="196"/>
        <v>15596.697070416001</v>
      </c>
    </row>
    <row r="1526" spans="1:45" x14ac:dyDescent="0.3">
      <c r="A1526">
        <v>2025</v>
      </c>
      <c r="B1526">
        <v>5</v>
      </c>
      <c r="C1526" t="s">
        <v>35</v>
      </c>
      <c r="D1526">
        <v>10</v>
      </c>
      <c r="E1526" t="s">
        <v>36</v>
      </c>
      <c r="F1526" t="s">
        <v>37</v>
      </c>
      <c r="G1526" t="s">
        <v>38</v>
      </c>
      <c r="H1526" t="s">
        <v>101</v>
      </c>
      <c r="I1526" t="s">
        <v>190</v>
      </c>
      <c r="J1526" t="s">
        <v>40</v>
      </c>
      <c r="K1526" t="s">
        <v>59</v>
      </c>
      <c r="M1526">
        <v>442514</v>
      </c>
      <c r="N1526" t="s">
        <v>693</v>
      </c>
      <c r="O1526" t="s">
        <v>36</v>
      </c>
      <c r="P1526" t="s">
        <v>694</v>
      </c>
      <c r="Q1526" t="s">
        <v>44</v>
      </c>
      <c r="R1526" t="s">
        <v>695</v>
      </c>
      <c r="S1526" t="s">
        <v>696</v>
      </c>
      <c r="T1526" t="s">
        <v>47</v>
      </c>
      <c r="U1526" t="s">
        <v>199</v>
      </c>
      <c r="V1526" t="s">
        <v>49</v>
      </c>
      <c r="W1526" t="s">
        <v>697</v>
      </c>
      <c r="X1526" t="s">
        <v>51</v>
      </c>
      <c r="Y1526" t="s">
        <v>698</v>
      </c>
      <c r="Z1526" t="s">
        <v>698</v>
      </c>
      <c r="AA1526" t="s">
        <v>699</v>
      </c>
      <c r="AB1526" s="3">
        <f t="shared" si="189"/>
        <v>1</v>
      </c>
      <c r="AC1526">
        <v>5179.72</v>
      </c>
      <c r="AD1526" s="2">
        <v>5179.72</v>
      </c>
      <c r="AE1526" s="2">
        <v>544.64</v>
      </c>
      <c r="AF1526" s="2">
        <v>35.71</v>
      </c>
      <c r="AG1526" s="2">
        <v>5760.7</v>
      </c>
      <c r="AH1526">
        <v>0</v>
      </c>
      <c r="AI1526">
        <v>5760.7</v>
      </c>
      <c r="AJ1526">
        <v>28.8035</v>
      </c>
      <c r="AK1526" t="s">
        <v>54</v>
      </c>
      <c r="AL1526">
        <v>44.16</v>
      </c>
      <c r="AM1526" s="4">
        <f t="shared" si="190"/>
        <v>5760.7</v>
      </c>
      <c r="AN1526" s="4">
        <f t="shared" si="191"/>
        <v>9711.9750000000004</v>
      </c>
      <c r="AO1526" s="4">
        <f t="shared" si="192"/>
        <v>10790.004225000001</v>
      </c>
      <c r="AP1526" s="4">
        <f t="shared" si="193"/>
        <v>15732.4283025</v>
      </c>
      <c r="AQ1526" s="10">
        <f t="shared" si="194"/>
        <v>10018.433370000001</v>
      </c>
      <c r="AR1526" s="10">
        <f t="shared" si="195"/>
        <v>11131.481317407</v>
      </c>
      <c r="AS1526" s="10">
        <f t="shared" si="196"/>
        <v>15596.697070416001</v>
      </c>
    </row>
    <row r="1527" spans="1:45" x14ac:dyDescent="0.3">
      <c r="A1527">
        <v>2025</v>
      </c>
      <c r="B1527">
        <v>5</v>
      </c>
      <c r="C1527" t="s">
        <v>35</v>
      </c>
      <c r="D1527">
        <v>10</v>
      </c>
      <c r="E1527" t="s">
        <v>36</v>
      </c>
      <c r="F1527" t="s">
        <v>37</v>
      </c>
      <c r="G1527" t="s">
        <v>38</v>
      </c>
      <c r="H1527" t="s">
        <v>101</v>
      </c>
      <c r="I1527" t="s">
        <v>190</v>
      </c>
      <c r="J1527" t="s">
        <v>40</v>
      </c>
      <c r="K1527" t="s">
        <v>59</v>
      </c>
      <c r="M1527">
        <v>442514</v>
      </c>
      <c r="N1527" t="s">
        <v>693</v>
      </c>
      <c r="O1527" t="s">
        <v>36</v>
      </c>
      <c r="P1527" t="s">
        <v>694</v>
      </c>
      <c r="Q1527" t="s">
        <v>44</v>
      </c>
      <c r="R1527" t="s">
        <v>695</v>
      </c>
      <c r="S1527" t="s">
        <v>696</v>
      </c>
      <c r="T1527" t="s">
        <v>47</v>
      </c>
      <c r="U1527" t="s">
        <v>199</v>
      </c>
      <c r="V1527" t="s">
        <v>49</v>
      </c>
      <c r="W1527" t="s">
        <v>697</v>
      </c>
      <c r="X1527" t="s">
        <v>51</v>
      </c>
      <c r="Y1527" t="s">
        <v>698</v>
      </c>
      <c r="Z1527" t="s">
        <v>698</v>
      </c>
      <c r="AA1527" t="s">
        <v>699</v>
      </c>
      <c r="AB1527" s="3">
        <f t="shared" si="189"/>
        <v>1</v>
      </c>
      <c r="AC1527">
        <v>5179.72</v>
      </c>
      <c r="AD1527" s="2">
        <v>5179.72</v>
      </c>
      <c r="AE1527" s="2">
        <v>544.64</v>
      </c>
      <c r="AF1527" s="2">
        <v>35.71</v>
      </c>
      <c r="AG1527" s="2">
        <v>5760.7</v>
      </c>
      <c r="AH1527">
        <v>0</v>
      </c>
      <c r="AI1527">
        <v>5760.7</v>
      </c>
      <c r="AJ1527">
        <v>28.8035</v>
      </c>
      <c r="AK1527" t="s">
        <v>54</v>
      </c>
      <c r="AL1527">
        <v>44.16</v>
      </c>
      <c r="AM1527" s="4">
        <f t="shared" si="190"/>
        <v>5760.7</v>
      </c>
      <c r="AN1527" s="4">
        <f t="shared" si="191"/>
        <v>9711.9750000000004</v>
      </c>
      <c r="AO1527" s="4">
        <f t="shared" si="192"/>
        <v>10790.004225000001</v>
      </c>
      <c r="AP1527" s="4">
        <f t="shared" si="193"/>
        <v>15732.4283025</v>
      </c>
      <c r="AQ1527" s="10">
        <f t="shared" si="194"/>
        <v>10018.433370000001</v>
      </c>
      <c r="AR1527" s="10">
        <f t="shared" si="195"/>
        <v>11131.481317407</v>
      </c>
      <c r="AS1527" s="10">
        <f t="shared" si="196"/>
        <v>15596.697070416001</v>
      </c>
    </row>
    <row r="1528" spans="1:45" x14ac:dyDescent="0.3">
      <c r="A1528">
        <v>2025</v>
      </c>
      <c r="B1528">
        <v>5</v>
      </c>
      <c r="C1528" t="s">
        <v>35</v>
      </c>
      <c r="D1528">
        <v>10</v>
      </c>
      <c r="E1528" t="s">
        <v>36</v>
      </c>
      <c r="F1528" t="s">
        <v>37</v>
      </c>
      <c r="G1528" t="s">
        <v>38</v>
      </c>
      <c r="H1528" t="s">
        <v>101</v>
      </c>
      <c r="I1528" t="s">
        <v>190</v>
      </c>
      <c r="J1528" t="s">
        <v>40</v>
      </c>
      <c r="K1528" t="s">
        <v>59</v>
      </c>
      <c r="M1528">
        <v>442514</v>
      </c>
      <c r="N1528" t="s">
        <v>693</v>
      </c>
      <c r="O1528" t="s">
        <v>36</v>
      </c>
      <c r="P1528" t="s">
        <v>694</v>
      </c>
      <c r="Q1528" t="s">
        <v>44</v>
      </c>
      <c r="R1528" t="s">
        <v>695</v>
      </c>
      <c r="S1528" t="s">
        <v>696</v>
      </c>
      <c r="T1528" t="s">
        <v>47</v>
      </c>
      <c r="U1528" t="s">
        <v>199</v>
      </c>
      <c r="V1528" t="s">
        <v>49</v>
      </c>
      <c r="W1528" t="s">
        <v>697</v>
      </c>
      <c r="X1528" t="s">
        <v>51</v>
      </c>
      <c r="Y1528" t="s">
        <v>698</v>
      </c>
      <c r="Z1528" t="s">
        <v>698</v>
      </c>
      <c r="AA1528" t="s">
        <v>699</v>
      </c>
      <c r="AB1528" s="3">
        <f t="shared" si="189"/>
        <v>1</v>
      </c>
      <c r="AC1528">
        <v>5179.72</v>
      </c>
      <c r="AD1528" s="2">
        <v>5179.72</v>
      </c>
      <c r="AE1528" s="2">
        <v>544.64</v>
      </c>
      <c r="AF1528" s="2">
        <v>35.71</v>
      </c>
      <c r="AG1528" s="2">
        <v>5760.7</v>
      </c>
      <c r="AH1528">
        <v>0</v>
      </c>
      <c r="AI1528">
        <v>5760.7</v>
      </c>
      <c r="AJ1528">
        <v>28.8035</v>
      </c>
      <c r="AK1528" t="s">
        <v>54</v>
      </c>
      <c r="AL1528">
        <v>44.16</v>
      </c>
      <c r="AM1528" s="4">
        <f t="shared" si="190"/>
        <v>5760.7</v>
      </c>
      <c r="AN1528" s="4">
        <f t="shared" si="191"/>
        <v>9711.9750000000004</v>
      </c>
      <c r="AO1528" s="4">
        <f t="shared" si="192"/>
        <v>10790.004225000001</v>
      </c>
      <c r="AP1528" s="4">
        <f t="shared" si="193"/>
        <v>15732.4283025</v>
      </c>
      <c r="AQ1528" s="10">
        <f t="shared" si="194"/>
        <v>10018.433370000001</v>
      </c>
      <c r="AR1528" s="10">
        <f t="shared" si="195"/>
        <v>11131.481317407</v>
      </c>
      <c r="AS1528" s="10">
        <f t="shared" si="196"/>
        <v>15596.697070416001</v>
      </c>
    </row>
    <row r="1529" spans="1:45" x14ac:dyDescent="0.3">
      <c r="A1529">
        <v>2025</v>
      </c>
      <c r="B1529">
        <v>5</v>
      </c>
      <c r="C1529" t="s">
        <v>35</v>
      </c>
      <c r="D1529">
        <v>10</v>
      </c>
      <c r="E1529" t="s">
        <v>36</v>
      </c>
      <c r="F1529" t="s">
        <v>37</v>
      </c>
      <c r="G1529" t="s">
        <v>38</v>
      </c>
      <c r="H1529" t="s">
        <v>101</v>
      </c>
      <c r="I1529" t="s">
        <v>190</v>
      </c>
      <c r="J1529" t="s">
        <v>40</v>
      </c>
      <c r="K1529" t="s">
        <v>59</v>
      </c>
      <c r="M1529">
        <v>442514</v>
      </c>
      <c r="N1529" t="s">
        <v>693</v>
      </c>
      <c r="O1529" t="s">
        <v>36</v>
      </c>
      <c r="P1529" t="s">
        <v>694</v>
      </c>
      <c r="Q1529" t="s">
        <v>44</v>
      </c>
      <c r="R1529" t="s">
        <v>695</v>
      </c>
      <c r="S1529" t="s">
        <v>696</v>
      </c>
      <c r="T1529" t="s">
        <v>47</v>
      </c>
      <c r="U1529" t="s">
        <v>199</v>
      </c>
      <c r="V1529" t="s">
        <v>49</v>
      </c>
      <c r="W1529" t="s">
        <v>697</v>
      </c>
      <c r="X1529" t="s">
        <v>51</v>
      </c>
      <c r="Y1529" t="s">
        <v>698</v>
      </c>
      <c r="Z1529" t="s">
        <v>698</v>
      </c>
      <c r="AA1529" t="s">
        <v>699</v>
      </c>
      <c r="AB1529" s="3">
        <f t="shared" si="189"/>
        <v>1</v>
      </c>
      <c r="AC1529">
        <v>5179.72</v>
      </c>
      <c r="AD1529" s="2">
        <v>5179.72</v>
      </c>
      <c r="AE1529" s="2">
        <v>544.64</v>
      </c>
      <c r="AF1529" s="2">
        <v>35.71</v>
      </c>
      <c r="AG1529" s="2">
        <v>5760.7</v>
      </c>
      <c r="AH1529">
        <v>0</v>
      </c>
      <c r="AI1529">
        <v>5760.7</v>
      </c>
      <c r="AJ1529">
        <v>28.8035</v>
      </c>
      <c r="AK1529" t="s">
        <v>54</v>
      </c>
      <c r="AL1529">
        <v>44.16</v>
      </c>
      <c r="AM1529" s="4">
        <f t="shared" si="190"/>
        <v>5760.7</v>
      </c>
      <c r="AN1529" s="4">
        <f t="shared" si="191"/>
        <v>9711.9750000000004</v>
      </c>
      <c r="AO1529" s="4">
        <f t="shared" si="192"/>
        <v>10790.004225000001</v>
      </c>
      <c r="AP1529" s="4">
        <f t="shared" si="193"/>
        <v>15732.4283025</v>
      </c>
      <c r="AQ1529" s="10">
        <f t="shared" si="194"/>
        <v>10018.433370000001</v>
      </c>
      <c r="AR1529" s="10">
        <f t="shared" si="195"/>
        <v>11131.481317407</v>
      </c>
      <c r="AS1529" s="10">
        <f t="shared" si="196"/>
        <v>15596.697070416001</v>
      </c>
    </row>
    <row r="1530" spans="1:45" x14ac:dyDescent="0.3">
      <c r="A1530">
        <v>2025</v>
      </c>
      <c r="B1530">
        <v>5</v>
      </c>
      <c r="C1530" t="s">
        <v>35</v>
      </c>
      <c r="D1530">
        <v>10</v>
      </c>
      <c r="E1530" t="s">
        <v>36</v>
      </c>
      <c r="F1530" t="s">
        <v>37</v>
      </c>
      <c r="G1530" t="s">
        <v>38</v>
      </c>
      <c r="H1530" t="s">
        <v>101</v>
      </c>
      <c r="I1530" t="s">
        <v>190</v>
      </c>
      <c r="J1530" t="s">
        <v>40</v>
      </c>
      <c r="K1530" t="s">
        <v>59</v>
      </c>
      <c r="M1530">
        <v>442514</v>
      </c>
      <c r="N1530" t="s">
        <v>693</v>
      </c>
      <c r="O1530" t="s">
        <v>36</v>
      </c>
      <c r="P1530" t="s">
        <v>694</v>
      </c>
      <c r="Q1530" t="s">
        <v>44</v>
      </c>
      <c r="R1530" t="s">
        <v>695</v>
      </c>
      <c r="S1530" t="s">
        <v>696</v>
      </c>
      <c r="T1530" t="s">
        <v>47</v>
      </c>
      <c r="U1530" t="s">
        <v>199</v>
      </c>
      <c r="V1530" t="s">
        <v>49</v>
      </c>
      <c r="W1530" t="s">
        <v>697</v>
      </c>
      <c r="X1530" t="s">
        <v>51</v>
      </c>
      <c r="Y1530" t="s">
        <v>698</v>
      </c>
      <c r="Z1530" t="s">
        <v>698</v>
      </c>
      <c r="AA1530" t="s">
        <v>699</v>
      </c>
      <c r="AB1530" s="3">
        <f t="shared" si="189"/>
        <v>1</v>
      </c>
      <c r="AC1530">
        <v>5179.72</v>
      </c>
      <c r="AD1530" s="2">
        <v>5179.72</v>
      </c>
      <c r="AE1530" s="2">
        <v>544.64</v>
      </c>
      <c r="AF1530" s="2">
        <v>35.71</v>
      </c>
      <c r="AG1530" s="2">
        <v>5760.7</v>
      </c>
      <c r="AH1530">
        <v>0</v>
      </c>
      <c r="AI1530">
        <v>5760.7</v>
      </c>
      <c r="AJ1530">
        <v>28.8035</v>
      </c>
      <c r="AK1530" t="s">
        <v>54</v>
      </c>
      <c r="AL1530">
        <v>44.16</v>
      </c>
      <c r="AM1530" s="4">
        <f t="shared" si="190"/>
        <v>5760.7</v>
      </c>
      <c r="AN1530" s="4">
        <f t="shared" si="191"/>
        <v>9711.9750000000004</v>
      </c>
      <c r="AO1530" s="4">
        <f t="shared" si="192"/>
        <v>10790.004225000001</v>
      </c>
      <c r="AP1530" s="4">
        <f t="shared" si="193"/>
        <v>15732.4283025</v>
      </c>
      <c r="AQ1530" s="10">
        <f t="shared" si="194"/>
        <v>10018.433370000001</v>
      </c>
      <c r="AR1530" s="10">
        <f t="shared" si="195"/>
        <v>11131.481317407</v>
      </c>
      <c r="AS1530" s="10">
        <f t="shared" si="196"/>
        <v>15596.697070416001</v>
      </c>
    </row>
    <row r="1531" spans="1:45" x14ac:dyDescent="0.3">
      <c r="A1531">
        <v>2025</v>
      </c>
      <c r="B1531">
        <v>5</v>
      </c>
      <c r="C1531" t="s">
        <v>35</v>
      </c>
      <c r="D1531">
        <v>10</v>
      </c>
      <c r="E1531" t="s">
        <v>36</v>
      </c>
      <c r="F1531" t="s">
        <v>37</v>
      </c>
      <c r="G1531" t="s">
        <v>38</v>
      </c>
      <c r="H1531" t="s">
        <v>101</v>
      </c>
      <c r="I1531" t="s">
        <v>190</v>
      </c>
      <c r="J1531" t="s">
        <v>40</v>
      </c>
      <c r="K1531" t="s">
        <v>59</v>
      </c>
      <c r="M1531">
        <v>442514</v>
      </c>
      <c r="N1531" t="s">
        <v>693</v>
      </c>
      <c r="O1531" t="s">
        <v>36</v>
      </c>
      <c r="P1531" t="s">
        <v>694</v>
      </c>
      <c r="Q1531" t="s">
        <v>44</v>
      </c>
      <c r="R1531" t="s">
        <v>695</v>
      </c>
      <c r="S1531" t="s">
        <v>696</v>
      </c>
      <c r="T1531" t="s">
        <v>47</v>
      </c>
      <c r="U1531" t="s">
        <v>199</v>
      </c>
      <c r="V1531" t="s">
        <v>49</v>
      </c>
      <c r="W1531" t="s">
        <v>697</v>
      </c>
      <c r="X1531" t="s">
        <v>51</v>
      </c>
      <c r="Y1531" t="s">
        <v>698</v>
      </c>
      <c r="Z1531" t="s">
        <v>698</v>
      </c>
      <c r="AA1531" t="s">
        <v>699</v>
      </c>
      <c r="AB1531" s="3">
        <f t="shared" si="189"/>
        <v>1</v>
      </c>
      <c r="AC1531">
        <v>5179.72</v>
      </c>
      <c r="AD1531" s="2">
        <v>5179.72</v>
      </c>
      <c r="AE1531" s="2">
        <v>544.64</v>
      </c>
      <c r="AF1531" s="2">
        <v>35.71</v>
      </c>
      <c r="AG1531" s="2">
        <v>5760.7</v>
      </c>
      <c r="AH1531">
        <v>0</v>
      </c>
      <c r="AI1531">
        <v>5760.7</v>
      </c>
      <c r="AJ1531">
        <v>28.8035</v>
      </c>
      <c r="AK1531" t="s">
        <v>54</v>
      </c>
      <c r="AL1531">
        <v>44.16</v>
      </c>
      <c r="AM1531" s="4">
        <f t="shared" si="190"/>
        <v>5760.7</v>
      </c>
      <c r="AN1531" s="4">
        <f t="shared" si="191"/>
        <v>9711.9750000000004</v>
      </c>
      <c r="AO1531" s="4">
        <f t="shared" si="192"/>
        <v>10790.004225000001</v>
      </c>
      <c r="AP1531" s="4">
        <f t="shared" si="193"/>
        <v>15732.4283025</v>
      </c>
      <c r="AQ1531" s="10">
        <f t="shared" si="194"/>
        <v>10018.433370000001</v>
      </c>
      <c r="AR1531" s="10">
        <f t="shared" si="195"/>
        <v>11131.481317407</v>
      </c>
      <c r="AS1531" s="10">
        <f t="shared" si="196"/>
        <v>15596.697070416001</v>
      </c>
    </row>
    <row r="1532" spans="1:45" x14ac:dyDescent="0.3">
      <c r="A1532">
        <v>2025</v>
      </c>
      <c r="B1532">
        <v>5</v>
      </c>
      <c r="C1532" t="s">
        <v>35</v>
      </c>
      <c r="D1532">
        <v>10</v>
      </c>
      <c r="E1532" t="s">
        <v>36</v>
      </c>
      <c r="F1532" t="s">
        <v>37</v>
      </c>
      <c r="G1532" t="s">
        <v>38</v>
      </c>
      <c r="H1532" t="s">
        <v>101</v>
      </c>
      <c r="I1532" t="s">
        <v>190</v>
      </c>
      <c r="J1532" t="s">
        <v>40</v>
      </c>
      <c r="K1532" t="s">
        <v>59</v>
      </c>
      <c r="M1532">
        <v>442514</v>
      </c>
      <c r="N1532" t="s">
        <v>693</v>
      </c>
      <c r="O1532" t="s">
        <v>36</v>
      </c>
      <c r="P1532" t="s">
        <v>694</v>
      </c>
      <c r="Q1532" t="s">
        <v>44</v>
      </c>
      <c r="R1532" t="s">
        <v>695</v>
      </c>
      <c r="S1532" t="s">
        <v>696</v>
      </c>
      <c r="T1532" t="s">
        <v>47</v>
      </c>
      <c r="U1532" t="s">
        <v>199</v>
      </c>
      <c r="V1532" t="s">
        <v>49</v>
      </c>
      <c r="W1532" t="s">
        <v>697</v>
      </c>
      <c r="X1532" t="s">
        <v>51</v>
      </c>
      <c r="Y1532" t="s">
        <v>698</v>
      </c>
      <c r="Z1532" t="s">
        <v>698</v>
      </c>
      <c r="AA1532" t="s">
        <v>699</v>
      </c>
      <c r="AB1532" s="3">
        <f t="shared" si="189"/>
        <v>1</v>
      </c>
      <c r="AC1532">
        <v>5179.72</v>
      </c>
      <c r="AD1532" s="2">
        <v>5179.72</v>
      </c>
      <c r="AE1532" s="2">
        <v>544.64</v>
      </c>
      <c r="AF1532" s="2">
        <v>35.71</v>
      </c>
      <c r="AG1532" s="2">
        <v>5760.7</v>
      </c>
      <c r="AH1532">
        <v>0</v>
      </c>
      <c r="AI1532">
        <v>5760.7</v>
      </c>
      <c r="AJ1532">
        <v>28.8035</v>
      </c>
      <c r="AK1532" t="s">
        <v>54</v>
      </c>
      <c r="AL1532">
        <v>44.16</v>
      </c>
      <c r="AM1532" s="4">
        <f t="shared" si="190"/>
        <v>5760.7</v>
      </c>
      <c r="AN1532" s="4">
        <f t="shared" si="191"/>
        <v>9711.9750000000004</v>
      </c>
      <c r="AO1532" s="4">
        <f t="shared" si="192"/>
        <v>10790.004225000001</v>
      </c>
      <c r="AP1532" s="4">
        <f t="shared" si="193"/>
        <v>15732.4283025</v>
      </c>
      <c r="AQ1532" s="10">
        <f t="shared" si="194"/>
        <v>10018.433370000001</v>
      </c>
      <c r="AR1532" s="10">
        <f t="shared" si="195"/>
        <v>11131.481317407</v>
      </c>
      <c r="AS1532" s="10">
        <f t="shared" si="196"/>
        <v>15596.697070416001</v>
      </c>
    </row>
    <row r="1533" spans="1:45" x14ac:dyDescent="0.3">
      <c r="A1533">
        <v>2025</v>
      </c>
      <c r="B1533">
        <v>5</v>
      </c>
      <c r="C1533" t="s">
        <v>35</v>
      </c>
      <c r="D1533">
        <v>10</v>
      </c>
      <c r="E1533" t="s">
        <v>36</v>
      </c>
      <c r="F1533" t="s">
        <v>37</v>
      </c>
      <c r="G1533" t="s">
        <v>38</v>
      </c>
      <c r="H1533" t="s">
        <v>101</v>
      </c>
      <c r="I1533" t="s">
        <v>190</v>
      </c>
      <c r="J1533" t="s">
        <v>40</v>
      </c>
      <c r="K1533" t="s">
        <v>59</v>
      </c>
      <c r="M1533">
        <v>442514</v>
      </c>
      <c r="N1533" t="s">
        <v>693</v>
      </c>
      <c r="O1533" t="s">
        <v>36</v>
      </c>
      <c r="P1533" t="s">
        <v>694</v>
      </c>
      <c r="Q1533" t="s">
        <v>44</v>
      </c>
      <c r="R1533" t="s">
        <v>695</v>
      </c>
      <c r="S1533" t="s">
        <v>696</v>
      </c>
      <c r="T1533" t="s">
        <v>47</v>
      </c>
      <c r="U1533" t="s">
        <v>199</v>
      </c>
      <c r="V1533" t="s">
        <v>49</v>
      </c>
      <c r="W1533" t="s">
        <v>697</v>
      </c>
      <c r="X1533" t="s">
        <v>51</v>
      </c>
      <c r="Y1533" t="s">
        <v>698</v>
      </c>
      <c r="Z1533" t="s">
        <v>698</v>
      </c>
      <c r="AA1533" t="s">
        <v>699</v>
      </c>
      <c r="AB1533" s="3">
        <f t="shared" si="189"/>
        <v>1</v>
      </c>
      <c r="AC1533">
        <v>5179.72</v>
      </c>
      <c r="AD1533" s="2">
        <v>5179.72</v>
      </c>
      <c r="AE1533" s="2">
        <v>544.64</v>
      </c>
      <c r="AF1533" s="2">
        <v>35.71</v>
      </c>
      <c r="AG1533" s="2">
        <v>5760.7</v>
      </c>
      <c r="AH1533">
        <v>0</v>
      </c>
      <c r="AI1533">
        <v>5760.7</v>
      </c>
      <c r="AJ1533">
        <v>28.8035</v>
      </c>
      <c r="AK1533" t="s">
        <v>54</v>
      </c>
      <c r="AL1533">
        <v>44.16</v>
      </c>
      <c r="AM1533" s="4">
        <f t="shared" si="190"/>
        <v>5760.7</v>
      </c>
      <c r="AN1533" s="4">
        <f t="shared" si="191"/>
        <v>9711.9750000000004</v>
      </c>
      <c r="AO1533" s="4">
        <f t="shared" si="192"/>
        <v>10790.004225000001</v>
      </c>
      <c r="AP1533" s="4">
        <f t="shared" si="193"/>
        <v>15732.4283025</v>
      </c>
      <c r="AQ1533" s="10">
        <f t="shared" si="194"/>
        <v>10018.433370000001</v>
      </c>
      <c r="AR1533" s="10">
        <f t="shared" si="195"/>
        <v>11131.481317407</v>
      </c>
      <c r="AS1533" s="10">
        <f t="shared" si="196"/>
        <v>15596.697070416001</v>
      </c>
    </row>
    <row r="1534" spans="1:45" x14ac:dyDescent="0.3">
      <c r="A1534">
        <v>2025</v>
      </c>
      <c r="B1534">
        <v>9</v>
      </c>
      <c r="C1534" t="s">
        <v>35</v>
      </c>
      <c r="D1534">
        <v>10</v>
      </c>
      <c r="E1534" t="s">
        <v>36</v>
      </c>
      <c r="F1534" t="s">
        <v>37</v>
      </c>
      <c r="G1534" t="s">
        <v>38</v>
      </c>
      <c r="H1534" t="s">
        <v>101</v>
      </c>
      <c r="I1534" t="s">
        <v>190</v>
      </c>
      <c r="J1534" t="s">
        <v>40</v>
      </c>
      <c r="K1534" t="s">
        <v>59</v>
      </c>
      <c r="L1534" t="s">
        <v>1495</v>
      </c>
      <c r="M1534">
        <v>457514</v>
      </c>
      <c r="N1534" t="s">
        <v>42</v>
      </c>
      <c r="O1534" t="s">
        <v>1197</v>
      </c>
      <c r="Q1534" t="s">
        <v>44</v>
      </c>
      <c r="R1534" t="s">
        <v>1496</v>
      </c>
      <c r="S1534" t="s">
        <v>1488</v>
      </c>
      <c r="T1534" t="s">
        <v>47</v>
      </c>
      <c r="U1534" t="s">
        <v>199</v>
      </c>
      <c r="V1534" t="s">
        <v>49</v>
      </c>
      <c r="W1534" t="s">
        <v>697</v>
      </c>
      <c r="X1534" t="s">
        <v>388</v>
      </c>
      <c r="Y1534" t="s">
        <v>698</v>
      </c>
      <c r="Z1534" t="s">
        <v>698</v>
      </c>
      <c r="AA1534" t="s">
        <v>699</v>
      </c>
      <c r="AB1534" s="3">
        <f t="shared" si="189"/>
        <v>1</v>
      </c>
      <c r="AC1534">
        <v>5179.72</v>
      </c>
      <c r="AD1534" s="2">
        <v>5179.72</v>
      </c>
      <c r="AE1534" s="2">
        <v>544.64</v>
      </c>
      <c r="AF1534" s="2">
        <v>35.71</v>
      </c>
      <c r="AG1534" s="2">
        <v>5760.7</v>
      </c>
      <c r="AH1534">
        <v>0</v>
      </c>
      <c r="AI1534">
        <v>5760.7</v>
      </c>
      <c r="AJ1534">
        <v>28.8035</v>
      </c>
      <c r="AK1534" t="s">
        <v>54</v>
      </c>
      <c r="AL1534">
        <v>44.16</v>
      </c>
      <c r="AM1534" s="4">
        <f t="shared" si="190"/>
        <v>5760.7</v>
      </c>
      <c r="AN1534" s="4">
        <f t="shared" si="191"/>
        <v>9711.9750000000004</v>
      </c>
      <c r="AO1534" s="4">
        <f t="shared" si="192"/>
        <v>10790.004225000001</v>
      </c>
      <c r="AP1534" s="4">
        <f t="shared" si="193"/>
        <v>15732.4283025</v>
      </c>
      <c r="AQ1534" s="10">
        <f t="shared" si="194"/>
        <v>10018.433370000001</v>
      </c>
      <c r="AR1534" s="10">
        <f t="shared" si="195"/>
        <v>11131.481317407</v>
      </c>
      <c r="AS1534" s="10">
        <f t="shared" si="196"/>
        <v>15596.697070416001</v>
      </c>
    </row>
    <row r="1535" spans="1:45" x14ac:dyDescent="0.3">
      <c r="A1535">
        <v>2025</v>
      </c>
      <c r="B1535">
        <v>4</v>
      </c>
      <c r="C1535" t="s">
        <v>35</v>
      </c>
      <c r="D1535">
        <v>10</v>
      </c>
      <c r="E1535" t="s">
        <v>36</v>
      </c>
      <c r="F1535" t="s">
        <v>37</v>
      </c>
      <c r="G1535" t="s">
        <v>38</v>
      </c>
      <c r="H1535" t="s">
        <v>101</v>
      </c>
      <c r="I1535" t="s">
        <v>190</v>
      </c>
      <c r="J1535" t="s">
        <v>40</v>
      </c>
      <c r="K1535" t="s">
        <v>59</v>
      </c>
      <c r="M1535">
        <v>90501913</v>
      </c>
      <c r="N1535" t="s">
        <v>42</v>
      </c>
      <c r="O1535" t="s">
        <v>36</v>
      </c>
      <c r="P1535" t="s">
        <v>191</v>
      </c>
      <c r="Q1535" t="s">
        <v>44</v>
      </c>
      <c r="R1535" t="s">
        <v>210</v>
      </c>
      <c r="S1535" t="s">
        <v>459</v>
      </c>
      <c r="T1535" t="s">
        <v>47</v>
      </c>
      <c r="U1535" t="s">
        <v>199</v>
      </c>
      <c r="V1535" t="s">
        <v>49</v>
      </c>
      <c r="W1535" t="s">
        <v>200</v>
      </c>
      <c r="X1535" t="s">
        <v>51</v>
      </c>
      <c r="Y1535" t="s">
        <v>460</v>
      </c>
      <c r="Z1535" t="s">
        <v>460</v>
      </c>
      <c r="AA1535" t="s">
        <v>1502</v>
      </c>
      <c r="AB1535" s="3">
        <f t="shared" si="189"/>
        <v>1</v>
      </c>
      <c r="AC1535">
        <v>5936.8</v>
      </c>
      <c r="AD1535" s="2">
        <v>5936.8</v>
      </c>
      <c r="AE1535" s="2">
        <v>1088.25</v>
      </c>
      <c r="AF1535" s="2">
        <v>44</v>
      </c>
      <c r="AG1535" s="2">
        <v>7068.32</v>
      </c>
      <c r="AH1535">
        <v>0</v>
      </c>
      <c r="AI1535">
        <v>7068.32</v>
      </c>
      <c r="AJ1535">
        <v>35.3416</v>
      </c>
      <c r="AK1535" t="s">
        <v>54</v>
      </c>
      <c r="AL1535">
        <v>242.15</v>
      </c>
      <c r="AM1535" s="4">
        <f t="shared" si="190"/>
        <v>7068.32</v>
      </c>
      <c r="AN1535" s="4">
        <f t="shared" si="191"/>
        <v>11131.5</v>
      </c>
      <c r="AO1535" s="4">
        <f t="shared" si="192"/>
        <v>12367.0965</v>
      </c>
      <c r="AP1535" s="4">
        <f t="shared" si="193"/>
        <v>18031.916849999998</v>
      </c>
      <c r="AQ1535" s="10">
        <f t="shared" si="194"/>
        <v>12292.515312</v>
      </c>
      <c r="AR1535" s="10">
        <f t="shared" si="195"/>
        <v>13658.213763163199</v>
      </c>
      <c r="AS1535" s="10">
        <f t="shared" si="196"/>
        <v>19136.987837721597</v>
      </c>
    </row>
    <row r="1536" spans="1:45" x14ac:dyDescent="0.3">
      <c r="A1536">
        <v>2025</v>
      </c>
      <c r="B1536">
        <v>4</v>
      </c>
      <c r="C1536" t="s">
        <v>35</v>
      </c>
      <c r="D1536">
        <v>10</v>
      </c>
      <c r="E1536" t="s">
        <v>36</v>
      </c>
      <c r="F1536" t="s">
        <v>37</v>
      </c>
      <c r="G1536" t="s">
        <v>38</v>
      </c>
      <c r="H1536" t="s">
        <v>101</v>
      </c>
      <c r="I1536" t="s">
        <v>190</v>
      </c>
      <c r="J1536" t="s">
        <v>40</v>
      </c>
      <c r="K1536" t="s">
        <v>59</v>
      </c>
      <c r="M1536">
        <v>90501913</v>
      </c>
      <c r="N1536" t="s">
        <v>42</v>
      </c>
      <c r="O1536" t="s">
        <v>36</v>
      </c>
      <c r="P1536" t="s">
        <v>191</v>
      </c>
      <c r="Q1536" t="s">
        <v>44</v>
      </c>
      <c r="R1536" t="s">
        <v>210</v>
      </c>
      <c r="S1536" t="s">
        <v>459</v>
      </c>
      <c r="T1536" t="s">
        <v>47</v>
      </c>
      <c r="U1536" t="s">
        <v>199</v>
      </c>
      <c r="V1536" t="s">
        <v>49</v>
      </c>
      <c r="W1536" t="s">
        <v>200</v>
      </c>
      <c r="X1536" t="s">
        <v>51</v>
      </c>
      <c r="Y1536" t="s">
        <v>460</v>
      </c>
      <c r="Z1536" t="s">
        <v>460</v>
      </c>
      <c r="AA1536" t="s">
        <v>461</v>
      </c>
      <c r="AB1536" s="3">
        <f t="shared" si="189"/>
        <v>1</v>
      </c>
      <c r="AC1536">
        <v>7952.53</v>
      </c>
      <c r="AD1536" s="2">
        <v>7952.53</v>
      </c>
      <c r="AE1536" s="2">
        <v>592.62</v>
      </c>
      <c r="AF1536" s="2">
        <v>53.71</v>
      </c>
      <c r="AG1536" s="2">
        <v>8598.86</v>
      </c>
      <c r="AH1536">
        <v>0</v>
      </c>
      <c r="AI1536">
        <v>8598.86</v>
      </c>
      <c r="AJ1536">
        <v>42.994300000000003</v>
      </c>
      <c r="AK1536" t="s">
        <v>54</v>
      </c>
      <c r="AL1536">
        <v>245</v>
      </c>
      <c r="AM1536" s="4">
        <f t="shared" si="190"/>
        <v>8598.86</v>
      </c>
      <c r="AN1536" s="4">
        <f t="shared" si="191"/>
        <v>14910.99375</v>
      </c>
      <c r="AO1536" s="4">
        <f t="shared" si="192"/>
        <v>16566.11405625</v>
      </c>
      <c r="AP1536" s="4">
        <f t="shared" si="193"/>
        <v>24154.318775624997</v>
      </c>
      <c r="AQ1536" s="10">
        <f t="shared" si="194"/>
        <v>14954.277426000002</v>
      </c>
      <c r="AR1536" s="10">
        <f t="shared" si="195"/>
        <v>16615.697648028603</v>
      </c>
      <c r="AS1536" s="10">
        <f t="shared" si="196"/>
        <v>23280.819096796804</v>
      </c>
    </row>
    <row r="1537" spans="1:45" x14ac:dyDescent="0.3">
      <c r="A1537">
        <v>2025</v>
      </c>
      <c r="B1537">
        <v>9</v>
      </c>
      <c r="C1537" t="s">
        <v>35</v>
      </c>
      <c r="D1537">
        <v>10</v>
      </c>
      <c r="E1537" t="s">
        <v>36</v>
      </c>
      <c r="F1537" t="s">
        <v>37</v>
      </c>
      <c r="G1537" t="s">
        <v>38</v>
      </c>
      <c r="H1537" t="s">
        <v>83</v>
      </c>
      <c r="I1537" t="s">
        <v>190</v>
      </c>
      <c r="J1537" t="s">
        <v>40</v>
      </c>
      <c r="K1537" t="s">
        <v>59</v>
      </c>
      <c r="L1537" t="s">
        <v>1495</v>
      </c>
      <c r="M1537">
        <v>457514</v>
      </c>
      <c r="N1537" t="s">
        <v>42</v>
      </c>
      <c r="O1537" t="s">
        <v>1197</v>
      </c>
      <c r="Q1537" t="s">
        <v>44</v>
      </c>
      <c r="R1537" t="s">
        <v>1496</v>
      </c>
      <c r="S1537" t="s">
        <v>1488</v>
      </c>
      <c r="T1537" t="s">
        <v>47</v>
      </c>
      <c r="U1537" t="s">
        <v>199</v>
      </c>
      <c r="V1537" t="s">
        <v>49</v>
      </c>
      <c r="W1537" t="s">
        <v>697</v>
      </c>
      <c r="X1537" t="s">
        <v>388</v>
      </c>
      <c r="Y1537" t="s">
        <v>460</v>
      </c>
      <c r="Z1537" t="s">
        <v>460</v>
      </c>
      <c r="AA1537" t="s">
        <v>461</v>
      </c>
      <c r="AB1537" s="3">
        <f t="shared" si="189"/>
        <v>1</v>
      </c>
      <c r="AC1537">
        <v>7952.53</v>
      </c>
      <c r="AD1537" s="2">
        <v>7952.53</v>
      </c>
      <c r="AE1537" s="2">
        <v>592.62</v>
      </c>
      <c r="AF1537" s="2">
        <v>53.71</v>
      </c>
      <c r="AG1537" s="2">
        <v>8598.86</v>
      </c>
      <c r="AH1537">
        <v>0</v>
      </c>
      <c r="AI1537">
        <v>8598.86</v>
      </c>
      <c r="AJ1537">
        <v>42.994300000000003</v>
      </c>
      <c r="AK1537" t="s">
        <v>54</v>
      </c>
      <c r="AL1537">
        <v>245</v>
      </c>
      <c r="AM1537" s="4">
        <f t="shared" si="190"/>
        <v>8598.86</v>
      </c>
      <c r="AN1537" s="4">
        <f t="shared" si="191"/>
        <v>14910.99375</v>
      </c>
      <c r="AO1537" s="4">
        <f t="shared" si="192"/>
        <v>16566.11405625</v>
      </c>
      <c r="AP1537" s="4">
        <f t="shared" si="193"/>
        <v>24154.318775624997</v>
      </c>
      <c r="AQ1537" s="10">
        <f t="shared" si="194"/>
        <v>14954.277426000002</v>
      </c>
      <c r="AR1537" s="10">
        <f t="shared" si="195"/>
        <v>16615.697648028603</v>
      </c>
      <c r="AS1537" s="10">
        <f t="shared" si="196"/>
        <v>23280.819096796804</v>
      </c>
    </row>
    <row r="1538" spans="1:45" x14ac:dyDescent="0.3">
      <c r="A1538">
        <v>2025</v>
      </c>
      <c r="B1538">
        <v>7</v>
      </c>
      <c r="C1538" t="s">
        <v>35</v>
      </c>
      <c r="D1538">
        <v>10</v>
      </c>
      <c r="E1538" t="s">
        <v>36</v>
      </c>
      <c r="F1538" t="s">
        <v>37</v>
      </c>
      <c r="G1538" t="s">
        <v>38</v>
      </c>
      <c r="H1538" t="s">
        <v>1042</v>
      </c>
      <c r="I1538" t="s">
        <v>1043</v>
      </c>
      <c r="J1538" t="s">
        <v>1044</v>
      </c>
      <c r="K1538" t="s">
        <v>1045</v>
      </c>
      <c r="L1538" t="s">
        <v>1046</v>
      </c>
      <c r="M1538" t="s">
        <v>1047</v>
      </c>
      <c r="N1538" t="s">
        <v>1048</v>
      </c>
      <c r="O1538" t="s">
        <v>36</v>
      </c>
      <c r="Q1538" t="s">
        <v>44</v>
      </c>
      <c r="R1538" t="s">
        <v>1049</v>
      </c>
      <c r="S1538" t="s">
        <v>1050</v>
      </c>
      <c r="T1538" t="s">
        <v>47</v>
      </c>
      <c r="U1538" t="s">
        <v>199</v>
      </c>
      <c r="V1538" t="s">
        <v>49</v>
      </c>
      <c r="W1538" t="s">
        <v>697</v>
      </c>
      <c r="X1538" t="s">
        <v>388</v>
      </c>
      <c r="Y1538" t="s">
        <v>460</v>
      </c>
      <c r="Z1538" t="s">
        <v>460</v>
      </c>
      <c r="AA1538" t="s">
        <v>1500</v>
      </c>
      <c r="AB1538" s="3">
        <f t="shared" si="189"/>
        <v>1</v>
      </c>
      <c r="AC1538">
        <v>23114.25</v>
      </c>
      <c r="AD1538" s="2">
        <v>23114.25</v>
      </c>
      <c r="AE1538" s="2">
        <v>4237.4799999999996</v>
      </c>
      <c r="AF1538" s="2">
        <v>171.33</v>
      </c>
      <c r="AG1538" s="2">
        <v>27523.5</v>
      </c>
      <c r="AH1538">
        <v>0</v>
      </c>
      <c r="AI1538">
        <v>27523.5</v>
      </c>
      <c r="AJ1538">
        <v>137.61750000000001</v>
      </c>
      <c r="AK1538" t="s">
        <v>54</v>
      </c>
      <c r="AL1538">
        <v>1305.6600000000001</v>
      </c>
      <c r="AM1538" s="4">
        <f t="shared" si="190"/>
        <v>27523.5</v>
      </c>
      <c r="AN1538" s="4">
        <f t="shared" si="191"/>
        <v>43339.21875</v>
      </c>
      <c r="AO1538" s="4">
        <f t="shared" si="192"/>
        <v>48149.872031250001</v>
      </c>
      <c r="AP1538" s="4">
        <f t="shared" si="193"/>
        <v>70205.200453124999</v>
      </c>
      <c r="AQ1538" s="10">
        <f t="shared" si="194"/>
        <v>47866.118849999999</v>
      </c>
      <c r="AR1538" s="10">
        <f t="shared" si="195"/>
        <v>53184.044654234996</v>
      </c>
      <c r="AS1538" s="10">
        <f t="shared" si="196"/>
        <v>74517.97382567999</v>
      </c>
    </row>
    <row r="1539" spans="1:45" x14ac:dyDescent="0.3">
      <c r="A1539">
        <v>2025</v>
      </c>
      <c r="B1539">
        <v>2</v>
      </c>
      <c r="C1539" t="s">
        <v>35</v>
      </c>
      <c r="D1539">
        <v>10</v>
      </c>
      <c r="E1539" t="s">
        <v>36</v>
      </c>
      <c r="F1539" t="s">
        <v>37</v>
      </c>
      <c r="G1539" t="s">
        <v>38</v>
      </c>
      <c r="H1539" t="s">
        <v>101</v>
      </c>
      <c r="I1539" t="s">
        <v>190</v>
      </c>
      <c r="J1539" t="s">
        <v>40</v>
      </c>
      <c r="K1539" t="s">
        <v>59</v>
      </c>
      <c r="M1539">
        <v>434264</v>
      </c>
      <c r="N1539" t="s">
        <v>42</v>
      </c>
      <c r="O1539" t="s">
        <v>43</v>
      </c>
      <c r="P1539" t="s">
        <v>191</v>
      </c>
      <c r="Q1539" t="s">
        <v>44</v>
      </c>
      <c r="R1539" t="s">
        <v>192</v>
      </c>
      <c r="S1539" t="s">
        <v>193</v>
      </c>
      <c r="T1539" t="s">
        <v>47</v>
      </c>
      <c r="U1539" t="s">
        <v>194</v>
      </c>
      <c r="V1539" t="s">
        <v>49</v>
      </c>
      <c r="W1539" t="s">
        <v>195</v>
      </c>
      <c r="X1539" t="s">
        <v>51</v>
      </c>
      <c r="Y1539" t="s">
        <v>698</v>
      </c>
      <c r="Z1539" t="s">
        <v>698</v>
      </c>
      <c r="AA1539" t="s">
        <v>1051</v>
      </c>
      <c r="AB1539" s="3">
        <f t="shared" ref="AB1539:AB1569" si="197">SUM(AC1539/AD1539)</f>
        <v>1</v>
      </c>
      <c r="AC1539">
        <v>13100</v>
      </c>
      <c r="AD1539" s="2">
        <v>13100</v>
      </c>
      <c r="AE1539" s="2">
        <v>361.6</v>
      </c>
      <c r="AF1539" s="2">
        <v>69.599999999999994</v>
      </c>
      <c r="AG1539" s="2">
        <v>13531.2</v>
      </c>
      <c r="AH1539">
        <v>0</v>
      </c>
      <c r="AI1539">
        <v>13531.2</v>
      </c>
      <c r="AJ1539">
        <v>67.656000000000006</v>
      </c>
      <c r="AK1539" t="s">
        <v>54</v>
      </c>
      <c r="AL1539">
        <v>387</v>
      </c>
      <c r="AM1539" s="4">
        <f t="shared" ref="AM1539:AM1569" si="198">SUM(AG1539/AB1539)</f>
        <v>13531.2</v>
      </c>
      <c r="AN1539" s="4">
        <f t="shared" ref="AN1539:AN1569" si="199">SUM(AD1539*1.875)</f>
        <v>24562.5</v>
      </c>
      <c r="AO1539" s="4">
        <f t="shared" si="192"/>
        <v>27288.9375</v>
      </c>
      <c r="AP1539" s="4">
        <f t="shared" si="193"/>
        <v>39788.793749999997</v>
      </c>
      <c r="AQ1539" s="10">
        <f t="shared" si="194"/>
        <v>23532.109920000003</v>
      </c>
      <c r="AR1539" s="10">
        <f t="shared" si="195"/>
        <v>26146.527332112004</v>
      </c>
      <c r="AS1539" s="10">
        <f t="shared" si="196"/>
        <v>36634.788723456004</v>
      </c>
    </row>
    <row r="1540" spans="1:45" x14ac:dyDescent="0.3">
      <c r="A1540">
        <v>2025</v>
      </c>
      <c r="B1540">
        <v>4</v>
      </c>
      <c r="C1540" t="s">
        <v>35</v>
      </c>
      <c r="D1540">
        <v>10</v>
      </c>
      <c r="E1540" t="s">
        <v>36</v>
      </c>
      <c r="F1540" t="s">
        <v>37</v>
      </c>
      <c r="G1540" t="s">
        <v>38</v>
      </c>
      <c r="H1540" t="s">
        <v>101</v>
      </c>
      <c r="I1540" t="s">
        <v>190</v>
      </c>
      <c r="J1540" t="s">
        <v>40</v>
      </c>
      <c r="K1540" t="s">
        <v>59</v>
      </c>
      <c r="M1540">
        <v>90501913</v>
      </c>
      <c r="N1540" t="s">
        <v>42</v>
      </c>
      <c r="O1540" t="s">
        <v>36</v>
      </c>
      <c r="P1540" t="s">
        <v>191</v>
      </c>
      <c r="Q1540" t="s">
        <v>44</v>
      </c>
      <c r="R1540" t="s">
        <v>210</v>
      </c>
      <c r="S1540" t="s">
        <v>459</v>
      </c>
      <c r="T1540" t="s">
        <v>47</v>
      </c>
      <c r="U1540" t="s">
        <v>199</v>
      </c>
      <c r="V1540" t="s">
        <v>49</v>
      </c>
      <c r="W1540" t="s">
        <v>200</v>
      </c>
      <c r="X1540" t="s">
        <v>51</v>
      </c>
      <c r="Y1540" t="s">
        <v>196</v>
      </c>
      <c r="Z1540" t="s">
        <v>196</v>
      </c>
      <c r="AA1540" t="s">
        <v>198</v>
      </c>
      <c r="AB1540" s="3">
        <f t="shared" si="197"/>
        <v>1</v>
      </c>
      <c r="AC1540">
        <v>7090.33</v>
      </c>
      <c r="AD1540" s="2">
        <v>7090.33</v>
      </c>
      <c r="AE1540" s="2">
        <v>370.66</v>
      </c>
      <c r="AF1540" s="2">
        <v>46.98</v>
      </c>
      <c r="AG1540" s="2">
        <v>7507.96</v>
      </c>
      <c r="AH1540">
        <v>0</v>
      </c>
      <c r="AI1540">
        <v>7507.96</v>
      </c>
      <c r="AJ1540">
        <v>37.5398</v>
      </c>
      <c r="AK1540" t="s">
        <v>54</v>
      </c>
      <c r="AL1540">
        <v>268</v>
      </c>
      <c r="AM1540" s="4">
        <f t="shared" si="198"/>
        <v>7507.96</v>
      </c>
      <c r="AN1540" s="4">
        <f t="shared" si="199"/>
        <v>13294.36875</v>
      </c>
      <c r="AO1540" s="4">
        <f t="shared" ref="AO1540:AO1569" si="200">SUM(AN1540)*1.111</f>
        <v>14770.043681249999</v>
      </c>
      <c r="AP1540" s="4">
        <f t="shared" ref="AP1540:AP1569" si="201">SUM(AN1540)*1.6199</f>
        <v>21535.547938124997</v>
      </c>
      <c r="AQ1540" s="10">
        <f t="shared" si="194"/>
        <v>13057.093236000001</v>
      </c>
      <c r="AR1540" s="10">
        <f t="shared" si="195"/>
        <v>14507.7362945196</v>
      </c>
      <c r="AS1540" s="10">
        <f t="shared" si="196"/>
        <v>20327.282749804799</v>
      </c>
    </row>
    <row r="1541" spans="1:45" x14ac:dyDescent="0.3">
      <c r="A1541">
        <v>2025</v>
      </c>
      <c r="B1541">
        <v>6</v>
      </c>
      <c r="C1541" t="s">
        <v>35</v>
      </c>
      <c r="D1541">
        <v>10</v>
      </c>
      <c r="E1541" t="s">
        <v>36</v>
      </c>
      <c r="F1541" t="s">
        <v>37</v>
      </c>
      <c r="G1541" t="s">
        <v>38</v>
      </c>
      <c r="H1541" t="s">
        <v>83</v>
      </c>
      <c r="I1541" t="s">
        <v>190</v>
      </c>
      <c r="J1541" t="s">
        <v>40</v>
      </c>
      <c r="K1541" t="s">
        <v>59</v>
      </c>
      <c r="M1541">
        <v>447389</v>
      </c>
      <c r="N1541" t="s">
        <v>42</v>
      </c>
      <c r="O1541" t="s">
        <v>43</v>
      </c>
      <c r="Q1541" t="s">
        <v>44</v>
      </c>
      <c r="R1541" t="s">
        <v>772</v>
      </c>
      <c r="S1541" t="s">
        <v>773</v>
      </c>
      <c r="T1541" t="s">
        <v>47</v>
      </c>
      <c r="U1541" t="s">
        <v>199</v>
      </c>
      <c r="V1541" t="s">
        <v>49</v>
      </c>
      <c r="W1541" t="s">
        <v>697</v>
      </c>
      <c r="X1541" t="s">
        <v>51</v>
      </c>
      <c r="Y1541" t="s">
        <v>460</v>
      </c>
      <c r="Z1541" t="s">
        <v>460</v>
      </c>
      <c r="AA1541" t="s">
        <v>463</v>
      </c>
      <c r="AB1541" s="3">
        <f t="shared" si="197"/>
        <v>1</v>
      </c>
      <c r="AC1541">
        <v>7466.87</v>
      </c>
      <c r="AD1541" s="2">
        <v>7466.87</v>
      </c>
      <c r="AE1541" s="2">
        <v>778.87</v>
      </c>
      <c r="AF1541" s="2">
        <v>50.43</v>
      </c>
      <c r="AG1541" s="2">
        <v>8296.17</v>
      </c>
      <c r="AH1541">
        <v>0</v>
      </c>
      <c r="AI1541">
        <v>8296.17</v>
      </c>
      <c r="AJ1541">
        <v>41.480849999999997</v>
      </c>
      <c r="AK1541" t="s">
        <v>54</v>
      </c>
      <c r="AL1541">
        <v>322</v>
      </c>
      <c r="AM1541" s="4">
        <f t="shared" si="198"/>
        <v>8296.17</v>
      </c>
      <c r="AN1541" s="4">
        <f t="shared" si="199"/>
        <v>14000.38125</v>
      </c>
      <c r="AO1541" s="4">
        <f t="shared" si="200"/>
        <v>15554.42356875</v>
      </c>
      <c r="AP1541" s="4">
        <f t="shared" si="201"/>
        <v>22679.217586874998</v>
      </c>
      <c r="AQ1541" s="10">
        <f t="shared" si="194"/>
        <v>14427.869247000001</v>
      </c>
      <c r="AR1541" s="10">
        <f t="shared" si="195"/>
        <v>16030.805520341701</v>
      </c>
      <c r="AS1541" s="10">
        <f t="shared" si="196"/>
        <v>22461.306843729599</v>
      </c>
    </row>
    <row r="1542" spans="1:45" x14ac:dyDescent="0.3">
      <c r="A1542">
        <v>2025</v>
      </c>
      <c r="B1542">
        <v>11</v>
      </c>
      <c r="C1542" t="s">
        <v>35</v>
      </c>
      <c r="D1542">
        <v>10</v>
      </c>
      <c r="E1542" t="s">
        <v>36</v>
      </c>
      <c r="F1542" t="s">
        <v>37</v>
      </c>
      <c r="G1542" t="s">
        <v>38</v>
      </c>
      <c r="H1542" t="s">
        <v>83</v>
      </c>
      <c r="I1542" t="s">
        <v>190</v>
      </c>
      <c r="K1542" t="s">
        <v>59</v>
      </c>
      <c r="L1542" t="s">
        <v>1685</v>
      </c>
      <c r="M1542">
        <v>462293</v>
      </c>
      <c r="N1542" t="s">
        <v>42</v>
      </c>
      <c r="O1542" t="s">
        <v>1197</v>
      </c>
      <c r="Q1542" t="s">
        <v>44</v>
      </c>
      <c r="R1542" t="s">
        <v>1681</v>
      </c>
      <c r="S1542" t="s">
        <v>1675</v>
      </c>
      <c r="T1542" t="s">
        <v>47</v>
      </c>
      <c r="U1542" t="s">
        <v>1688</v>
      </c>
      <c r="V1542" t="s">
        <v>49</v>
      </c>
      <c r="W1542" t="s">
        <v>1289</v>
      </c>
      <c r="X1542" t="s">
        <v>388</v>
      </c>
      <c r="Y1542" t="s">
        <v>196</v>
      </c>
      <c r="Z1542" t="s">
        <v>196</v>
      </c>
      <c r="AA1542" t="s">
        <v>800</v>
      </c>
      <c r="AB1542" s="3">
        <f t="shared" si="197"/>
        <v>1</v>
      </c>
      <c r="AC1542">
        <v>41279.47</v>
      </c>
      <c r="AD1542" s="2">
        <v>41279.47</v>
      </c>
      <c r="AE1542" s="2">
        <v>7016.34</v>
      </c>
      <c r="AF1542" s="2">
        <v>294.43</v>
      </c>
      <c r="AG1542" s="2">
        <v>48590.25</v>
      </c>
      <c r="AH1542">
        <v>0</v>
      </c>
      <c r="AI1542">
        <v>48590.25</v>
      </c>
      <c r="AJ1542">
        <v>242.95124999999999</v>
      </c>
      <c r="AK1542" t="s">
        <v>54</v>
      </c>
      <c r="AL1542">
        <v>1594</v>
      </c>
      <c r="AM1542" s="4">
        <f t="shared" si="198"/>
        <v>48590.25</v>
      </c>
      <c r="AN1542" s="4">
        <f t="shared" si="199"/>
        <v>77399.006250000006</v>
      </c>
      <c r="AO1542" s="4">
        <f t="shared" si="200"/>
        <v>85990.29594375001</v>
      </c>
      <c r="AP1542" s="4">
        <f t="shared" si="201"/>
        <v>125378.650224375</v>
      </c>
      <c r="AQ1542" s="10">
        <f t="shared" si="194"/>
        <v>84503.303775000008</v>
      </c>
      <c r="AR1542" s="10">
        <f t="shared" si="195"/>
        <v>93891.620824402504</v>
      </c>
      <c r="AS1542" s="10">
        <f t="shared" si="196"/>
        <v>131554.74331692001</v>
      </c>
    </row>
    <row r="1543" spans="1:45" x14ac:dyDescent="0.3">
      <c r="A1543">
        <v>2025</v>
      </c>
      <c r="B1543">
        <v>12</v>
      </c>
      <c r="C1543" t="s">
        <v>35</v>
      </c>
      <c r="D1543">
        <v>10</v>
      </c>
      <c r="E1543" t="s">
        <v>36</v>
      </c>
      <c r="F1543" t="s">
        <v>37</v>
      </c>
      <c r="G1543" t="s">
        <v>38</v>
      </c>
      <c r="H1543" t="s">
        <v>83</v>
      </c>
      <c r="K1543" t="s">
        <v>59</v>
      </c>
      <c r="L1543" t="s">
        <v>1817</v>
      </c>
      <c r="M1543">
        <v>464176</v>
      </c>
      <c r="N1543" t="s">
        <v>42</v>
      </c>
      <c r="O1543" t="s">
        <v>1197</v>
      </c>
      <c r="P1543" t="s">
        <v>191</v>
      </c>
      <c r="Q1543" t="s">
        <v>44</v>
      </c>
      <c r="R1543" t="s">
        <v>1818</v>
      </c>
      <c r="S1543" t="s">
        <v>1794</v>
      </c>
      <c r="T1543" t="s">
        <v>47</v>
      </c>
      <c r="U1543" t="s">
        <v>464</v>
      </c>
      <c r="V1543" t="s">
        <v>49</v>
      </c>
      <c r="W1543" t="s">
        <v>802</v>
      </c>
      <c r="X1543" t="s">
        <v>388</v>
      </c>
      <c r="Y1543" t="s">
        <v>460</v>
      </c>
      <c r="Z1543" t="s">
        <v>460</v>
      </c>
      <c r="AA1543" t="s">
        <v>800</v>
      </c>
      <c r="AB1543" s="3">
        <f t="shared" si="197"/>
        <v>1</v>
      </c>
      <c r="AC1543">
        <v>37373.99</v>
      </c>
      <c r="AD1543" s="2">
        <v>37373.99</v>
      </c>
      <c r="AE1543" s="2">
        <v>5032.8999999999996</v>
      </c>
      <c r="AF1543" s="2">
        <v>268.61</v>
      </c>
      <c r="AG1543" s="2">
        <v>42674.69</v>
      </c>
      <c r="AH1543">
        <v>0</v>
      </c>
      <c r="AI1543">
        <v>42674.69</v>
      </c>
      <c r="AJ1543">
        <v>213.37344999999999</v>
      </c>
      <c r="AK1543" t="s">
        <v>54</v>
      </c>
      <c r="AL1543">
        <v>1417.68</v>
      </c>
      <c r="AM1543" s="4">
        <f t="shared" si="198"/>
        <v>42674.69</v>
      </c>
      <c r="AN1543" s="4">
        <f t="shared" si="199"/>
        <v>70076.231249999997</v>
      </c>
      <c r="AO1543" s="4">
        <f t="shared" si="200"/>
        <v>77854.692918749992</v>
      </c>
      <c r="AP1543" s="4">
        <f t="shared" si="201"/>
        <v>113516.48700187499</v>
      </c>
      <c r="AQ1543" s="10">
        <f t="shared" si="194"/>
        <v>74215.553379000004</v>
      </c>
      <c r="AR1543" s="10">
        <f t="shared" si="195"/>
        <v>82460.901359406897</v>
      </c>
      <c r="AS1543" s="10">
        <f t="shared" si="196"/>
        <v>115538.77350042721</v>
      </c>
    </row>
    <row r="1544" spans="1:45" x14ac:dyDescent="0.3">
      <c r="A1544">
        <v>2025</v>
      </c>
      <c r="B1544">
        <v>11</v>
      </c>
      <c r="C1544" t="s">
        <v>35</v>
      </c>
      <c r="D1544">
        <v>10</v>
      </c>
      <c r="E1544" t="s">
        <v>36</v>
      </c>
      <c r="F1544" t="s">
        <v>37</v>
      </c>
      <c r="G1544" t="s">
        <v>38</v>
      </c>
      <c r="H1544" t="s">
        <v>83</v>
      </c>
      <c r="I1544" t="s">
        <v>190</v>
      </c>
      <c r="K1544" t="s">
        <v>59</v>
      </c>
      <c r="L1544" t="s">
        <v>1673</v>
      </c>
      <c r="M1544">
        <v>462409</v>
      </c>
      <c r="N1544" t="s">
        <v>42</v>
      </c>
      <c r="O1544" t="s">
        <v>1197</v>
      </c>
      <c r="Q1544" t="s">
        <v>44</v>
      </c>
      <c r="R1544" t="s">
        <v>1674</v>
      </c>
      <c r="S1544" t="s">
        <v>1675</v>
      </c>
      <c r="T1544" t="s">
        <v>47</v>
      </c>
      <c r="U1544" t="s">
        <v>199</v>
      </c>
      <c r="V1544" t="s">
        <v>49</v>
      </c>
      <c r="W1544" t="s">
        <v>697</v>
      </c>
      <c r="X1544" t="s">
        <v>388</v>
      </c>
      <c r="Y1544" t="s">
        <v>460</v>
      </c>
      <c r="Z1544" t="s">
        <v>460</v>
      </c>
      <c r="AA1544" t="s">
        <v>1819</v>
      </c>
      <c r="AB1544" s="3">
        <f t="shared" si="197"/>
        <v>1</v>
      </c>
      <c r="AC1544">
        <v>33239.589999999997</v>
      </c>
      <c r="AD1544" s="2">
        <v>33239.589999999997</v>
      </c>
      <c r="AE1544" s="2">
        <v>4804.2299999999996</v>
      </c>
      <c r="AF1544" s="2">
        <v>234.26</v>
      </c>
      <c r="AG1544" s="2">
        <v>38278.800000000003</v>
      </c>
      <c r="AH1544">
        <v>0</v>
      </c>
      <c r="AI1544">
        <v>38278.800000000003</v>
      </c>
      <c r="AJ1544">
        <v>191.39400000000001</v>
      </c>
      <c r="AK1544" t="s">
        <v>54</v>
      </c>
      <c r="AL1544">
        <v>452.1</v>
      </c>
      <c r="AM1544" s="4">
        <f t="shared" si="198"/>
        <v>38278.800000000003</v>
      </c>
      <c r="AN1544" s="4">
        <f t="shared" si="199"/>
        <v>62324.231249999997</v>
      </c>
      <c r="AO1544" s="4">
        <f t="shared" si="200"/>
        <v>69242.220918749998</v>
      </c>
      <c r="AP1544" s="4">
        <f t="shared" si="201"/>
        <v>100959.02220187499</v>
      </c>
      <c r="AQ1544" s="10">
        <f t="shared" si="194"/>
        <v>66570.661080000005</v>
      </c>
      <c r="AR1544" s="10">
        <f t="shared" si="195"/>
        <v>73966.661525988005</v>
      </c>
      <c r="AS1544" s="10">
        <f t="shared" si="196"/>
        <v>103637.205169344</v>
      </c>
    </row>
    <row r="1545" spans="1:45" x14ac:dyDescent="0.3">
      <c r="A1545">
        <v>2025</v>
      </c>
      <c r="B1545">
        <v>5</v>
      </c>
      <c r="C1545" t="s">
        <v>35</v>
      </c>
      <c r="D1545">
        <v>10</v>
      </c>
      <c r="E1545" t="s">
        <v>36</v>
      </c>
      <c r="F1545" t="s">
        <v>37</v>
      </c>
      <c r="G1545" t="s">
        <v>38</v>
      </c>
      <c r="H1545" t="s">
        <v>101</v>
      </c>
      <c r="I1545" t="s">
        <v>190</v>
      </c>
      <c r="J1545" t="s">
        <v>40</v>
      </c>
      <c r="K1545" t="s">
        <v>59</v>
      </c>
      <c r="M1545">
        <v>443015</v>
      </c>
      <c r="N1545" t="s">
        <v>42</v>
      </c>
      <c r="O1545" t="s">
        <v>36</v>
      </c>
      <c r="P1545" t="s">
        <v>191</v>
      </c>
      <c r="Q1545" t="s">
        <v>44</v>
      </c>
      <c r="R1545" t="s">
        <v>695</v>
      </c>
      <c r="S1545" t="s">
        <v>673</v>
      </c>
      <c r="T1545" t="s">
        <v>47</v>
      </c>
      <c r="U1545" t="s">
        <v>199</v>
      </c>
      <c r="V1545" t="s">
        <v>49</v>
      </c>
      <c r="W1545" t="s">
        <v>697</v>
      </c>
      <c r="X1545" t="s">
        <v>388</v>
      </c>
      <c r="Y1545" t="s">
        <v>460</v>
      </c>
      <c r="Z1545" t="s">
        <v>460</v>
      </c>
      <c r="AA1545" t="s">
        <v>1676</v>
      </c>
      <c r="AB1545" s="3">
        <f t="shared" si="197"/>
        <v>1</v>
      </c>
      <c r="AC1545">
        <v>29796.18</v>
      </c>
      <c r="AD1545" s="2">
        <v>29796.18</v>
      </c>
      <c r="AE1545" s="2">
        <v>2280.6</v>
      </c>
      <c r="AF1545" s="2">
        <v>198.33</v>
      </c>
      <c r="AG1545" s="2">
        <v>32275.11</v>
      </c>
      <c r="AH1545">
        <v>0</v>
      </c>
      <c r="AI1545">
        <v>32275.11</v>
      </c>
      <c r="AJ1545">
        <v>161.37555</v>
      </c>
      <c r="AK1545" t="s">
        <v>54</v>
      </c>
      <c r="AL1545">
        <v>860.97</v>
      </c>
      <c r="AM1545" s="4">
        <f t="shared" si="198"/>
        <v>32275.11</v>
      </c>
      <c r="AN1545" s="4">
        <f t="shared" si="199"/>
        <v>55867.837500000001</v>
      </c>
      <c r="AO1545" s="4">
        <f t="shared" si="200"/>
        <v>62069.167462500001</v>
      </c>
      <c r="AP1545" s="4">
        <f t="shared" si="201"/>
        <v>90500.309966250003</v>
      </c>
      <c r="AQ1545" s="10">
        <f t="shared" si="194"/>
        <v>56129.643801000006</v>
      </c>
      <c r="AR1545" s="10">
        <f t="shared" si="195"/>
        <v>62365.647227291105</v>
      </c>
      <c r="AS1545" s="10">
        <f t="shared" si="196"/>
        <v>87382.629469396808</v>
      </c>
    </row>
    <row r="1546" spans="1:45" x14ac:dyDescent="0.3">
      <c r="A1546">
        <v>2025</v>
      </c>
      <c r="B1546">
        <v>7</v>
      </c>
      <c r="C1546" t="s">
        <v>35</v>
      </c>
      <c r="D1546">
        <v>10</v>
      </c>
      <c r="E1546" t="s">
        <v>36</v>
      </c>
      <c r="F1546" t="s">
        <v>37</v>
      </c>
      <c r="G1546" t="s">
        <v>38</v>
      </c>
      <c r="H1546" t="s">
        <v>1042</v>
      </c>
      <c r="I1546" t="s">
        <v>1043</v>
      </c>
      <c r="J1546" t="s">
        <v>1044</v>
      </c>
      <c r="K1546" t="s">
        <v>1045</v>
      </c>
      <c r="L1546" t="s">
        <v>1046</v>
      </c>
      <c r="M1546" t="s">
        <v>1047</v>
      </c>
      <c r="N1546" t="s">
        <v>1048</v>
      </c>
      <c r="O1546" t="s">
        <v>36</v>
      </c>
      <c r="Q1546" t="s">
        <v>44</v>
      </c>
      <c r="R1546" t="s">
        <v>1049</v>
      </c>
      <c r="S1546" t="s">
        <v>1050</v>
      </c>
      <c r="T1546" t="s">
        <v>47</v>
      </c>
      <c r="U1546" t="s">
        <v>199</v>
      </c>
      <c r="V1546" t="s">
        <v>49</v>
      </c>
      <c r="W1546" t="s">
        <v>697</v>
      </c>
      <c r="X1546" t="s">
        <v>388</v>
      </c>
      <c r="Y1546" t="s">
        <v>196</v>
      </c>
      <c r="Z1546" t="s">
        <v>196</v>
      </c>
      <c r="AA1546" t="s">
        <v>704</v>
      </c>
      <c r="AB1546" s="3">
        <f t="shared" si="197"/>
        <v>1</v>
      </c>
      <c r="AC1546">
        <v>16080.5</v>
      </c>
      <c r="AD1546" s="2">
        <v>16080.5</v>
      </c>
      <c r="AE1546" s="2">
        <v>1619.1</v>
      </c>
      <c r="AF1546" s="2">
        <v>109.21</v>
      </c>
      <c r="AG1546" s="2">
        <v>17808.27</v>
      </c>
      <c r="AH1546">
        <v>0</v>
      </c>
      <c r="AI1546">
        <v>17808.27</v>
      </c>
      <c r="AJ1546">
        <v>89.041349999999994</v>
      </c>
      <c r="AK1546" t="s">
        <v>54</v>
      </c>
      <c r="AL1546">
        <v>495.67</v>
      </c>
      <c r="AM1546" s="4">
        <f t="shared" si="198"/>
        <v>17808.27</v>
      </c>
      <c r="AN1546" s="4">
        <f t="shared" si="199"/>
        <v>30150.9375</v>
      </c>
      <c r="AO1546" s="4">
        <f t="shared" si="200"/>
        <v>33497.691562499997</v>
      </c>
      <c r="AP1546" s="4">
        <f t="shared" si="201"/>
        <v>48841.503656249995</v>
      </c>
      <c r="AQ1546" s="10">
        <f t="shared" si="194"/>
        <v>30970.362357000002</v>
      </c>
      <c r="AR1546" s="10">
        <f t="shared" si="195"/>
        <v>34411.169614862702</v>
      </c>
      <c r="AS1546" s="10">
        <f t="shared" si="196"/>
        <v>48214.6601173776</v>
      </c>
    </row>
    <row r="1547" spans="1:45" x14ac:dyDescent="0.3">
      <c r="A1547">
        <v>2025</v>
      </c>
      <c r="B1547">
        <v>12</v>
      </c>
      <c r="C1547" t="s">
        <v>35</v>
      </c>
      <c r="D1547">
        <v>10</v>
      </c>
      <c r="E1547" t="s">
        <v>36</v>
      </c>
      <c r="F1547" t="s">
        <v>37</v>
      </c>
      <c r="G1547" t="s">
        <v>38</v>
      </c>
      <c r="H1547" t="s">
        <v>83</v>
      </c>
      <c r="K1547" t="s">
        <v>59</v>
      </c>
      <c r="L1547" t="s">
        <v>1793</v>
      </c>
      <c r="M1547">
        <v>463645</v>
      </c>
      <c r="N1547" t="s">
        <v>42</v>
      </c>
      <c r="O1547" t="s">
        <v>1197</v>
      </c>
      <c r="P1547" t="s">
        <v>191</v>
      </c>
      <c r="Q1547" t="s">
        <v>44</v>
      </c>
      <c r="R1547" t="s">
        <v>1626</v>
      </c>
      <c r="S1547" t="s">
        <v>1794</v>
      </c>
      <c r="T1547" t="s">
        <v>47</v>
      </c>
      <c r="U1547" t="s">
        <v>194</v>
      </c>
      <c r="V1547" t="s">
        <v>49</v>
      </c>
      <c r="W1547" t="s">
        <v>1293</v>
      </c>
      <c r="X1547" t="s">
        <v>388</v>
      </c>
      <c r="Y1547" t="s">
        <v>698</v>
      </c>
      <c r="Z1547" t="s">
        <v>698</v>
      </c>
      <c r="AA1547" t="s">
        <v>1052</v>
      </c>
      <c r="AB1547" s="3">
        <f t="shared" si="197"/>
        <v>1</v>
      </c>
      <c r="AC1547">
        <v>8600</v>
      </c>
      <c r="AD1547" s="2">
        <v>8600</v>
      </c>
      <c r="AE1547" s="2">
        <v>361.6</v>
      </c>
      <c r="AF1547" s="2">
        <v>69.599999999999994</v>
      </c>
      <c r="AG1547" s="2">
        <v>9031.2000000000007</v>
      </c>
      <c r="AH1547">
        <v>0</v>
      </c>
      <c r="AI1547">
        <v>9031.2000000000007</v>
      </c>
      <c r="AJ1547">
        <v>45.155999999999999</v>
      </c>
      <c r="AK1547" t="s">
        <v>54</v>
      </c>
      <c r="AL1547">
        <v>387</v>
      </c>
      <c r="AM1547" s="4">
        <f t="shared" si="198"/>
        <v>9031.2000000000007</v>
      </c>
      <c r="AN1547" s="4">
        <f t="shared" si="199"/>
        <v>16125</v>
      </c>
      <c r="AO1547" s="4">
        <f t="shared" si="200"/>
        <v>17914.875</v>
      </c>
      <c r="AP1547" s="4">
        <f t="shared" si="201"/>
        <v>26120.887499999997</v>
      </c>
      <c r="AQ1547" s="10">
        <f t="shared" si="194"/>
        <v>15706.159920000002</v>
      </c>
      <c r="AR1547" s="10">
        <f t="shared" si="195"/>
        <v>17451.114287112003</v>
      </c>
      <c r="AS1547" s="10">
        <f t="shared" si="196"/>
        <v>24451.349763456001</v>
      </c>
    </row>
    <row r="1548" spans="1:45" x14ac:dyDescent="0.3">
      <c r="A1548">
        <v>2025</v>
      </c>
      <c r="B1548">
        <v>11</v>
      </c>
      <c r="C1548" t="s">
        <v>35</v>
      </c>
      <c r="D1548">
        <v>10</v>
      </c>
      <c r="E1548" t="s">
        <v>36</v>
      </c>
      <c r="F1548" t="s">
        <v>37</v>
      </c>
      <c r="G1548" t="s">
        <v>38</v>
      </c>
      <c r="H1548" t="s">
        <v>83</v>
      </c>
      <c r="I1548" t="s">
        <v>190</v>
      </c>
      <c r="K1548" t="s">
        <v>59</v>
      </c>
      <c r="L1548" t="s">
        <v>1680</v>
      </c>
      <c r="M1548">
        <v>462965</v>
      </c>
      <c r="N1548" t="s">
        <v>42</v>
      </c>
      <c r="O1548" t="s">
        <v>1197</v>
      </c>
      <c r="Q1548" t="s">
        <v>44</v>
      </c>
      <c r="R1548" t="s">
        <v>1681</v>
      </c>
      <c r="S1548" t="s">
        <v>1675</v>
      </c>
      <c r="T1548" t="s">
        <v>47</v>
      </c>
      <c r="U1548" t="s">
        <v>199</v>
      </c>
      <c r="V1548" t="s">
        <v>49</v>
      </c>
      <c r="W1548" t="s">
        <v>697</v>
      </c>
      <c r="X1548" t="s">
        <v>388</v>
      </c>
      <c r="Y1548" t="s">
        <v>1686</v>
      </c>
      <c r="Z1548" t="s">
        <v>1686</v>
      </c>
      <c r="AA1548" t="s">
        <v>1811</v>
      </c>
      <c r="AB1548" s="3">
        <f t="shared" si="197"/>
        <v>1</v>
      </c>
      <c r="AC1548">
        <v>7814.84</v>
      </c>
      <c r="AD1548" s="2">
        <v>7814.84</v>
      </c>
      <c r="AE1548" s="2">
        <v>3563.5</v>
      </c>
      <c r="AF1548" s="2">
        <v>73.2</v>
      </c>
      <c r="AG1548" s="2">
        <v>11451.36</v>
      </c>
      <c r="AH1548">
        <v>0</v>
      </c>
      <c r="AI1548">
        <v>11451.36</v>
      </c>
      <c r="AJ1548">
        <v>57.256799999999998</v>
      </c>
      <c r="AK1548" t="s">
        <v>54</v>
      </c>
      <c r="AL1548">
        <v>495.16</v>
      </c>
      <c r="AM1548" s="4">
        <f t="shared" si="198"/>
        <v>11451.36</v>
      </c>
      <c r="AN1548" s="4">
        <f t="shared" si="199"/>
        <v>14652.825000000001</v>
      </c>
      <c r="AO1548" s="4">
        <f t="shared" si="200"/>
        <v>16279.288575</v>
      </c>
      <c r="AP1548" s="4">
        <f t="shared" si="201"/>
        <v>23736.111217499998</v>
      </c>
      <c r="AQ1548" s="10">
        <f t="shared" si="194"/>
        <v>19915.060176000003</v>
      </c>
      <c r="AR1548" s="10">
        <f t="shared" si="195"/>
        <v>22127.623361553604</v>
      </c>
      <c r="AS1548" s="10">
        <f t="shared" si="196"/>
        <v>31003.765681996803</v>
      </c>
    </row>
    <row r="1549" spans="1:45" x14ac:dyDescent="0.3">
      <c r="A1549">
        <v>2025</v>
      </c>
      <c r="B1549">
        <v>12</v>
      </c>
      <c r="C1549" t="s">
        <v>35</v>
      </c>
      <c r="D1549">
        <v>10</v>
      </c>
      <c r="E1549" t="s">
        <v>36</v>
      </c>
      <c r="F1549" t="s">
        <v>37</v>
      </c>
      <c r="G1549" t="s">
        <v>38</v>
      </c>
      <c r="H1549" t="s">
        <v>83</v>
      </c>
      <c r="K1549" t="s">
        <v>59</v>
      </c>
      <c r="L1549" t="s">
        <v>1817</v>
      </c>
      <c r="M1549">
        <v>464176</v>
      </c>
      <c r="N1549" t="s">
        <v>42</v>
      </c>
      <c r="O1549" t="s">
        <v>1197</v>
      </c>
      <c r="P1549" t="s">
        <v>191</v>
      </c>
      <c r="Q1549" t="s">
        <v>44</v>
      </c>
      <c r="R1549" t="s">
        <v>1818</v>
      </c>
      <c r="S1549" t="s">
        <v>1794</v>
      </c>
      <c r="T1549" t="s">
        <v>47</v>
      </c>
      <c r="U1549" t="s">
        <v>464</v>
      </c>
      <c r="V1549" t="s">
        <v>49</v>
      </c>
      <c r="W1549" t="s">
        <v>802</v>
      </c>
      <c r="X1549" t="s">
        <v>388</v>
      </c>
      <c r="Y1549" t="s">
        <v>460</v>
      </c>
      <c r="Z1549" t="s">
        <v>460</v>
      </c>
      <c r="AA1549" t="s">
        <v>1684</v>
      </c>
      <c r="AB1549" s="3">
        <f t="shared" si="197"/>
        <v>1</v>
      </c>
      <c r="AC1549">
        <v>19152.82</v>
      </c>
      <c r="AD1549" s="2">
        <v>19152.82</v>
      </c>
      <c r="AE1549" s="2">
        <v>3200.41</v>
      </c>
      <c r="AF1549" s="2">
        <v>138.88999999999999</v>
      </c>
      <c r="AG1549" s="2">
        <v>22492.12</v>
      </c>
      <c r="AH1549">
        <v>0</v>
      </c>
      <c r="AI1549">
        <v>22492.12</v>
      </c>
      <c r="AJ1549">
        <v>112.4606</v>
      </c>
      <c r="AK1549" t="s">
        <v>54</v>
      </c>
      <c r="AL1549">
        <v>863.64</v>
      </c>
      <c r="AM1549" s="4">
        <f t="shared" si="198"/>
        <v>22492.12</v>
      </c>
      <c r="AN1549" s="4">
        <f t="shared" si="199"/>
        <v>35911.537499999999</v>
      </c>
      <c r="AO1549" s="4">
        <f t="shared" si="200"/>
        <v>39897.718162500001</v>
      </c>
      <c r="AP1549" s="4">
        <f t="shared" si="201"/>
        <v>58173.099596249995</v>
      </c>
      <c r="AQ1549" s="10">
        <f t="shared" si="194"/>
        <v>39116.045892000002</v>
      </c>
      <c r="AR1549" s="10">
        <f t="shared" si="195"/>
        <v>43461.838590601204</v>
      </c>
      <c r="AS1549" s="10">
        <f t="shared" si="196"/>
        <v>60895.8602446656</v>
      </c>
    </row>
    <row r="1550" spans="1:45" x14ac:dyDescent="0.3">
      <c r="A1550">
        <v>2025</v>
      </c>
      <c r="B1550">
        <v>3</v>
      </c>
      <c r="C1550" t="s">
        <v>35</v>
      </c>
      <c r="D1550">
        <v>10</v>
      </c>
      <c r="E1550" t="s">
        <v>36</v>
      </c>
      <c r="F1550" t="s">
        <v>37</v>
      </c>
      <c r="G1550" t="s">
        <v>38</v>
      </c>
      <c r="H1550" t="s">
        <v>83</v>
      </c>
      <c r="I1550" t="s">
        <v>190</v>
      </c>
      <c r="J1550" t="s">
        <v>40</v>
      </c>
      <c r="K1550" t="s">
        <v>59</v>
      </c>
      <c r="M1550">
        <v>437086</v>
      </c>
      <c r="N1550" t="s">
        <v>42</v>
      </c>
      <c r="O1550" t="s">
        <v>43</v>
      </c>
      <c r="Q1550" t="s">
        <v>44</v>
      </c>
      <c r="R1550" t="s">
        <v>255</v>
      </c>
      <c r="S1550" t="s">
        <v>256</v>
      </c>
      <c r="T1550" t="s">
        <v>47</v>
      </c>
      <c r="U1550" t="s">
        <v>199</v>
      </c>
      <c r="V1550" t="s">
        <v>49</v>
      </c>
      <c r="W1550" t="s">
        <v>200</v>
      </c>
      <c r="X1550" t="s">
        <v>51</v>
      </c>
      <c r="Y1550" t="s">
        <v>460</v>
      </c>
      <c r="Z1550" t="s">
        <v>460</v>
      </c>
      <c r="AA1550" t="s">
        <v>1684</v>
      </c>
      <c r="AB1550" s="3">
        <f t="shared" si="197"/>
        <v>1</v>
      </c>
      <c r="AC1550">
        <v>19314.32</v>
      </c>
      <c r="AD1550" s="2">
        <v>19314.32</v>
      </c>
      <c r="AE1550" s="2">
        <v>2791.56</v>
      </c>
      <c r="AF1550" s="2">
        <v>136.12</v>
      </c>
      <c r="AG1550" s="2">
        <v>22242</v>
      </c>
      <c r="AH1550">
        <v>0</v>
      </c>
      <c r="AI1550">
        <v>22242</v>
      </c>
      <c r="AJ1550">
        <v>111.21</v>
      </c>
      <c r="AK1550" t="s">
        <v>54</v>
      </c>
      <c r="AL1550">
        <v>452.1</v>
      </c>
      <c r="AM1550" s="4">
        <f t="shared" si="198"/>
        <v>22242</v>
      </c>
      <c r="AN1550" s="4">
        <f t="shared" si="199"/>
        <v>36214.35</v>
      </c>
      <c r="AO1550" s="4">
        <f t="shared" si="200"/>
        <v>40234.142849999997</v>
      </c>
      <c r="AP1550" s="4">
        <f t="shared" si="201"/>
        <v>58663.625564999995</v>
      </c>
      <c r="AQ1550" s="10">
        <f t="shared" si="194"/>
        <v>38681.0622</v>
      </c>
      <c r="AR1550" s="10">
        <f t="shared" si="195"/>
        <v>42978.528210420001</v>
      </c>
      <c r="AS1550" s="10">
        <f t="shared" si="196"/>
        <v>60218.677632959996</v>
      </c>
    </row>
    <row r="1551" spans="1:45" x14ac:dyDescent="0.3">
      <c r="A1551">
        <v>2025</v>
      </c>
      <c r="B1551">
        <v>5</v>
      </c>
      <c r="C1551" t="s">
        <v>35</v>
      </c>
      <c r="D1551">
        <v>10</v>
      </c>
      <c r="E1551" t="s">
        <v>36</v>
      </c>
      <c r="F1551" t="s">
        <v>37</v>
      </c>
      <c r="G1551" t="s">
        <v>38</v>
      </c>
      <c r="H1551" t="s">
        <v>83</v>
      </c>
      <c r="I1551" t="s">
        <v>190</v>
      </c>
      <c r="J1551" t="s">
        <v>40</v>
      </c>
      <c r="K1551" t="s">
        <v>59</v>
      </c>
      <c r="M1551">
        <v>443015</v>
      </c>
      <c r="N1551" t="s">
        <v>42</v>
      </c>
      <c r="O1551" t="s">
        <v>36</v>
      </c>
      <c r="P1551" t="s">
        <v>191</v>
      </c>
      <c r="Q1551" t="s">
        <v>44</v>
      </c>
      <c r="R1551" t="s">
        <v>695</v>
      </c>
      <c r="S1551" t="s">
        <v>673</v>
      </c>
      <c r="T1551" t="s">
        <v>47</v>
      </c>
      <c r="U1551" t="s">
        <v>199</v>
      </c>
      <c r="V1551" t="s">
        <v>49</v>
      </c>
      <c r="W1551" t="s">
        <v>697</v>
      </c>
      <c r="X1551" t="s">
        <v>388</v>
      </c>
      <c r="Y1551" t="s">
        <v>196</v>
      </c>
      <c r="Z1551" t="s">
        <v>196</v>
      </c>
      <c r="AA1551" t="s">
        <v>257</v>
      </c>
      <c r="AB1551" s="3">
        <f t="shared" si="197"/>
        <v>1</v>
      </c>
      <c r="AC1551">
        <v>21632.48</v>
      </c>
      <c r="AD1551" s="2">
        <v>21632.48</v>
      </c>
      <c r="AE1551" s="2">
        <v>1396.8</v>
      </c>
      <c r="AF1551" s="2">
        <v>150</v>
      </c>
      <c r="AG1551" s="2">
        <v>23179.279999999999</v>
      </c>
      <c r="AH1551">
        <v>0</v>
      </c>
      <c r="AI1551">
        <v>23179.279999999999</v>
      </c>
      <c r="AJ1551">
        <v>115.8964</v>
      </c>
      <c r="AK1551" t="s">
        <v>54</v>
      </c>
      <c r="AL1551">
        <v>980</v>
      </c>
      <c r="AM1551" s="4">
        <f t="shared" si="198"/>
        <v>23179.279999999999</v>
      </c>
      <c r="AN1551" s="4">
        <f t="shared" si="199"/>
        <v>40560.9</v>
      </c>
      <c r="AO1551" s="4">
        <f t="shared" si="200"/>
        <v>45063.159899999999</v>
      </c>
      <c r="AP1551" s="4">
        <f t="shared" si="201"/>
        <v>65704.601909999998</v>
      </c>
      <c r="AQ1551" s="10">
        <f t="shared" si="194"/>
        <v>40311.085848000002</v>
      </c>
      <c r="AR1551" s="10">
        <f t="shared" si="195"/>
        <v>44789.647485712805</v>
      </c>
      <c r="AS1551" s="10">
        <f t="shared" si="196"/>
        <v>62756.298448166403</v>
      </c>
    </row>
    <row r="1552" spans="1:45" x14ac:dyDescent="0.3">
      <c r="A1552">
        <v>2025</v>
      </c>
      <c r="B1552">
        <v>10</v>
      </c>
      <c r="C1552" t="s">
        <v>35</v>
      </c>
      <c r="D1552">
        <v>10</v>
      </c>
      <c r="E1552" t="s">
        <v>36</v>
      </c>
      <c r="F1552" t="s">
        <v>37</v>
      </c>
      <c r="G1552" t="s">
        <v>38</v>
      </c>
      <c r="H1552" t="s">
        <v>83</v>
      </c>
      <c r="J1552" t="s">
        <v>40</v>
      </c>
      <c r="K1552" t="s">
        <v>59</v>
      </c>
      <c r="L1552" t="s">
        <v>1566</v>
      </c>
      <c r="M1552">
        <v>458452</v>
      </c>
      <c r="N1552" t="s">
        <v>1567</v>
      </c>
      <c r="O1552" t="s">
        <v>1197</v>
      </c>
      <c r="P1552" t="s">
        <v>191</v>
      </c>
      <c r="Q1552" t="s">
        <v>44</v>
      </c>
      <c r="R1552" t="s">
        <v>1505</v>
      </c>
      <c r="S1552" t="s">
        <v>1568</v>
      </c>
      <c r="T1552" t="s">
        <v>47</v>
      </c>
      <c r="U1552" t="s">
        <v>199</v>
      </c>
      <c r="V1552" t="s">
        <v>49</v>
      </c>
      <c r="W1552" t="s">
        <v>697</v>
      </c>
      <c r="X1552" t="s">
        <v>388</v>
      </c>
      <c r="Y1552" t="s">
        <v>196</v>
      </c>
      <c r="Z1552" t="s">
        <v>196</v>
      </c>
      <c r="AA1552" t="s">
        <v>257</v>
      </c>
      <c r="AB1552" s="3">
        <f t="shared" si="197"/>
        <v>1</v>
      </c>
      <c r="AC1552">
        <v>21175.55</v>
      </c>
      <c r="AD1552" s="2">
        <v>21175.55</v>
      </c>
      <c r="AE1552" s="2">
        <v>2132.5</v>
      </c>
      <c r="AF1552" s="2">
        <v>143.81</v>
      </c>
      <c r="AG1552" s="2">
        <v>23451.41</v>
      </c>
      <c r="AH1552">
        <v>0</v>
      </c>
      <c r="AI1552">
        <v>23451.41</v>
      </c>
      <c r="AJ1552">
        <v>117.25705000000001</v>
      </c>
      <c r="AK1552" t="s">
        <v>54</v>
      </c>
      <c r="AL1552">
        <v>495.67</v>
      </c>
      <c r="AM1552" s="4">
        <f t="shared" si="198"/>
        <v>23451.41</v>
      </c>
      <c r="AN1552" s="4">
        <f t="shared" si="199"/>
        <v>39704.15625</v>
      </c>
      <c r="AO1552" s="4">
        <f t="shared" si="200"/>
        <v>44111.317593749998</v>
      </c>
      <c r="AP1552" s="4">
        <f t="shared" si="201"/>
        <v>64316.762709374998</v>
      </c>
      <c r="AQ1552" s="10">
        <f t="shared" si="194"/>
        <v>40784.347131000002</v>
      </c>
      <c r="AR1552" s="10">
        <f t="shared" si="195"/>
        <v>45315.4880972541</v>
      </c>
      <c r="AS1552" s="10">
        <f t="shared" si="196"/>
        <v>63493.0716135408</v>
      </c>
    </row>
    <row r="1553" spans="1:45" x14ac:dyDescent="0.3">
      <c r="A1553">
        <v>2025</v>
      </c>
      <c r="B1553">
        <v>4</v>
      </c>
      <c r="C1553" t="s">
        <v>35</v>
      </c>
      <c r="D1553">
        <v>10</v>
      </c>
      <c r="E1553" t="s">
        <v>36</v>
      </c>
      <c r="F1553" t="s">
        <v>37</v>
      </c>
      <c r="G1553" t="s">
        <v>38</v>
      </c>
      <c r="H1553" t="s">
        <v>101</v>
      </c>
      <c r="I1553" t="s">
        <v>190</v>
      </c>
      <c r="J1553" t="s">
        <v>40</v>
      </c>
      <c r="K1553" t="s">
        <v>59</v>
      </c>
      <c r="M1553">
        <v>90501913</v>
      </c>
      <c r="N1553" t="s">
        <v>42</v>
      </c>
      <c r="O1553" t="s">
        <v>36</v>
      </c>
      <c r="P1553" t="s">
        <v>191</v>
      </c>
      <c r="Q1553" t="s">
        <v>44</v>
      </c>
      <c r="R1553" t="s">
        <v>210</v>
      </c>
      <c r="S1553" t="s">
        <v>459</v>
      </c>
      <c r="T1553" t="s">
        <v>47</v>
      </c>
      <c r="U1553" t="s">
        <v>199</v>
      </c>
      <c r="V1553" t="s">
        <v>49</v>
      </c>
      <c r="W1553" t="s">
        <v>200</v>
      </c>
      <c r="X1553" t="s">
        <v>51</v>
      </c>
      <c r="Y1553" t="s">
        <v>460</v>
      </c>
      <c r="Z1553" t="s">
        <v>460</v>
      </c>
      <c r="AA1553" t="s">
        <v>257</v>
      </c>
      <c r="AB1553" s="3">
        <f t="shared" si="197"/>
        <v>1</v>
      </c>
      <c r="AC1553">
        <v>19681.330000000002</v>
      </c>
      <c r="AD1553" s="2">
        <v>19681.330000000002</v>
      </c>
      <c r="AE1553" s="2">
        <v>4191.42</v>
      </c>
      <c r="AF1553" s="2">
        <v>150.13</v>
      </c>
      <c r="AG1553" s="2">
        <v>24022.87</v>
      </c>
      <c r="AH1553">
        <v>0</v>
      </c>
      <c r="AI1553">
        <v>24022.87</v>
      </c>
      <c r="AJ1553">
        <v>120.11435</v>
      </c>
      <c r="AK1553" t="s">
        <v>54</v>
      </c>
      <c r="AL1553">
        <v>951.66</v>
      </c>
      <c r="AM1553" s="4">
        <f t="shared" si="198"/>
        <v>24022.87</v>
      </c>
      <c r="AN1553" s="4">
        <f t="shared" si="199"/>
        <v>36902.493750000001</v>
      </c>
      <c r="AO1553" s="4">
        <f t="shared" si="200"/>
        <v>40998.670556249999</v>
      </c>
      <c r="AP1553" s="4">
        <f t="shared" si="201"/>
        <v>59778.349625625</v>
      </c>
      <c r="AQ1553" s="10">
        <f t="shared" si="194"/>
        <v>41778.173217000003</v>
      </c>
      <c r="AR1553" s="10">
        <f t="shared" si="195"/>
        <v>46419.728261408702</v>
      </c>
      <c r="AS1553" s="10">
        <f t="shared" si="196"/>
        <v>65040.2600642256</v>
      </c>
    </row>
    <row r="1554" spans="1:45" x14ac:dyDescent="0.3">
      <c r="A1554">
        <v>2025</v>
      </c>
      <c r="B1554">
        <v>8</v>
      </c>
      <c r="C1554" t="s">
        <v>35</v>
      </c>
      <c r="D1554">
        <v>10</v>
      </c>
      <c r="E1554" t="s">
        <v>36</v>
      </c>
      <c r="F1554" t="s">
        <v>37</v>
      </c>
      <c r="G1554" t="s">
        <v>38</v>
      </c>
      <c r="H1554" t="s">
        <v>101</v>
      </c>
      <c r="I1554" t="s">
        <v>190</v>
      </c>
      <c r="J1554" t="s">
        <v>40</v>
      </c>
      <c r="K1554" t="s">
        <v>59</v>
      </c>
      <c r="L1554" t="s">
        <v>1292</v>
      </c>
      <c r="M1554">
        <v>454450</v>
      </c>
      <c r="N1554" t="s">
        <v>42</v>
      </c>
      <c r="O1554" t="s">
        <v>1197</v>
      </c>
      <c r="P1554" t="s">
        <v>191</v>
      </c>
      <c r="Q1554" t="s">
        <v>44</v>
      </c>
      <c r="R1554" t="s">
        <v>1035</v>
      </c>
      <c r="S1554" t="s">
        <v>1198</v>
      </c>
      <c r="T1554" t="s">
        <v>47</v>
      </c>
      <c r="U1554" t="s">
        <v>194</v>
      </c>
      <c r="V1554" t="s">
        <v>49</v>
      </c>
      <c r="W1554" t="s">
        <v>1293</v>
      </c>
      <c r="X1554" t="s">
        <v>388</v>
      </c>
      <c r="Y1554" t="s">
        <v>460</v>
      </c>
      <c r="Z1554" t="s">
        <v>460</v>
      </c>
      <c r="AA1554" t="s">
        <v>462</v>
      </c>
      <c r="AB1554" s="3">
        <f t="shared" si="197"/>
        <v>1</v>
      </c>
      <c r="AC1554">
        <v>10829.31</v>
      </c>
      <c r="AD1554" s="2">
        <v>10829.31</v>
      </c>
      <c r="AE1554" s="2">
        <v>1112.67</v>
      </c>
      <c r="AF1554" s="2">
        <v>73.14</v>
      </c>
      <c r="AG1554" s="2">
        <v>12015.12</v>
      </c>
      <c r="AH1554">
        <v>0</v>
      </c>
      <c r="AI1554">
        <v>12015.12</v>
      </c>
      <c r="AJ1554">
        <v>60.075600000000001</v>
      </c>
      <c r="AK1554" t="s">
        <v>54</v>
      </c>
      <c r="AL1554">
        <v>460</v>
      </c>
      <c r="AM1554" s="4">
        <f t="shared" si="198"/>
        <v>12015.12</v>
      </c>
      <c r="AN1554" s="4">
        <f t="shared" si="199"/>
        <v>20304.956249999999</v>
      </c>
      <c r="AO1554" s="4">
        <f t="shared" si="200"/>
        <v>22558.806393749997</v>
      </c>
      <c r="AP1554" s="4">
        <f t="shared" si="201"/>
        <v>32891.998629374997</v>
      </c>
      <c r="AQ1554" s="10">
        <f t="shared" si="194"/>
        <v>20895.495192000002</v>
      </c>
      <c r="AR1554" s="10">
        <f t="shared" si="195"/>
        <v>23216.984707831201</v>
      </c>
      <c r="AS1554" s="10">
        <f t="shared" si="196"/>
        <v>32530.106914905602</v>
      </c>
    </row>
    <row r="1555" spans="1:45" x14ac:dyDescent="0.3">
      <c r="A1555">
        <v>2025</v>
      </c>
      <c r="B1555">
        <v>2</v>
      </c>
      <c r="C1555" t="s">
        <v>35</v>
      </c>
      <c r="D1555">
        <v>10</v>
      </c>
      <c r="E1555" t="s">
        <v>36</v>
      </c>
      <c r="F1555" t="s">
        <v>37</v>
      </c>
      <c r="G1555" t="s">
        <v>38</v>
      </c>
      <c r="H1555" t="s">
        <v>101</v>
      </c>
      <c r="I1555" t="s">
        <v>190</v>
      </c>
      <c r="J1555" t="s">
        <v>40</v>
      </c>
      <c r="K1555" t="s">
        <v>59</v>
      </c>
      <c r="M1555">
        <v>434264</v>
      </c>
      <c r="N1555" t="s">
        <v>42</v>
      </c>
      <c r="O1555" t="s">
        <v>43</v>
      </c>
      <c r="P1555" t="s">
        <v>191</v>
      </c>
      <c r="Q1555" t="s">
        <v>44</v>
      </c>
      <c r="R1555" t="s">
        <v>192</v>
      </c>
      <c r="S1555" t="s">
        <v>193</v>
      </c>
      <c r="T1555" t="s">
        <v>47</v>
      </c>
      <c r="U1555" t="s">
        <v>199</v>
      </c>
      <c r="V1555" t="s">
        <v>49</v>
      </c>
      <c r="W1555" t="s">
        <v>200</v>
      </c>
      <c r="X1555" t="s">
        <v>51</v>
      </c>
      <c r="Y1555" t="s">
        <v>196</v>
      </c>
      <c r="Z1555" t="s">
        <v>196</v>
      </c>
      <c r="AA1555" t="s">
        <v>1294</v>
      </c>
      <c r="AB1555" s="3">
        <f t="shared" si="197"/>
        <v>1</v>
      </c>
      <c r="AC1555">
        <v>10492.25</v>
      </c>
      <c r="AD1555" s="2">
        <v>10492.25</v>
      </c>
      <c r="AE1555" s="2">
        <v>1730.45</v>
      </c>
      <c r="AF1555" s="2">
        <v>74.27</v>
      </c>
      <c r="AG1555" s="2">
        <v>12296.96</v>
      </c>
      <c r="AH1555">
        <v>0</v>
      </c>
      <c r="AI1555">
        <v>12296.96</v>
      </c>
      <c r="AJ1555">
        <v>61.4848</v>
      </c>
      <c r="AK1555" t="s">
        <v>54</v>
      </c>
      <c r="AL1555">
        <v>155.66999999999999</v>
      </c>
      <c r="AM1555" s="4">
        <f t="shared" si="198"/>
        <v>12296.96</v>
      </c>
      <c r="AN1555" s="4">
        <f t="shared" si="199"/>
        <v>19672.96875</v>
      </c>
      <c r="AO1555" s="4">
        <f t="shared" si="200"/>
        <v>21856.66828125</v>
      </c>
      <c r="AP1555" s="4">
        <f t="shared" si="201"/>
        <v>31868.242078124997</v>
      </c>
      <c r="AQ1555" s="10">
        <f t="shared" si="194"/>
        <v>21385.643135999999</v>
      </c>
      <c r="AR1555" s="10">
        <f t="shared" si="195"/>
        <v>23761.588088409597</v>
      </c>
      <c r="AS1555" s="10">
        <f t="shared" si="196"/>
        <v>33293.169234124798</v>
      </c>
    </row>
    <row r="1556" spans="1:45" x14ac:dyDescent="0.3">
      <c r="A1556">
        <v>2025</v>
      </c>
      <c r="B1556">
        <v>8</v>
      </c>
      <c r="C1556" t="s">
        <v>35</v>
      </c>
      <c r="D1556">
        <v>10</v>
      </c>
      <c r="E1556" t="s">
        <v>36</v>
      </c>
      <c r="F1556" t="s">
        <v>37</v>
      </c>
      <c r="G1556" t="s">
        <v>38</v>
      </c>
      <c r="H1556" t="s">
        <v>101</v>
      </c>
      <c r="I1556" t="s">
        <v>190</v>
      </c>
      <c r="J1556" t="s">
        <v>40</v>
      </c>
      <c r="K1556" t="s">
        <v>59</v>
      </c>
      <c r="L1556" t="s">
        <v>1292</v>
      </c>
      <c r="M1556">
        <v>454450</v>
      </c>
      <c r="N1556" t="s">
        <v>42</v>
      </c>
      <c r="O1556" t="s">
        <v>1197</v>
      </c>
      <c r="P1556" t="s">
        <v>191</v>
      </c>
      <c r="Q1556" t="s">
        <v>44</v>
      </c>
      <c r="R1556" t="s">
        <v>1035</v>
      </c>
      <c r="S1556" t="s">
        <v>1198</v>
      </c>
      <c r="T1556" t="s">
        <v>47</v>
      </c>
      <c r="U1556" t="s">
        <v>199</v>
      </c>
      <c r="V1556" t="s">
        <v>49</v>
      </c>
      <c r="W1556" t="s">
        <v>697</v>
      </c>
      <c r="X1556" t="s">
        <v>388</v>
      </c>
      <c r="Y1556" t="s">
        <v>196</v>
      </c>
      <c r="Z1556" t="s">
        <v>196</v>
      </c>
      <c r="AA1556" t="s">
        <v>201</v>
      </c>
      <c r="AB1556" s="3">
        <f t="shared" si="197"/>
        <v>1</v>
      </c>
      <c r="AC1556">
        <v>15499.1</v>
      </c>
      <c r="AD1556" s="2">
        <v>15499.1</v>
      </c>
      <c r="AE1556" s="2">
        <v>810.25</v>
      </c>
      <c r="AF1556" s="2">
        <v>102.69</v>
      </c>
      <c r="AG1556" s="2">
        <v>16412.04</v>
      </c>
      <c r="AH1556">
        <v>0</v>
      </c>
      <c r="AI1556">
        <v>16412.04</v>
      </c>
      <c r="AJ1556">
        <v>82.060199999999995</v>
      </c>
      <c r="AK1556" t="s">
        <v>54</v>
      </c>
      <c r="AL1556">
        <v>556</v>
      </c>
      <c r="AM1556" s="4">
        <f t="shared" si="198"/>
        <v>16412.04</v>
      </c>
      <c r="AN1556" s="4">
        <f t="shared" si="199"/>
        <v>29060.8125</v>
      </c>
      <c r="AO1556" s="4">
        <f t="shared" si="200"/>
        <v>32286.562687499998</v>
      </c>
      <c r="AP1556" s="4">
        <f t="shared" si="201"/>
        <v>47075.610168749998</v>
      </c>
      <c r="AQ1556" s="10">
        <f t="shared" si="194"/>
        <v>28542.178764000004</v>
      </c>
      <c r="AR1556" s="10">
        <f t="shared" si="195"/>
        <v>31713.214824680403</v>
      </c>
      <c r="AS1556" s="10">
        <f t="shared" si="196"/>
        <v>44434.463899795206</v>
      </c>
    </row>
    <row r="1557" spans="1:45" x14ac:dyDescent="0.3">
      <c r="A1557">
        <v>2025</v>
      </c>
      <c r="B1557">
        <v>12</v>
      </c>
      <c r="C1557" t="s">
        <v>35</v>
      </c>
      <c r="D1557">
        <v>10</v>
      </c>
      <c r="E1557" t="s">
        <v>36</v>
      </c>
      <c r="F1557" t="s">
        <v>37</v>
      </c>
      <c r="G1557" t="s">
        <v>38</v>
      </c>
      <c r="H1557" t="s">
        <v>101</v>
      </c>
      <c r="K1557" t="s">
        <v>59</v>
      </c>
      <c r="L1557" t="s">
        <v>1812</v>
      </c>
      <c r="M1557">
        <v>463649</v>
      </c>
      <c r="N1557" t="s">
        <v>42</v>
      </c>
      <c r="O1557" t="s">
        <v>1197</v>
      </c>
      <c r="P1557" t="s">
        <v>191</v>
      </c>
      <c r="Q1557" t="s">
        <v>44</v>
      </c>
      <c r="R1557" t="s">
        <v>1626</v>
      </c>
      <c r="S1557" t="s">
        <v>1794</v>
      </c>
      <c r="T1557" t="s">
        <v>47</v>
      </c>
      <c r="U1557" t="s">
        <v>1688</v>
      </c>
      <c r="V1557" t="s">
        <v>49</v>
      </c>
      <c r="W1557" t="s">
        <v>1289</v>
      </c>
      <c r="X1557" t="s">
        <v>388</v>
      </c>
      <c r="Y1557" t="s">
        <v>196</v>
      </c>
      <c r="Z1557" t="s">
        <v>196</v>
      </c>
      <c r="AA1557" t="s">
        <v>201</v>
      </c>
      <c r="AB1557" s="3">
        <f t="shared" si="197"/>
        <v>1</v>
      </c>
      <c r="AC1557">
        <v>14329.14</v>
      </c>
      <c r="AD1557" s="2">
        <v>14329.14</v>
      </c>
      <c r="AE1557" s="2">
        <v>2363.2600000000002</v>
      </c>
      <c r="AF1557" s="2">
        <v>101.43</v>
      </c>
      <c r="AG1557" s="2">
        <v>16793.82</v>
      </c>
      <c r="AH1557">
        <v>0</v>
      </c>
      <c r="AI1557">
        <v>16793.82</v>
      </c>
      <c r="AJ1557">
        <v>83.969099999999997</v>
      </c>
      <c r="AK1557" t="s">
        <v>54</v>
      </c>
      <c r="AL1557">
        <v>155.66</v>
      </c>
      <c r="AM1557" s="4">
        <f t="shared" si="198"/>
        <v>16793.82</v>
      </c>
      <c r="AN1557" s="4">
        <f t="shared" si="199"/>
        <v>26867.137499999997</v>
      </c>
      <c r="AO1557" s="4">
        <f t="shared" si="200"/>
        <v>29849.389762499995</v>
      </c>
      <c r="AP1557" s="4">
        <f t="shared" si="201"/>
        <v>43522.076036249993</v>
      </c>
      <c r="AQ1557" s="10">
        <f t="shared" si="194"/>
        <v>29206.132362</v>
      </c>
      <c r="AR1557" s="10">
        <f t="shared" si="195"/>
        <v>32450.933667418201</v>
      </c>
      <c r="AS1557" s="10">
        <f t="shared" si="196"/>
        <v>45468.106861161599</v>
      </c>
    </row>
    <row r="1558" spans="1:45" x14ac:dyDescent="0.3">
      <c r="A1558">
        <v>2025</v>
      </c>
      <c r="B1558">
        <v>12</v>
      </c>
      <c r="C1558" t="s">
        <v>35</v>
      </c>
      <c r="D1558">
        <v>10</v>
      </c>
      <c r="E1558" t="s">
        <v>36</v>
      </c>
      <c r="F1558" t="s">
        <v>37</v>
      </c>
      <c r="G1558" t="s">
        <v>38</v>
      </c>
      <c r="H1558" t="s">
        <v>101</v>
      </c>
      <c r="K1558" t="s">
        <v>59</v>
      </c>
      <c r="L1558" t="s">
        <v>1812</v>
      </c>
      <c r="M1558">
        <v>463649</v>
      </c>
      <c r="N1558" t="s">
        <v>42</v>
      </c>
      <c r="O1558" t="s">
        <v>1197</v>
      </c>
      <c r="P1558" t="s">
        <v>191</v>
      </c>
      <c r="Q1558" t="s">
        <v>44</v>
      </c>
      <c r="R1558" t="s">
        <v>1626</v>
      </c>
      <c r="S1558" t="s">
        <v>1794</v>
      </c>
      <c r="T1558" t="s">
        <v>47</v>
      </c>
      <c r="U1558" t="s">
        <v>1688</v>
      </c>
      <c r="V1558" t="s">
        <v>49</v>
      </c>
      <c r="W1558" t="s">
        <v>1289</v>
      </c>
      <c r="X1558" t="s">
        <v>388</v>
      </c>
      <c r="Y1558" t="s">
        <v>460</v>
      </c>
      <c r="Z1558" t="s">
        <v>460</v>
      </c>
      <c r="AA1558" t="s">
        <v>1814</v>
      </c>
      <c r="AB1558" s="3">
        <f t="shared" si="197"/>
        <v>1</v>
      </c>
      <c r="AC1558">
        <v>10913.13</v>
      </c>
      <c r="AD1558" s="2">
        <v>10913.13</v>
      </c>
      <c r="AE1558" s="2">
        <v>1453.52</v>
      </c>
      <c r="AF1558" s="2">
        <v>76.45</v>
      </c>
      <c r="AG1558" s="2">
        <v>12443.1</v>
      </c>
      <c r="AH1558">
        <v>0</v>
      </c>
      <c r="AI1558">
        <v>12443.1</v>
      </c>
      <c r="AJ1558">
        <v>62.215499999999999</v>
      </c>
      <c r="AK1558" t="s">
        <v>54</v>
      </c>
      <c r="AL1558">
        <v>180.2</v>
      </c>
      <c r="AM1558" s="4">
        <f t="shared" si="198"/>
        <v>12443.1</v>
      </c>
      <c r="AN1558" s="4">
        <f t="shared" si="199"/>
        <v>20462.118749999998</v>
      </c>
      <c r="AO1558" s="4">
        <f t="shared" si="200"/>
        <v>22733.413931249997</v>
      </c>
      <c r="AP1558" s="4">
        <f t="shared" si="201"/>
        <v>33146.586163124994</v>
      </c>
      <c r="AQ1558" s="10">
        <f t="shared" si="194"/>
        <v>21639.79521</v>
      </c>
      <c r="AR1558" s="10">
        <f t="shared" si="195"/>
        <v>24043.976457830999</v>
      </c>
      <c r="AS1558" s="10">
        <f t="shared" si="196"/>
        <v>33688.833182928</v>
      </c>
    </row>
    <row r="1559" spans="1:45" x14ac:dyDescent="0.3">
      <c r="A1559">
        <v>2025</v>
      </c>
      <c r="B1559">
        <v>12</v>
      </c>
      <c r="C1559" t="s">
        <v>35</v>
      </c>
      <c r="D1559">
        <v>10</v>
      </c>
      <c r="E1559" t="s">
        <v>36</v>
      </c>
      <c r="F1559" t="s">
        <v>37</v>
      </c>
      <c r="G1559" t="s">
        <v>38</v>
      </c>
      <c r="H1559" t="s">
        <v>101</v>
      </c>
      <c r="K1559" t="s">
        <v>59</v>
      </c>
      <c r="L1559" t="s">
        <v>1812</v>
      </c>
      <c r="M1559">
        <v>463649</v>
      </c>
      <c r="N1559" t="s">
        <v>42</v>
      </c>
      <c r="O1559" t="s">
        <v>1197</v>
      </c>
      <c r="P1559" t="s">
        <v>191</v>
      </c>
      <c r="Q1559" t="s">
        <v>44</v>
      </c>
      <c r="R1559" t="s">
        <v>1626</v>
      </c>
      <c r="S1559" t="s">
        <v>1794</v>
      </c>
      <c r="T1559" t="s">
        <v>47</v>
      </c>
      <c r="U1559" t="s">
        <v>1688</v>
      </c>
      <c r="V1559" t="s">
        <v>49</v>
      </c>
      <c r="W1559" t="s">
        <v>1289</v>
      </c>
      <c r="X1559" t="s">
        <v>388</v>
      </c>
      <c r="Y1559" t="s">
        <v>460</v>
      </c>
      <c r="Z1559" t="s">
        <v>460</v>
      </c>
      <c r="AA1559" t="s">
        <v>1814</v>
      </c>
      <c r="AB1559" s="3">
        <f t="shared" si="197"/>
        <v>1</v>
      </c>
      <c r="AC1559">
        <v>10913.13</v>
      </c>
      <c r="AD1559" s="2">
        <v>10913.13</v>
      </c>
      <c r="AE1559" s="2">
        <v>1453.52</v>
      </c>
      <c r="AF1559" s="2">
        <v>76.45</v>
      </c>
      <c r="AG1559" s="2">
        <v>12443.1</v>
      </c>
      <c r="AH1559">
        <v>0</v>
      </c>
      <c r="AI1559">
        <v>12443.1</v>
      </c>
      <c r="AJ1559">
        <v>62.215499999999999</v>
      </c>
      <c r="AK1559" t="s">
        <v>54</v>
      </c>
      <c r="AL1559">
        <v>180.2</v>
      </c>
      <c r="AM1559" s="4">
        <f t="shared" si="198"/>
        <v>12443.1</v>
      </c>
      <c r="AN1559" s="4">
        <f t="shared" si="199"/>
        <v>20462.118749999998</v>
      </c>
      <c r="AO1559" s="4">
        <f t="shared" si="200"/>
        <v>22733.413931249997</v>
      </c>
      <c r="AP1559" s="4">
        <f t="shared" si="201"/>
        <v>33146.586163124994</v>
      </c>
      <c r="AQ1559" s="10">
        <f t="shared" si="194"/>
        <v>21639.79521</v>
      </c>
      <c r="AR1559" s="10">
        <f t="shared" si="195"/>
        <v>24043.976457830999</v>
      </c>
      <c r="AS1559" s="10">
        <f t="shared" si="196"/>
        <v>33688.833182928</v>
      </c>
    </row>
    <row r="1560" spans="1:45" x14ac:dyDescent="0.3">
      <c r="A1560">
        <v>2025</v>
      </c>
      <c r="B1560">
        <v>9</v>
      </c>
      <c r="C1560" t="s">
        <v>35</v>
      </c>
      <c r="D1560">
        <v>10</v>
      </c>
      <c r="E1560" t="s">
        <v>36</v>
      </c>
      <c r="F1560" t="s">
        <v>37</v>
      </c>
      <c r="G1560" t="s">
        <v>38</v>
      </c>
      <c r="H1560" t="s">
        <v>101</v>
      </c>
      <c r="I1560" t="s">
        <v>190</v>
      </c>
      <c r="J1560" t="s">
        <v>40</v>
      </c>
      <c r="K1560" t="s">
        <v>59</v>
      </c>
      <c r="L1560" t="s">
        <v>1495</v>
      </c>
      <c r="M1560">
        <v>457514</v>
      </c>
      <c r="N1560" t="s">
        <v>42</v>
      </c>
      <c r="O1560" t="s">
        <v>1197</v>
      </c>
      <c r="Q1560" t="s">
        <v>44</v>
      </c>
      <c r="R1560" t="s">
        <v>1496</v>
      </c>
      <c r="S1560" t="s">
        <v>1488</v>
      </c>
      <c r="T1560" t="s">
        <v>47</v>
      </c>
      <c r="U1560" t="s">
        <v>199</v>
      </c>
      <c r="V1560" t="s">
        <v>49</v>
      </c>
      <c r="W1560" t="s">
        <v>697</v>
      </c>
      <c r="X1560" t="s">
        <v>388</v>
      </c>
      <c r="Y1560" t="s">
        <v>460</v>
      </c>
      <c r="Z1560" t="s">
        <v>460</v>
      </c>
      <c r="AA1560" t="s">
        <v>1814</v>
      </c>
      <c r="AB1560" s="3">
        <f t="shared" si="197"/>
        <v>1</v>
      </c>
      <c r="AC1560">
        <v>10913.13</v>
      </c>
      <c r="AD1560" s="2">
        <v>10913.13</v>
      </c>
      <c r="AE1560" s="2">
        <v>1453.52</v>
      </c>
      <c r="AF1560" s="2">
        <v>76.45</v>
      </c>
      <c r="AG1560" s="2">
        <v>12443.1</v>
      </c>
      <c r="AH1560">
        <v>0</v>
      </c>
      <c r="AI1560">
        <v>12443.1</v>
      </c>
      <c r="AJ1560">
        <v>62.215499999999999</v>
      </c>
      <c r="AK1560" t="s">
        <v>54</v>
      </c>
      <c r="AL1560">
        <v>180.2</v>
      </c>
      <c r="AM1560" s="4">
        <f t="shared" si="198"/>
        <v>12443.1</v>
      </c>
      <c r="AN1560" s="4">
        <f t="shared" si="199"/>
        <v>20462.118749999998</v>
      </c>
      <c r="AO1560" s="4">
        <f t="shared" si="200"/>
        <v>22733.413931249997</v>
      </c>
      <c r="AP1560" s="4">
        <f t="shared" si="201"/>
        <v>33146.586163124994</v>
      </c>
      <c r="AQ1560" s="10">
        <f t="shared" si="194"/>
        <v>21639.79521</v>
      </c>
      <c r="AR1560" s="10">
        <f t="shared" si="195"/>
        <v>24043.976457830999</v>
      </c>
      <c r="AS1560" s="10">
        <f t="shared" si="196"/>
        <v>33688.833182928</v>
      </c>
    </row>
    <row r="1561" spans="1:45" x14ac:dyDescent="0.3">
      <c r="A1561">
        <v>2025</v>
      </c>
      <c r="B1561">
        <v>11</v>
      </c>
      <c r="C1561" t="s">
        <v>35</v>
      </c>
      <c r="D1561">
        <v>10</v>
      </c>
      <c r="E1561" t="s">
        <v>36</v>
      </c>
      <c r="F1561" t="s">
        <v>37</v>
      </c>
      <c r="G1561" t="s">
        <v>38</v>
      </c>
      <c r="H1561" t="s">
        <v>101</v>
      </c>
      <c r="I1561" t="s">
        <v>1679</v>
      </c>
      <c r="K1561" t="s">
        <v>59</v>
      </c>
      <c r="L1561" t="s">
        <v>1680</v>
      </c>
      <c r="M1561">
        <v>462965</v>
      </c>
      <c r="N1561" t="s">
        <v>42</v>
      </c>
      <c r="O1561" t="s">
        <v>1197</v>
      </c>
      <c r="Q1561" t="s">
        <v>44</v>
      </c>
      <c r="R1561" t="s">
        <v>1681</v>
      </c>
      <c r="S1561" t="s">
        <v>1675</v>
      </c>
      <c r="T1561" t="s">
        <v>47</v>
      </c>
      <c r="U1561" t="s">
        <v>199</v>
      </c>
      <c r="V1561" t="s">
        <v>49</v>
      </c>
      <c r="W1561" t="s">
        <v>697</v>
      </c>
      <c r="X1561" t="s">
        <v>388</v>
      </c>
      <c r="Y1561" t="s">
        <v>460</v>
      </c>
      <c r="Z1561" t="s">
        <v>460</v>
      </c>
      <c r="AA1561" t="s">
        <v>1501</v>
      </c>
      <c r="AB1561" s="3">
        <f t="shared" si="197"/>
        <v>1</v>
      </c>
      <c r="AC1561">
        <v>14498.81</v>
      </c>
      <c r="AD1561" s="2">
        <v>14498.81</v>
      </c>
      <c r="AE1561" s="2">
        <v>2658.3</v>
      </c>
      <c r="AF1561" s="2">
        <v>107.47</v>
      </c>
      <c r="AG1561" s="2">
        <v>17264.310000000001</v>
      </c>
      <c r="AH1561">
        <v>0</v>
      </c>
      <c r="AI1561">
        <v>17264.310000000001</v>
      </c>
      <c r="AJ1561">
        <v>86.321550000000002</v>
      </c>
      <c r="AK1561" t="s">
        <v>54</v>
      </c>
      <c r="AL1561">
        <v>591.44000000000005</v>
      </c>
      <c r="AM1561" s="4">
        <f t="shared" si="198"/>
        <v>17264.310000000001</v>
      </c>
      <c r="AN1561" s="4">
        <f t="shared" si="199"/>
        <v>27185.268749999999</v>
      </c>
      <c r="AO1561" s="4">
        <f t="shared" si="200"/>
        <v>30202.833581249997</v>
      </c>
      <c r="AP1561" s="4">
        <f t="shared" si="201"/>
        <v>44037.416848124994</v>
      </c>
      <c r="AQ1561" s="10">
        <f t="shared" si="194"/>
        <v>30024.361521000003</v>
      </c>
      <c r="AR1561" s="10">
        <f t="shared" si="195"/>
        <v>33360.068085983105</v>
      </c>
      <c r="AS1561" s="10">
        <f t="shared" si="196"/>
        <v>46741.926015892801</v>
      </c>
    </row>
    <row r="1562" spans="1:45" x14ac:dyDescent="0.3">
      <c r="A1562">
        <v>2025</v>
      </c>
      <c r="B1562">
        <v>12</v>
      </c>
      <c r="C1562" t="s">
        <v>35</v>
      </c>
      <c r="D1562">
        <v>10</v>
      </c>
      <c r="E1562" t="s">
        <v>36</v>
      </c>
      <c r="F1562" t="s">
        <v>37</v>
      </c>
      <c r="G1562" t="s">
        <v>38</v>
      </c>
      <c r="H1562" t="s">
        <v>101</v>
      </c>
      <c r="K1562" t="s">
        <v>59</v>
      </c>
      <c r="L1562" t="s">
        <v>1812</v>
      </c>
      <c r="M1562">
        <v>463649</v>
      </c>
      <c r="N1562" t="s">
        <v>42</v>
      </c>
      <c r="O1562" t="s">
        <v>1197</v>
      </c>
      <c r="P1562" t="s">
        <v>191</v>
      </c>
      <c r="Q1562" t="s">
        <v>44</v>
      </c>
      <c r="R1562" t="s">
        <v>1626</v>
      </c>
      <c r="S1562" t="s">
        <v>1794</v>
      </c>
      <c r="T1562" t="s">
        <v>47</v>
      </c>
      <c r="U1562" t="s">
        <v>1688</v>
      </c>
      <c r="V1562" t="s">
        <v>49</v>
      </c>
      <c r="W1562" t="s">
        <v>1289</v>
      </c>
      <c r="X1562" t="s">
        <v>388</v>
      </c>
      <c r="Y1562" t="s">
        <v>460</v>
      </c>
      <c r="Z1562" t="s">
        <v>460</v>
      </c>
      <c r="AA1562" t="s">
        <v>1682</v>
      </c>
      <c r="AB1562" s="3">
        <f t="shared" si="197"/>
        <v>1</v>
      </c>
      <c r="AC1562">
        <v>13478.52</v>
      </c>
      <c r="AD1562" s="2">
        <v>13478.52</v>
      </c>
      <c r="AE1562" s="2">
        <v>2252.2399999999998</v>
      </c>
      <c r="AF1562" s="2">
        <v>97.74</v>
      </c>
      <c r="AG1562" s="2">
        <v>15828.5</v>
      </c>
      <c r="AH1562">
        <v>0</v>
      </c>
      <c r="AI1562">
        <v>15828.5</v>
      </c>
      <c r="AJ1562">
        <v>79.142499999999998</v>
      </c>
      <c r="AK1562" t="s">
        <v>54</v>
      </c>
      <c r="AL1562">
        <v>607.78</v>
      </c>
      <c r="AM1562" s="4">
        <f t="shared" si="198"/>
        <v>15828.5</v>
      </c>
      <c r="AN1562" s="4">
        <f t="shared" si="199"/>
        <v>25272.225000000002</v>
      </c>
      <c r="AO1562" s="4">
        <f t="shared" si="200"/>
        <v>28077.441975000002</v>
      </c>
      <c r="AP1562" s="4">
        <f t="shared" si="201"/>
        <v>40938.477277500002</v>
      </c>
      <c r="AQ1562" s="10">
        <f t="shared" si="194"/>
        <v>27527.344350000003</v>
      </c>
      <c r="AR1562" s="10">
        <f t="shared" si="195"/>
        <v>30585.632307285003</v>
      </c>
      <c r="AS1562" s="10">
        <f t="shared" si="196"/>
        <v>42854.569684080001</v>
      </c>
    </row>
    <row r="1563" spans="1:45" x14ac:dyDescent="0.3">
      <c r="A1563">
        <v>2025</v>
      </c>
      <c r="B1563">
        <v>12</v>
      </c>
      <c r="C1563" t="s">
        <v>35</v>
      </c>
      <c r="D1563">
        <v>10</v>
      </c>
      <c r="E1563" t="s">
        <v>36</v>
      </c>
      <c r="F1563" t="s">
        <v>37</v>
      </c>
      <c r="G1563" t="s">
        <v>38</v>
      </c>
      <c r="H1563" t="s">
        <v>101</v>
      </c>
      <c r="K1563" t="s">
        <v>59</v>
      </c>
      <c r="L1563" t="s">
        <v>1812</v>
      </c>
      <c r="M1563">
        <v>463649</v>
      </c>
      <c r="N1563" t="s">
        <v>42</v>
      </c>
      <c r="O1563" t="s">
        <v>1197</v>
      </c>
      <c r="P1563" t="s">
        <v>191</v>
      </c>
      <c r="Q1563" t="s">
        <v>44</v>
      </c>
      <c r="R1563" t="s">
        <v>1626</v>
      </c>
      <c r="S1563" t="s">
        <v>1794</v>
      </c>
      <c r="T1563" t="s">
        <v>47</v>
      </c>
      <c r="U1563" t="s">
        <v>1688</v>
      </c>
      <c r="V1563" t="s">
        <v>49</v>
      </c>
      <c r="W1563" t="s">
        <v>1289</v>
      </c>
      <c r="X1563" t="s">
        <v>388</v>
      </c>
      <c r="Y1563" t="s">
        <v>460</v>
      </c>
      <c r="Z1563" t="s">
        <v>460</v>
      </c>
      <c r="AA1563" t="s">
        <v>1813</v>
      </c>
      <c r="AB1563" s="3">
        <f t="shared" si="197"/>
        <v>1</v>
      </c>
      <c r="AC1563">
        <v>16675.439999999999</v>
      </c>
      <c r="AD1563" s="2">
        <v>16675.439999999999</v>
      </c>
      <c r="AE1563" s="2">
        <v>2221.1</v>
      </c>
      <c r="AF1563" s="2">
        <v>116.81</v>
      </c>
      <c r="AG1563" s="2">
        <v>19013.259999999998</v>
      </c>
      <c r="AH1563">
        <v>0</v>
      </c>
      <c r="AI1563">
        <v>19013.259999999998</v>
      </c>
      <c r="AJ1563">
        <v>95.066299999999998</v>
      </c>
      <c r="AK1563" t="s">
        <v>54</v>
      </c>
      <c r="AL1563">
        <v>180.2</v>
      </c>
      <c r="AM1563" s="4">
        <f t="shared" si="198"/>
        <v>19013.259999999998</v>
      </c>
      <c r="AN1563" s="4">
        <f t="shared" si="199"/>
        <v>31266.449999999997</v>
      </c>
      <c r="AO1563" s="4">
        <f t="shared" si="200"/>
        <v>34737.025949999996</v>
      </c>
      <c r="AP1563" s="4">
        <f t="shared" si="201"/>
        <v>50648.522354999994</v>
      </c>
      <c r="AQ1563" s="10">
        <f t="shared" si="194"/>
        <v>33065.960465999997</v>
      </c>
      <c r="AR1563" s="10">
        <f t="shared" si="195"/>
        <v>36739.588673772596</v>
      </c>
      <c r="AS1563" s="10">
        <f t="shared" si="196"/>
        <v>51477.087253468795</v>
      </c>
    </row>
    <row r="1564" spans="1:45" x14ac:dyDescent="0.3">
      <c r="A1564">
        <v>2025</v>
      </c>
      <c r="B1564">
        <v>11</v>
      </c>
      <c r="C1564" t="s">
        <v>35</v>
      </c>
      <c r="D1564">
        <v>10</v>
      </c>
      <c r="E1564" t="s">
        <v>36</v>
      </c>
      <c r="F1564" t="s">
        <v>37</v>
      </c>
      <c r="G1564" t="s">
        <v>38</v>
      </c>
      <c r="H1564" t="s">
        <v>83</v>
      </c>
      <c r="I1564" t="s">
        <v>190</v>
      </c>
      <c r="K1564" t="s">
        <v>59</v>
      </c>
      <c r="L1564" t="s">
        <v>1680</v>
      </c>
      <c r="M1564">
        <v>462965</v>
      </c>
      <c r="N1564" t="s">
        <v>42</v>
      </c>
      <c r="O1564" t="s">
        <v>1197</v>
      </c>
      <c r="Q1564" t="s">
        <v>44</v>
      </c>
      <c r="R1564" t="s">
        <v>1681</v>
      </c>
      <c r="S1564" t="s">
        <v>1675</v>
      </c>
      <c r="T1564" t="s">
        <v>47</v>
      </c>
      <c r="U1564" t="s">
        <v>199</v>
      </c>
      <c r="V1564" t="s">
        <v>49</v>
      </c>
      <c r="W1564" t="s">
        <v>697</v>
      </c>
      <c r="X1564" t="s">
        <v>388</v>
      </c>
      <c r="Y1564" t="s">
        <v>460</v>
      </c>
      <c r="Z1564" t="s">
        <v>460</v>
      </c>
      <c r="AA1564" t="s">
        <v>1813</v>
      </c>
      <c r="AB1564" s="3">
        <f t="shared" si="197"/>
        <v>1</v>
      </c>
      <c r="AC1564">
        <v>16675.439999999999</v>
      </c>
      <c r="AD1564" s="2">
        <v>16675.439999999999</v>
      </c>
      <c r="AE1564" s="2">
        <v>2221.1</v>
      </c>
      <c r="AF1564" s="2">
        <v>116.81</v>
      </c>
      <c r="AG1564" s="2">
        <v>19013.259999999998</v>
      </c>
      <c r="AH1564">
        <v>0</v>
      </c>
      <c r="AI1564">
        <v>19013.259999999998</v>
      </c>
      <c r="AJ1564">
        <v>95.066299999999998</v>
      </c>
      <c r="AK1564" t="s">
        <v>54</v>
      </c>
      <c r="AL1564">
        <v>180.2</v>
      </c>
      <c r="AM1564" s="4">
        <f t="shared" si="198"/>
        <v>19013.259999999998</v>
      </c>
      <c r="AN1564" s="4">
        <f t="shared" si="199"/>
        <v>31266.449999999997</v>
      </c>
      <c r="AO1564" s="4">
        <f t="shared" si="200"/>
        <v>34737.025949999996</v>
      </c>
      <c r="AP1564" s="4">
        <f t="shared" si="201"/>
        <v>50648.522354999994</v>
      </c>
      <c r="AQ1564" s="10">
        <f t="shared" si="194"/>
        <v>33065.960465999997</v>
      </c>
      <c r="AR1564" s="10">
        <f t="shared" si="195"/>
        <v>36739.588673772596</v>
      </c>
      <c r="AS1564" s="10">
        <f t="shared" si="196"/>
        <v>51477.087253468795</v>
      </c>
    </row>
    <row r="1565" spans="1:45" x14ac:dyDescent="0.3">
      <c r="A1565">
        <v>2025</v>
      </c>
      <c r="B1565">
        <v>1</v>
      </c>
      <c r="C1565" t="s">
        <v>55</v>
      </c>
      <c r="D1565">
        <v>10</v>
      </c>
      <c r="E1565" t="s">
        <v>36</v>
      </c>
      <c r="F1565" t="s">
        <v>37</v>
      </c>
      <c r="G1565" t="s">
        <v>38</v>
      </c>
      <c r="H1565" t="s">
        <v>83</v>
      </c>
      <c r="I1565" t="s">
        <v>57</v>
      </c>
      <c r="J1565" t="s">
        <v>58</v>
      </c>
      <c r="K1565" t="s">
        <v>59</v>
      </c>
      <c r="M1565" t="s">
        <v>60</v>
      </c>
      <c r="N1565" t="s">
        <v>61</v>
      </c>
      <c r="O1565" t="s">
        <v>43</v>
      </c>
      <c r="Q1565" t="s">
        <v>62</v>
      </c>
      <c r="R1565" t="s">
        <v>63</v>
      </c>
      <c r="S1565" t="s">
        <v>63</v>
      </c>
      <c r="T1565" t="s">
        <v>47</v>
      </c>
      <c r="U1565" t="s">
        <v>84</v>
      </c>
      <c r="V1565" t="s">
        <v>49</v>
      </c>
      <c r="W1565" t="s">
        <v>85</v>
      </c>
      <c r="X1565" t="s">
        <v>51</v>
      </c>
      <c r="Y1565" t="s">
        <v>460</v>
      </c>
      <c r="Z1565" t="s">
        <v>460</v>
      </c>
      <c r="AA1565" t="s">
        <v>1683</v>
      </c>
      <c r="AB1565" s="3">
        <f t="shared" si="197"/>
        <v>1</v>
      </c>
      <c r="AC1565">
        <v>15359.27</v>
      </c>
      <c r="AD1565" s="2">
        <v>15359.27</v>
      </c>
      <c r="AE1565" s="2">
        <v>2566.5100000000002</v>
      </c>
      <c r="AF1565" s="2">
        <v>111.38</v>
      </c>
      <c r="AG1565" s="2">
        <v>18037.16</v>
      </c>
      <c r="AH1565">
        <v>0</v>
      </c>
      <c r="AI1565">
        <v>18037.16</v>
      </c>
      <c r="AJ1565">
        <v>90.1858</v>
      </c>
      <c r="AK1565" t="s">
        <v>54</v>
      </c>
      <c r="AL1565">
        <v>692.58</v>
      </c>
      <c r="AM1565" s="4">
        <f t="shared" si="198"/>
        <v>18037.16</v>
      </c>
      <c r="AN1565" s="4">
        <f t="shared" si="199"/>
        <v>28798.631250000002</v>
      </c>
      <c r="AO1565" s="4">
        <f t="shared" si="200"/>
        <v>31995.279318750003</v>
      </c>
      <c r="AP1565" s="4">
        <f t="shared" si="201"/>
        <v>46650.902761874997</v>
      </c>
      <c r="AQ1565" s="10">
        <f t="shared" si="194"/>
        <v>31368.424956000003</v>
      </c>
      <c r="AR1565" s="10">
        <f t="shared" si="195"/>
        <v>34853.456968611601</v>
      </c>
      <c r="AS1565" s="10">
        <f t="shared" si="196"/>
        <v>48834.363971500803</v>
      </c>
    </row>
    <row r="1566" spans="1:45" x14ac:dyDescent="0.3">
      <c r="A1566">
        <v>2025</v>
      </c>
      <c r="B1566">
        <v>8</v>
      </c>
      <c r="C1566" t="s">
        <v>55</v>
      </c>
      <c r="D1566">
        <v>10</v>
      </c>
      <c r="E1566" t="s">
        <v>36</v>
      </c>
      <c r="F1566" t="s">
        <v>37</v>
      </c>
      <c r="G1566" t="s">
        <v>38</v>
      </c>
      <c r="H1566" t="s">
        <v>83</v>
      </c>
      <c r="I1566" t="s">
        <v>190</v>
      </c>
      <c r="J1566" t="s">
        <v>58</v>
      </c>
      <c r="K1566" t="s">
        <v>59</v>
      </c>
      <c r="L1566" t="s">
        <v>1194</v>
      </c>
      <c r="M1566" t="s">
        <v>1195</v>
      </c>
      <c r="N1566" t="s">
        <v>1196</v>
      </c>
      <c r="O1566" t="s">
        <v>1197</v>
      </c>
      <c r="Q1566" t="s">
        <v>62</v>
      </c>
      <c r="R1566" t="s">
        <v>1198</v>
      </c>
      <c r="S1566" t="s">
        <v>1198</v>
      </c>
      <c r="T1566" t="s">
        <v>47</v>
      </c>
      <c r="U1566" t="s">
        <v>84</v>
      </c>
      <c r="V1566" t="s">
        <v>49</v>
      </c>
      <c r="W1566" t="s">
        <v>85</v>
      </c>
      <c r="X1566" t="s">
        <v>388</v>
      </c>
      <c r="Y1566" t="s">
        <v>86</v>
      </c>
      <c r="Z1566" t="s">
        <v>64</v>
      </c>
      <c r="AA1566" t="s">
        <v>87</v>
      </c>
      <c r="AB1566" s="3">
        <f t="shared" si="197"/>
        <v>1</v>
      </c>
      <c r="AC1566">
        <v>2.48</v>
      </c>
      <c r="AD1566" s="2">
        <v>2.48</v>
      </c>
      <c r="AE1566" s="2">
        <v>0.6</v>
      </c>
      <c r="AF1566" s="2">
        <v>0.02</v>
      </c>
      <c r="AG1566" s="2">
        <v>3.1</v>
      </c>
      <c r="AH1566">
        <v>0</v>
      </c>
      <c r="AI1566">
        <v>3.1</v>
      </c>
      <c r="AJ1566">
        <v>1.55E-2</v>
      </c>
      <c r="AK1566" t="s">
        <v>54</v>
      </c>
      <c r="AL1566">
        <v>3.01</v>
      </c>
      <c r="AM1566" s="4">
        <f t="shared" si="198"/>
        <v>3.1</v>
      </c>
      <c r="AN1566" s="4">
        <f t="shared" si="199"/>
        <v>4.6500000000000004</v>
      </c>
      <c r="AO1566" s="4">
        <f t="shared" si="200"/>
        <v>5.16615</v>
      </c>
      <c r="AP1566" s="4">
        <f t="shared" si="201"/>
        <v>7.5325350000000002</v>
      </c>
      <c r="AQ1566" s="10">
        <f t="shared" si="194"/>
        <v>5.3912100000000001</v>
      </c>
      <c r="AR1566" s="10">
        <f t="shared" si="195"/>
        <v>5.9901734309999997</v>
      </c>
      <c r="AS1566" s="10">
        <f t="shared" si="196"/>
        <v>8.3930357279999992</v>
      </c>
    </row>
    <row r="1567" spans="1:45" x14ac:dyDescent="0.3">
      <c r="A1567">
        <v>2025</v>
      </c>
      <c r="B1567">
        <v>8</v>
      </c>
      <c r="C1567" t="s">
        <v>55</v>
      </c>
      <c r="D1567">
        <v>10</v>
      </c>
      <c r="E1567" t="s">
        <v>36</v>
      </c>
      <c r="F1567" t="s">
        <v>37</v>
      </c>
      <c r="G1567" t="s">
        <v>38</v>
      </c>
      <c r="H1567" t="s">
        <v>83</v>
      </c>
      <c r="I1567" t="s">
        <v>190</v>
      </c>
      <c r="J1567" t="s">
        <v>58</v>
      </c>
      <c r="K1567" t="s">
        <v>59</v>
      </c>
      <c r="L1567" t="s">
        <v>1194</v>
      </c>
      <c r="M1567" t="s">
        <v>1195</v>
      </c>
      <c r="N1567" t="s">
        <v>1196</v>
      </c>
      <c r="O1567" t="s">
        <v>1197</v>
      </c>
      <c r="Q1567" t="s">
        <v>62</v>
      </c>
      <c r="R1567" t="s">
        <v>1198</v>
      </c>
      <c r="S1567" t="s">
        <v>1198</v>
      </c>
      <c r="T1567" t="s">
        <v>47</v>
      </c>
      <c r="U1567" t="s">
        <v>782</v>
      </c>
      <c r="V1567" t="s">
        <v>49</v>
      </c>
      <c r="W1567" t="s">
        <v>783</v>
      </c>
      <c r="X1567" t="s">
        <v>388</v>
      </c>
      <c r="Y1567" t="s">
        <v>1245</v>
      </c>
      <c r="Z1567" t="s">
        <v>1245</v>
      </c>
      <c r="AA1567" t="s">
        <v>87</v>
      </c>
      <c r="AB1567" s="3">
        <f t="shared" si="197"/>
        <v>1</v>
      </c>
      <c r="AC1567">
        <v>1.91</v>
      </c>
      <c r="AD1567" s="2">
        <v>1.91</v>
      </c>
      <c r="AE1567" s="2">
        <v>0.14000000000000001</v>
      </c>
      <c r="AF1567" s="2">
        <v>0.1</v>
      </c>
      <c r="AG1567" s="2">
        <v>2.6</v>
      </c>
      <c r="AH1567">
        <v>0</v>
      </c>
      <c r="AI1567">
        <v>2.6</v>
      </c>
      <c r="AJ1567">
        <v>1.2999999999999999E-2</v>
      </c>
      <c r="AK1567" t="s">
        <v>54</v>
      </c>
      <c r="AL1567">
        <v>0.2</v>
      </c>
      <c r="AM1567" s="4">
        <f t="shared" si="198"/>
        <v>2.6</v>
      </c>
      <c r="AN1567" s="4">
        <f t="shared" si="199"/>
        <v>3.5812499999999998</v>
      </c>
      <c r="AO1567" s="4">
        <f t="shared" si="200"/>
        <v>3.97876875</v>
      </c>
      <c r="AP1567" s="4">
        <f t="shared" si="201"/>
        <v>5.8012668749999996</v>
      </c>
      <c r="AQ1567" s="10">
        <f t="shared" si="194"/>
        <v>4.5216600000000007</v>
      </c>
      <c r="AR1567" s="10">
        <f t="shared" si="195"/>
        <v>5.0240164260000011</v>
      </c>
      <c r="AS1567" s="10">
        <f t="shared" si="196"/>
        <v>7.0393202880000008</v>
      </c>
    </row>
    <row r="1568" spans="1:45" x14ac:dyDescent="0.3">
      <c r="A1568">
        <v>2025</v>
      </c>
      <c r="B1568">
        <v>10</v>
      </c>
      <c r="C1568" t="s">
        <v>55</v>
      </c>
      <c r="D1568">
        <v>10</v>
      </c>
      <c r="E1568" t="s">
        <v>36</v>
      </c>
      <c r="F1568" t="s">
        <v>37</v>
      </c>
      <c r="G1568" t="s">
        <v>38</v>
      </c>
      <c r="H1568" t="s">
        <v>83</v>
      </c>
      <c r="I1568" t="s">
        <v>375</v>
      </c>
      <c r="J1568" t="s">
        <v>376</v>
      </c>
      <c r="K1568" t="s">
        <v>59</v>
      </c>
      <c r="L1568" t="s">
        <v>1549</v>
      </c>
      <c r="M1568" t="s">
        <v>1550</v>
      </c>
      <c r="N1568" t="s">
        <v>1551</v>
      </c>
      <c r="O1568" t="s">
        <v>1197</v>
      </c>
      <c r="Q1568" t="s">
        <v>62</v>
      </c>
      <c r="R1568" t="s">
        <v>1552</v>
      </c>
      <c r="S1568" t="s">
        <v>1552</v>
      </c>
      <c r="T1568" t="s">
        <v>47</v>
      </c>
      <c r="U1568" t="s">
        <v>84</v>
      </c>
      <c r="V1568" t="s">
        <v>49</v>
      </c>
      <c r="W1568" t="s">
        <v>85</v>
      </c>
      <c r="X1568" t="s">
        <v>51</v>
      </c>
      <c r="Y1568" t="s">
        <v>1245</v>
      </c>
      <c r="Z1568" t="s">
        <v>1245</v>
      </c>
      <c r="AA1568" t="s">
        <v>87</v>
      </c>
      <c r="AB1568" s="3">
        <f t="shared" si="197"/>
        <v>1</v>
      </c>
      <c r="AC1568">
        <v>1.91</v>
      </c>
      <c r="AD1568" s="2">
        <v>1.91</v>
      </c>
      <c r="AE1568" s="2">
        <v>0.14000000000000001</v>
      </c>
      <c r="AF1568" s="2">
        <v>0.1</v>
      </c>
      <c r="AG1568" s="2">
        <v>2.6</v>
      </c>
      <c r="AH1568">
        <v>0</v>
      </c>
      <c r="AI1568">
        <v>2.6</v>
      </c>
      <c r="AJ1568">
        <v>1.2999999999999999E-2</v>
      </c>
      <c r="AK1568" t="s">
        <v>54</v>
      </c>
      <c r="AL1568">
        <v>0.2</v>
      </c>
      <c r="AM1568" s="4">
        <f t="shared" si="198"/>
        <v>2.6</v>
      </c>
      <c r="AN1568" s="4">
        <f t="shared" si="199"/>
        <v>3.5812499999999998</v>
      </c>
      <c r="AO1568" s="4">
        <f t="shared" si="200"/>
        <v>3.97876875</v>
      </c>
      <c r="AP1568" s="4">
        <f t="shared" si="201"/>
        <v>5.8012668749999996</v>
      </c>
      <c r="AQ1568" s="10">
        <f t="shared" si="194"/>
        <v>4.5216600000000007</v>
      </c>
      <c r="AR1568" s="10">
        <f t="shared" si="195"/>
        <v>5.0240164260000011</v>
      </c>
      <c r="AS1568" s="10">
        <f t="shared" si="196"/>
        <v>7.0393202880000008</v>
      </c>
    </row>
    <row r="1569" spans="25:45" x14ac:dyDescent="0.3">
      <c r="Y1569" t="s">
        <v>1245</v>
      </c>
      <c r="Z1569" t="s">
        <v>1245</v>
      </c>
      <c r="AA1569" t="s">
        <v>87</v>
      </c>
      <c r="AB1569" s="3">
        <f t="shared" si="197"/>
        <v>1</v>
      </c>
      <c r="AC1569">
        <v>1.9</v>
      </c>
      <c r="AD1569" s="2">
        <v>1.9</v>
      </c>
      <c r="AE1569" s="2">
        <v>0.86</v>
      </c>
      <c r="AF1569" s="2">
        <v>0.2</v>
      </c>
      <c r="AG1569" s="2">
        <v>2.78</v>
      </c>
      <c r="AH1569">
        <v>0</v>
      </c>
      <c r="AI1569">
        <v>2.78</v>
      </c>
      <c r="AJ1569">
        <v>1.3899999999999999E-2</v>
      </c>
      <c r="AK1569" t="s">
        <v>54</v>
      </c>
      <c r="AL1569">
        <v>0.4</v>
      </c>
      <c r="AM1569" s="4">
        <f t="shared" si="198"/>
        <v>2.78</v>
      </c>
      <c r="AN1569" s="4">
        <f t="shared" si="199"/>
        <v>3.5625</v>
      </c>
      <c r="AO1569" s="4">
        <f t="shared" si="200"/>
        <v>3.9579374999999999</v>
      </c>
      <c r="AP1569" s="4">
        <f t="shared" si="201"/>
        <v>5.7708937499999999</v>
      </c>
      <c r="AQ1569" s="10">
        <f t="shared" si="194"/>
        <v>4.8346979999999995</v>
      </c>
      <c r="AR1569" s="10">
        <f t="shared" si="195"/>
        <v>5.3718329477999998</v>
      </c>
      <c r="AS1569" s="10">
        <f t="shared" si="196"/>
        <v>7.5266578463999991</v>
      </c>
    </row>
  </sheetData>
  <sheetProtection formatCells="0" formatColumns="0" formatRows="0" insertColumns="0" insertRows="0" insertHyperlinks="0" deleteColumns="0" deleteRows="0" sort="0" autoFilter="0" pivotTables="0"/>
  <autoFilter ref="A1:AL1" xr:uid="{00000000-0009-0000-0000-000000000000}"/>
  <sortState xmlns:xlrd2="http://schemas.microsoft.com/office/spreadsheetml/2017/richdata2" ref="A2:AL1568">
    <sortCondition ref="AA2:AA1568"/>
  </sortState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Nicolas Aguirre</cp:lastModifiedBy>
  <dcterms:created xsi:type="dcterms:W3CDTF">2026-02-26T21:14:47Z</dcterms:created>
  <dcterms:modified xsi:type="dcterms:W3CDTF">2026-04-25T01:40:44Z</dcterms:modified>
  <cp:category/>
</cp:coreProperties>
</file>